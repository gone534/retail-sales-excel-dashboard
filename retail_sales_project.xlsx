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7bc730e63ec9c376/Desktop/Analysis/project/"/>
    </mc:Choice>
  </mc:AlternateContent>
  <xr:revisionPtr revIDLastSave="629" documentId="8_{506AD399-C5AD-4A3A-AC6D-B2D9AA95E425}" xr6:coauthVersionLast="47" xr6:coauthVersionMax="47" xr10:uidLastSave="{C9ECF297-2600-4119-838D-26EF89CF2272}"/>
  <bookViews>
    <workbookView xWindow="-110" yWindow="-110" windowWidth="19420" windowHeight="10300" xr2:uid="{5F12ACFE-8068-4D3C-91DB-B2172BEF0334}"/>
  </bookViews>
  <sheets>
    <sheet name="Dashboard" sheetId="7" r:id="rId1"/>
    <sheet name="Raw Data" sheetId="1" r:id="rId2"/>
    <sheet name="Clean Data" sheetId="2" r:id="rId3"/>
    <sheet name="Pivot_Region" sheetId="3" r:id="rId4"/>
    <sheet name="Pivot_Category" sheetId="4" r:id="rId5"/>
    <sheet name="Pivot_Monthly" sheetId="5" r:id="rId6"/>
    <sheet name="Pivot_TopCustomers" sheetId="6" r:id="rId7"/>
  </sheets>
  <definedNames>
    <definedName name="_xlnm._FilterDatabase" localSheetId="2" hidden="1">'Clean Data'!$A$1:$K$1808</definedName>
    <definedName name="NativeTimeline_Order_Date">#N/A</definedName>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7" l="1"/>
  <c r="K1810" i="2"/>
  <c r="P967" i="2"/>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52" i="2"/>
  <c r="P252" i="2" s="1"/>
  <c r="O253" i="2"/>
  <c r="P253" i="2" s="1"/>
  <c r="O254" i="2"/>
  <c r="P254" i="2" s="1"/>
  <c r="O255" i="2"/>
  <c r="P255" i="2" s="1"/>
  <c r="O256" i="2"/>
  <c r="P256" i="2" s="1"/>
  <c r="O257" i="2"/>
  <c r="P257" i="2" s="1"/>
  <c r="O258" i="2"/>
  <c r="P258" i="2" s="1"/>
  <c r="O259" i="2"/>
  <c r="P259" i="2" s="1"/>
  <c r="O260" i="2"/>
  <c r="P260" i="2" s="1"/>
  <c r="O261" i="2"/>
  <c r="P261" i="2" s="1"/>
  <c r="O262" i="2"/>
  <c r="P262" i="2" s="1"/>
  <c r="O263" i="2"/>
  <c r="P263" i="2" s="1"/>
  <c r="O264" i="2"/>
  <c r="P264" i="2" s="1"/>
  <c r="O265" i="2"/>
  <c r="P265" i="2" s="1"/>
  <c r="O266" i="2"/>
  <c r="P266" i="2" s="1"/>
  <c r="O267" i="2"/>
  <c r="P267" i="2" s="1"/>
  <c r="O268" i="2"/>
  <c r="P268" i="2" s="1"/>
  <c r="O269" i="2"/>
  <c r="P269" i="2" s="1"/>
  <c r="O270" i="2"/>
  <c r="P270" i="2" s="1"/>
  <c r="O271" i="2"/>
  <c r="P271" i="2" s="1"/>
  <c r="O272" i="2"/>
  <c r="P272" i="2" s="1"/>
  <c r="O273" i="2"/>
  <c r="P273" i="2" s="1"/>
  <c r="O274" i="2"/>
  <c r="P274" i="2" s="1"/>
  <c r="O275" i="2"/>
  <c r="P275" i="2" s="1"/>
  <c r="O276" i="2"/>
  <c r="P276" i="2" s="1"/>
  <c r="O277" i="2"/>
  <c r="P277" i="2" s="1"/>
  <c r="O278" i="2"/>
  <c r="P278" i="2" s="1"/>
  <c r="O279" i="2"/>
  <c r="P279" i="2" s="1"/>
  <c r="O280" i="2"/>
  <c r="P280" i="2" s="1"/>
  <c r="O281" i="2"/>
  <c r="P281" i="2" s="1"/>
  <c r="O282" i="2"/>
  <c r="P282" i="2" s="1"/>
  <c r="O283" i="2"/>
  <c r="P283" i="2" s="1"/>
  <c r="O284" i="2"/>
  <c r="P284" i="2" s="1"/>
  <c r="O285" i="2"/>
  <c r="P285" i="2" s="1"/>
  <c r="O286" i="2"/>
  <c r="P286" i="2" s="1"/>
  <c r="O287" i="2"/>
  <c r="P287" i="2" s="1"/>
  <c r="O288" i="2"/>
  <c r="P288" i="2" s="1"/>
  <c r="O289" i="2"/>
  <c r="P289" i="2" s="1"/>
  <c r="O290" i="2"/>
  <c r="P290" i="2" s="1"/>
  <c r="O291" i="2"/>
  <c r="P291" i="2" s="1"/>
  <c r="O292" i="2"/>
  <c r="P292" i="2" s="1"/>
  <c r="O293" i="2"/>
  <c r="P293" i="2" s="1"/>
  <c r="O294" i="2"/>
  <c r="P294" i="2" s="1"/>
  <c r="O295" i="2"/>
  <c r="P295" i="2" s="1"/>
  <c r="O296" i="2"/>
  <c r="P296" i="2" s="1"/>
  <c r="O297" i="2"/>
  <c r="P297" i="2" s="1"/>
  <c r="O298" i="2"/>
  <c r="P298" i="2" s="1"/>
  <c r="O299" i="2"/>
  <c r="P299" i="2" s="1"/>
  <c r="O300" i="2"/>
  <c r="P300" i="2" s="1"/>
  <c r="O301" i="2"/>
  <c r="P301" i="2" s="1"/>
  <c r="O302" i="2"/>
  <c r="P302" i="2" s="1"/>
  <c r="O303" i="2"/>
  <c r="P303" i="2" s="1"/>
  <c r="O304" i="2"/>
  <c r="P304" i="2" s="1"/>
  <c r="O305" i="2"/>
  <c r="P305" i="2" s="1"/>
  <c r="O306" i="2"/>
  <c r="P306" i="2" s="1"/>
  <c r="O307" i="2"/>
  <c r="P307" i="2" s="1"/>
  <c r="O308" i="2"/>
  <c r="P308" i="2" s="1"/>
  <c r="O309" i="2"/>
  <c r="P309" i="2" s="1"/>
  <c r="O310" i="2"/>
  <c r="P310" i="2" s="1"/>
  <c r="O311" i="2"/>
  <c r="P311" i="2" s="1"/>
  <c r="O312" i="2"/>
  <c r="P312" i="2" s="1"/>
  <c r="O313" i="2"/>
  <c r="P313" i="2" s="1"/>
  <c r="O314" i="2"/>
  <c r="P314" i="2" s="1"/>
  <c r="O315" i="2"/>
  <c r="P315" i="2" s="1"/>
  <c r="O316" i="2"/>
  <c r="P316" i="2" s="1"/>
  <c r="O317" i="2"/>
  <c r="P317" i="2" s="1"/>
  <c r="O318" i="2"/>
  <c r="P318" i="2" s="1"/>
  <c r="O319" i="2"/>
  <c r="P319" i="2" s="1"/>
  <c r="O320" i="2"/>
  <c r="P320" i="2" s="1"/>
  <c r="O321" i="2"/>
  <c r="P321" i="2" s="1"/>
  <c r="O322" i="2"/>
  <c r="P322" i="2" s="1"/>
  <c r="O323" i="2"/>
  <c r="P323" i="2" s="1"/>
  <c r="O324" i="2"/>
  <c r="P324" i="2" s="1"/>
  <c r="O325" i="2"/>
  <c r="P325" i="2" s="1"/>
  <c r="O326" i="2"/>
  <c r="P326" i="2" s="1"/>
  <c r="O327" i="2"/>
  <c r="P327" i="2" s="1"/>
  <c r="O328" i="2"/>
  <c r="P328" i="2" s="1"/>
  <c r="O329" i="2"/>
  <c r="P329" i="2" s="1"/>
  <c r="O330" i="2"/>
  <c r="P330" i="2" s="1"/>
  <c r="O331" i="2"/>
  <c r="P331" i="2" s="1"/>
  <c r="O332" i="2"/>
  <c r="P332" i="2" s="1"/>
  <c r="O333" i="2"/>
  <c r="P333" i="2" s="1"/>
  <c r="O334" i="2"/>
  <c r="P334" i="2" s="1"/>
  <c r="O335" i="2"/>
  <c r="P335" i="2" s="1"/>
  <c r="O336" i="2"/>
  <c r="P336" i="2" s="1"/>
  <c r="O337" i="2"/>
  <c r="P337" i="2" s="1"/>
  <c r="O338" i="2"/>
  <c r="P338" i="2" s="1"/>
  <c r="O339" i="2"/>
  <c r="P339" i="2" s="1"/>
  <c r="O340" i="2"/>
  <c r="P340" i="2" s="1"/>
  <c r="O341" i="2"/>
  <c r="P341" i="2" s="1"/>
  <c r="O342" i="2"/>
  <c r="P342" i="2" s="1"/>
  <c r="O343" i="2"/>
  <c r="P343" i="2" s="1"/>
  <c r="O344" i="2"/>
  <c r="P344" i="2" s="1"/>
  <c r="O345" i="2"/>
  <c r="P345" i="2" s="1"/>
  <c r="O346" i="2"/>
  <c r="P346" i="2" s="1"/>
  <c r="O347" i="2"/>
  <c r="P347" i="2" s="1"/>
  <c r="O348" i="2"/>
  <c r="P348" i="2" s="1"/>
  <c r="O349" i="2"/>
  <c r="P349" i="2" s="1"/>
  <c r="O350" i="2"/>
  <c r="P350" i="2" s="1"/>
  <c r="O351" i="2"/>
  <c r="P351" i="2" s="1"/>
  <c r="O352" i="2"/>
  <c r="P352" i="2" s="1"/>
  <c r="O353" i="2"/>
  <c r="P353" i="2" s="1"/>
  <c r="O354" i="2"/>
  <c r="P354" i="2" s="1"/>
  <c r="O355" i="2"/>
  <c r="P355" i="2" s="1"/>
  <c r="O356" i="2"/>
  <c r="P356" i="2" s="1"/>
  <c r="O357" i="2"/>
  <c r="P357" i="2" s="1"/>
  <c r="O358" i="2"/>
  <c r="P358" i="2" s="1"/>
  <c r="O359" i="2"/>
  <c r="P359" i="2" s="1"/>
  <c r="O360" i="2"/>
  <c r="P360" i="2" s="1"/>
  <c r="O361" i="2"/>
  <c r="P361" i="2" s="1"/>
  <c r="O362" i="2"/>
  <c r="P362" i="2" s="1"/>
  <c r="O363" i="2"/>
  <c r="P363" i="2" s="1"/>
  <c r="O364" i="2"/>
  <c r="P364" i="2" s="1"/>
  <c r="O365" i="2"/>
  <c r="P365" i="2" s="1"/>
  <c r="O366" i="2"/>
  <c r="P366" i="2" s="1"/>
  <c r="O367" i="2"/>
  <c r="P367" i="2" s="1"/>
  <c r="O368" i="2"/>
  <c r="P368" i="2" s="1"/>
  <c r="O369" i="2"/>
  <c r="P369" i="2" s="1"/>
  <c r="O370" i="2"/>
  <c r="P370" i="2" s="1"/>
  <c r="O371" i="2"/>
  <c r="P371" i="2" s="1"/>
  <c r="O372" i="2"/>
  <c r="P372" i="2" s="1"/>
  <c r="O373" i="2"/>
  <c r="P373" i="2" s="1"/>
  <c r="O374" i="2"/>
  <c r="P374" i="2" s="1"/>
  <c r="O375" i="2"/>
  <c r="P375" i="2" s="1"/>
  <c r="O376" i="2"/>
  <c r="P376" i="2" s="1"/>
  <c r="O377" i="2"/>
  <c r="P377" i="2" s="1"/>
  <c r="O378" i="2"/>
  <c r="P378" i="2" s="1"/>
  <c r="O379" i="2"/>
  <c r="P379" i="2" s="1"/>
  <c r="O380" i="2"/>
  <c r="P380" i="2" s="1"/>
  <c r="O381" i="2"/>
  <c r="P381" i="2" s="1"/>
  <c r="O382" i="2"/>
  <c r="P382" i="2" s="1"/>
  <c r="O383" i="2"/>
  <c r="P383" i="2" s="1"/>
  <c r="O384" i="2"/>
  <c r="P384" i="2" s="1"/>
  <c r="O385" i="2"/>
  <c r="P385" i="2" s="1"/>
  <c r="O386" i="2"/>
  <c r="P386" i="2" s="1"/>
  <c r="O387" i="2"/>
  <c r="P387" i="2" s="1"/>
  <c r="O388" i="2"/>
  <c r="P388" i="2" s="1"/>
  <c r="O389" i="2"/>
  <c r="P389" i="2" s="1"/>
  <c r="O390" i="2"/>
  <c r="P390" i="2" s="1"/>
  <c r="O391" i="2"/>
  <c r="P391" i="2" s="1"/>
  <c r="O392" i="2"/>
  <c r="P392" i="2" s="1"/>
  <c r="O393" i="2"/>
  <c r="P393" i="2" s="1"/>
  <c r="O394" i="2"/>
  <c r="P394" i="2" s="1"/>
  <c r="O395" i="2"/>
  <c r="P395" i="2" s="1"/>
  <c r="O396" i="2"/>
  <c r="P396" i="2" s="1"/>
  <c r="O397" i="2"/>
  <c r="P397" i="2" s="1"/>
  <c r="O398" i="2"/>
  <c r="P398" i="2" s="1"/>
  <c r="O399" i="2"/>
  <c r="P399" i="2" s="1"/>
  <c r="O400" i="2"/>
  <c r="P400" i="2" s="1"/>
  <c r="O401" i="2"/>
  <c r="P401" i="2" s="1"/>
  <c r="O402" i="2"/>
  <c r="P402" i="2" s="1"/>
  <c r="O403" i="2"/>
  <c r="P403" i="2" s="1"/>
  <c r="O404" i="2"/>
  <c r="P404" i="2" s="1"/>
  <c r="O405" i="2"/>
  <c r="P405" i="2" s="1"/>
  <c r="O406" i="2"/>
  <c r="P406" i="2" s="1"/>
  <c r="O407" i="2"/>
  <c r="P407" i="2" s="1"/>
  <c r="O408" i="2"/>
  <c r="P408" i="2" s="1"/>
  <c r="O409" i="2"/>
  <c r="P409" i="2" s="1"/>
  <c r="O410" i="2"/>
  <c r="P410" i="2" s="1"/>
  <c r="O411" i="2"/>
  <c r="P411" i="2" s="1"/>
  <c r="O412" i="2"/>
  <c r="P412" i="2" s="1"/>
  <c r="O413" i="2"/>
  <c r="P413" i="2" s="1"/>
  <c r="O414" i="2"/>
  <c r="P414" i="2" s="1"/>
  <c r="O415" i="2"/>
  <c r="P415" i="2" s="1"/>
  <c r="O416" i="2"/>
  <c r="P416" i="2" s="1"/>
  <c r="O417" i="2"/>
  <c r="P417" i="2" s="1"/>
  <c r="O418" i="2"/>
  <c r="P418" i="2" s="1"/>
  <c r="O419" i="2"/>
  <c r="P419" i="2" s="1"/>
  <c r="O420" i="2"/>
  <c r="P420" i="2" s="1"/>
  <c r="O421" i="2"/>
  <c r="P421" i="2" s="1"/>
  <c r="O422" i="2"/>
  <c r="P422" i="2" s="1"/>
  <c r="O423" i="2"/>
  <c r="P423" i="2" s="1"/>
  <c r="O424" i="2"/>
  <c r="P424" i="2" s="1"/>
  <c r="O425" i="2"/>
  <c r="P425" i="2" s="1"/>
  <c r="O426" i="2"/>
  <c r="P426" i="2" s="1"/>
  <c r="O427" i="2"/>
  <c r="P427" i="2" s="1"/>
  <c r="O428" i="2"/>
  <c r="P428" i="2" s="1"/>
  <c r="O429" i="2"/>
  <c r="P429" i="2" s="1"/>
  <c r="O430" i="2"/>
  <c r="P430" i="2" s="1"/>
  <c r="O431" i="2"/>
  <c r="P431" i="2" s="1"/>
  <c r="O432" i="2"/>
  <c r="P432" i="2" s="1"/>
  <c r="O433" i="2"/>
  <c r="P433" i="2" s="1"/>
  <c r="O434" i="2"/>
  <c r="P434" i="2" s="1"/>
  <c r="O435" i="2"/>
  <c r="P435" i="2" s="1"/>
  <c r="O436" i="2"/>
  <c r="P436" i="2" s="1"/>
  <c r="O437" i="2"/>
  <c r="P437" i="2" s="1"/>
  <c r="O438" i="2"/>
  <c r="P438" i="2" s="1"/>
  <c r="O439" i="2"/>
  <c r="P439" i="2" s="1"/>
  <c r="O440" i="2"/>
  <c r="P440" i="2" s="1"/>
  <c r="O441" i="2"/>
  <c r="P441" i="2" s="1"/>
  <c r="O442" i="2"/>
  <c r="P442" i="2" s="1"/>
  <c r="O443" i="2"/>
  <c r="P443" i="2" s="1"/>
  <c r="O444" i="2"/>
  <c r="P444" i="2" s="1"/>
  <c r="O445" i="2"/>
  <c r="P445" i="2" s="1"/>
  <c r="O446" i="2"/>
  <c r="P446" i="2" s="1"/>
  <c r="O447" i="2"/>
  <c r="P447" i="2" s="1"/>
  <c r="O448" i="2"/>
  <c r="P448" i="2" s="1"/>
  <c r="O449" i="2"/>
  <c r="P449" i="2" s="1"/>
  <c r="O450" i="2"/>
  <c r="P450" i="2" s="1"/>
  <c r="O451" i="2"/>
  <c r="P451" i="2" s="1"/>
  <c r="O452" i="2"/>
  <c r="P452" i="2" s="1"/>
  <c r="O453" i="2"/>
  <c r="P453" i="2" s="1"/>
  <c r="O454" i="2"/>
  <c r="P454" i="2" s="1"/>
  <c r="O455" i="2"/>
  <c r="P455" i="2" s="1"/>
  <c r="O456" i="2"/>
  <c r="P456" i="2" s="1"/>
  <c r="O457" i="2"/>
  <c r="P457" i="2" s="1"/>
  <c r="O458" i="2"/>
  <c r="P458" i="2" s="1"/>
  <c r="O459" i="2"/>
  <c r="P459" i="2" s="1"/>
  <c r="O460" i="2"/>
  <c r="P460" i="2" s="1"/>
  <c r="O461" i="2"/>
  <c r="P461" i="2" s="1"/>
  <c r="O462" i="2"/>
  <c r="P462" i="2" s="1"/>
  <c r="O463" i="2"/>
  <c r="P463" i="2" s="1"/>
  <c r="O464" i="2"/>
  <c r="P464" i="2" s="1"/>
  <c r="O465" i="2"/>
  <c r="P465" i="2" s="1"/>
  <c r="O466" i="2"/>
  <c r="P466" i="2" s="1"/>
  <c r="O467" i="2"/>
  <c r="P467" i="2" s="1"/>
  <c r="O468" i="2"/>
  <c r="P468" i="2" s="1"/>
  <c r="O469" i="2"/>
  <c r="P469" i="2" s="1"/>
  <c r="O470" i="2"/>
  <c r="P470" i="2" s="1"/>
  <c r="O471" i="2"/>
  <c r="P471" i="2" s="1"/>
  <c r="O472" i="2"/>
  <c r="P472" i="2" s="1"/>
  <c r="O473" i="2"/>
  <c r="P473" i="2" s="1"/>
  <c r="O474" i="2"/>
  <c r="P474" i="2" s="1"/>
  <c r="O475" i="2"/>
  <c r="P475" i="2" s="1"/>
  <c r="O476" i="2"/>
  <c r="P476" i="2" s="1"/>
  <c r="O477" i="2"/>
  <c r="P477" i="2" s="1"/>
  <c r="O478" i="2"/>
  <c r="P478" i="2" s="1"/>
  <c r="O479" i="2"/>
  <c r="P479" i="2" s="1"/>
  <c r="O480" i="2"/>
  <c r="P480" i="2" s="1"/>
  <c r="O481" i="2"/>
  <c r="P481" i="2" s="1"/>
  <c r="O482" i="2"/>
  <c r="P482" i="2" s="1"/>
  <c r="O483" i="2"/>
  <c r="P483" i="2" s="1"/>
  <c r="O484" i="2"/>
  <c r="P484" i="2" s="1"/>
  <c r="O485" i="2"/>
  <c r="P485" i="2" s="1"/>
  <c r="O486" i="2"/>
  <c r="P486" i="2" s="1"/>
  <c r="O487" i="2"/>
  <c r="P487" i="2" s="1"/>
  <c r="O488" i="2"/>
  <c r="P488" i="2" s="1"/>
  <c r="O489" i="2"/>
  <c r="P489" i="2" s="1"/>
  <c r="O490" i="2"/>
  <c r="P490" i="2" s="1"/>
  <c r="O491" i="2"/>
  <c r="P491" i="2" s="1"/>
  <c r="O492" i="2"/>
  <c r="P492" i="2" s="1"/>
  <c r="O493" i="2"/>
  <c r="P493" i="2" s="1"/>
  <c r="O494" i="2"/>
  <c r="P494" i="2" s="1"/>
  <c r="O495" i="2"/>
  <c r="P495" i="2" s="1"/>
  <c r="O496" i="2"/>
  <c r="P496" i="2" s="1"/>
  <c r="O497" i="2"/>
  <c r="P497" i="2" s="1"/>
  <c r="O498" i="2"/>
  <c r="P498" i="2" s="1"/>
  <c r="O499" i="2"/>
  <c r="P499" i="2" s="1"/>
  <c r="O500" i="2"/>
  <c r="P500" i="2" s="1"/>
  <c r="O501" i="2"/>
  <c r="P501" i="2" s="1"/>
  <c r="O502" i="2"/>
  <c r="P502" i="2" s="1"/>
  <c r="O503" i="2"/>
  <c r="P503" i="2" s="1"/>
  <c r="O504" i="2"/>
  <c r="P504" i="2" s="1"/>
  <c r="O505" i="2"/>
  <c r="P505" i="2" s="1"/>
  <c r="O506" i="2"/>
  <c r="P506" i="2" s="1"/>
  <c r="O507" i="2"/>
  <c r="P507" i="2" s="1"/>
  <c r="O508" i="2"/>
  <c r="P508" i="2" s="1"/>
  <c r="O509" i="2"/>
  <c r="P509" i="2" s="1"/>
  <c r="O510" i="2"/>
  <c r="P510" i="2" s="1"/>
  <c r="O511" i="2"/>
  <c r="P511" i="2" s="1"/>
  <c r="O512" i="2"/>
  <c r="P512" i="2" s="1"/>
  <c r="O513" i="2"/>
  <c r="P513" i="2" s="1"/>
  <c r="O514" i="2"/>
  <c r="P514" i="2" s="1"/>
  <c r="O515" i="2"/>
  <c r="P515" i="2" s="1"/>
  <c r="O516" i="2"/>
  <c r="P516" i="2" s="1"/>
  <c r="O517" i="2"/>
  <c r="P517" i="2" s="1"/>
  <c r="O518" i="2"/>
  <c r="P518" i="2" s="1"/>
  <c r="O519" i="2"/>
  <c r="P519" i="2" s="1"/>
  <c r="O520" i="2"/>
  <c r="P520" i="2" s="1"/>
  <c r="O521" i="2"/>
  <c r="P521" i="2" s="1"/>
  <c r="O522" i="2"/>
  <c r="P522" i="2" s="1"/>
  <c r="O523" i="2"/>
  <c r="P523" i="2" s="1"/>
  <c r="O524" i="2"/>
  <c r="P524" i="2" s="1"/>
  <c r="O525" i="2"/>
  <c r="P525" i="2" s="1"/>
  <c r="O526" i="2"/>
  <c r="P526" i="2" s="1"/>
  <c r="O527" i="2"/>
  <c r="P527" i="2" s="1"/>
  <c r="O528" i="2"/>
  <c r="P528" i="2" s="1"/>
  <c r="O529" i="2"/>
  <c r="P529" i="2" s="1"/>
  <c r="O530" i="2"/>
  <c r="P530" i="2" s="1"/>
  <c r="O531" i="2"/>
  <c r="P531" i="2" s="1"/>
  <c r="O532" i="2"/>
  <c r="P532" i="2" s="1"/>
  <c r="O533" i="2"/>
  <c r="P533" i="2" s="1"/>
  <c r="O534" i="2"/>
  <c r="P534" i="2" s="1"/>
  <c r="O535" i="2"/>
  <c r="P535" i="2" s="1"/>
  <c r="O536" i="2"/>
  <c r="P536" i="2" s="1"/>
  <c r="O537" i="2"/>
  <c r="P537" i="2" s="1"/>
  <c r="O538" i="2"/>
  <c r="P538" i="2" s="1"/>
  <c r="O539" i="2"/>
  <c r="P539" i="2" s="1"/>
  <c r="O540" i="2"/>
  <c r="P540" i="2" s="1"/>
  <c r="O541" i="2"/>
  <c r="P541" i="2" s="1"/>
  <c r="O542" i="2"/>
  <c r="P542" i="2" s="1"/>
  <c r="O543" i="2"/>
  <c r="P543" i="2" s="1"/>
  <c r="O544" i="2"/>
  <c r="P544" i="2" s="1"/>
  <c r="O545" i="2"/>
  <c r="P545" i="2" s="1"/>
  <c r="O546" i="2"/>
  <c r="P546" i="2" s="1"/>
  <c r="O547" i="2"/>
  <c r="P547" i="2" s="1"/>
  <c r="O548" i="2"/>
  <c r="P548" i="2" s="1"/>
  <c r="O549" i="2"/>
  <c r="P549" i="2" s="1"/>
  <c r="O550" i="2"/>
  <c r="P550" i="2" s="1"/>
  <c r="O551" i="2"/>
  <c r="P551" i="2" s="1"/>
  <c r="O552" i="2"/>
  <c r="P552" i="2" s="1"/>
  <c r="O553" i="2"/>
  <c r="P553" i="2" s="1"/>
  <c r="O554" i="2"/>
  <c r="P554" i="2" s="1"/>
  <c r="O555" i="2"/>
  <c r="P555" i="2" s="1"/>
  <c r="O556" i="2"/>
  <c r="P556" i="2" s="1"/>
  <c r="O557" i="2"/>
  <c r="P557" i="2" s="1"/>
  <c r="O558" i="2"/>
  <c r="P558" i="2" s="1"/>
  <c r="O559" i="2"/>
  <c r="P559" i="2" s="1"/>
  <c r="O560" i="2"/>
  <c r="P560" i="2" s="1"/>
  <c r="O561" i="2"/>
  <c r="P561" i="2" s="1"/>
  <c r="O562" i="2"/>
  <c r="P562" i="2" s="1"/>
  <c r="O563" i="2"/>
  <c r="P563" i="2" s="1"/>
  <c r="O564" i="2"/>
  <c r="P564" i="2" s="1"/>
  <c r="O565" i="2"/>
  <c r="P565" i="2" s="1"/>
  <c r="O566" i="2"/>
  <c r="P566" i="2" s="1"/>
  <c r="O567" i="2"/>
  <c r="P567" i="2" s="1"/>
  <c r="O568" i="2"/>
  <c r="P568" i="2" s="1"/>
  <c r="O569" i="2"/>
  <c r="P569" i="2" s="1"/>
  <c r="O570" i="2"/>
  <c r="P570" i="2" s="1"/>
  <c r="O571" i="2"/>
  <c r="P571" i="2" s="1"/>
  <c r="O572" i="2"/>
  <c r="P572" i="2" s="1"/>
  <c r="O573" i="2"/>
  <c r="P573" i="2" s="1"/>
  <c r="O574" i="2"/>
  <c r="P574" i="2" s="1"/>
  <c r="O575" i="2"/>
  <c r="P575" i="2" s="1"/>
  <c r="O576" i="2"/>
  <c r="P576" i="2" s="1"/>
  <c r="O577" i="2"/>
  <c r="P577" i="2" s="1"/>
  <c r="O578" i="2"/>
  <c r="P578" i="2" s="1"/>
  <c r="O579" i="2"/>
  <c r="P579" i="2" s="1"/>
  <c r="O580" i="2"/>
  <c r="P580" i="2" s="1"/>
  <c r="O581" i="2"/>
  <c r="P581" i="2" s="1"/>
  <c r="O582" i="2"/>
  <c r="P582" i="2" s="1"/>
  <c r="O583" i="2"/>
  <c r="P583" i="2" s="1"/>
  <c r="O584" i="2"/>
  <c r="P584" i="2" s="1"/>
  <c r="O585" i="2"/>
  <c r="P585" i="2" s="1"/>
  <c r="O586" i="2"/>
  <c r="P586" i="2" s="1"/>
  <c r="O587" i="2"/>
  <c r="P587" i="2" s="1"/>
  <c r="O588" i="2"/>
  <c r="P588" i="2" s="1"/>
  <c r="O589" i="2"/>
  <c r="P589" i="2" s="1"/>
  <c r="O590" i="2"/>
  <c r="P590" i="2" s="1"/>
  <c r="O591" i="2"/>
  <c r="P591" i="2" s="1"/>
  <c r="O592" i="2"/>
  <c r="P592" i="2" s="1"/>
  <c r="O593" i="2"/>
  <c r="P593" i="2" s="1"/>
  <c r="O594" i="2"/>
  <c r="P594" i="2" s="1"/>
  <c r="O595" i="2"/>
  <c r="P595" i="2" s="1"/>
  <c r="O596" i="2"/>
  <c r="P596" i="2" s="1"/>
  <c r="O597" i="2"/>
  <c r="P597" i="2" s="1"/>
  <c r="O598" i="2"/>
  <c r="P598" i="2" s="1"/>
  <c r="O599" i="2"/>
  <c r="P599" i="2" s="1"/>
  <c r="O600" i="2"/>
  <c r="P600" i="2" s="1"/>
  <c r="O601" i="2"/>
  <c r="P601" i="2" s="1"/>
  <c r="O602" i="2"/>
  <c r="P602" i="2" s="1"/>
  <c r="O603" i="2"/>
  <c r="P603" i="2" s="1"/>
  <c r="O604" i="2"/>
  <c r="P604" i="2" s="1"/>
  <c r="O605" i="2"/>
  <c r="P605" i="2" s="1"/>
  <c r="O606" i="2"/>
  <c r="P606" i="2" s="1"/>
  <c r="O607" i="2"/>
  <c r="P607" i="2" s="1"/>
  <c r="O608" i="2"/>
  <c r="P608" i="2" s="1"/>
  <c r="O609" i="2"/>
  <c r="P609" i="2" s="1"/>
  <c r="O610" i="2"/>
  <c r="P610" i="2" s="1"/>
  <c r="O611" i="2"/>
  <c r="P611" i="2" s="1"/>
  <c r="O612" i="2"/>
  <c r="P612" i="2" s="1"/>
  <c r="O613" i="2"/>
  <c r="P613" i="2" s="1"/>
  <c r="O614" i="2"/>
  <c r="P614" i="2" s="1"/>
  <c r="O615" i="2"/>
  <c r="P615" i="2" s="1"/>
  <c r="O616" i="2"/>
  <c r="P616" i="2" s="1"/>
  <c r="O617" i="2"/>
  <c r="P617" i="2" s="1"/>
  <c r="O618" i="2"/>
  <c r="P618" i="2" s="1"/>
  <c r="O619" i="2"/>
  <c r="P619" i="2" s="1"/>
  <c r="O620" i="2"/>
  <c r="P620" i="2" s="1"/>
  <c r="O621" i="2"/>
  <c r="P621" i="2" s="1"/>
  <c r="O622" i="2"/>
  <c r="P622" i="2" s="1"/>
  <c r="O623" i="2"/>
  <c r="P623" i="2" s="1"/>
  <c r="O624" i="2"/>
  <c r="P624" i="2" s="1"/>
  <c r="O625" i="2"/>
  <c r="P625" i="2" s="1"/>
  <c r="O626" i="2"/>
  <c r="P626" i="2" s="1"/>
  <c r="O627" i="2"/>
  <c r="P627" i="2" s="1"/>
  <c r="O628" i="2"/>
  <c r="P628" i="2" s="1"/>
  <c r="O629" i="2"/>
  <c r="P629" i="2" s="1"/>
  <c r="O630" i="2"/>
  <c r="P630" i="2" s="1"/>
  <c r="O631" i="2"/>
  <c r="P631" i="2" s="1"/>
  <c r="O632" i="2"/>
  <c r="P632" i="2" s="1"/>
  <c r="O633" i="2"/>
  <c r="P633" i="2" s="1"/>
  <c r="O634" i="2"/>
  <c r="P634" i="2" s="1"/>
  <c r="O635" i="2"/>
  <c r="P635" i="2" s="1"/>
  <c r="O636" i="2"/>
  <c r="P636" i="2" s="1"/>
  <c r="O637" i="2"/>
  <c r="P637" i="2" s="1"/>
  <c r="O638" i="2"/>
  <c r="P638" i="2" s="1"/>
  <c r="O639" i="2"/>
  <c r="P639" i="2" s="1"/>
  <c r="O640" i="2"/>
  <c r="P640" i="2" s="1"/>
  <c r="O641" i="2"/>
  <c r="P641" i="2" s="1"/>
  <c r="O642" i="2"/>
  <c r="P642" i="2" s="1"/>
  <c r="O643" i="2"/>
  <c r="P643" i="2" s="1"/>
  <c r="O644" i="2"/>
  <c r="P644" i="2" s="1"/>
  <c r="O645" i="2"/>
  <c r="P645" i="2" s="1"/>
  <c r="O646" i="2"/>
  <c r="P646" i="2" s="1"/>
  <c r="O647" i="2"/>
  <c r="P647" i="2" s="1"/>
  <c r="O648" i="2"/>
  <c r="P648" i="2" s="1"/>
  <c r="O649" i="2"/>
  <c r="P649" i="2" s="1"/>
  <c r="O650" i="2"/>
  <c r="P650" i="2" s="1"/>
  <c r="O651" i="2"/>
  <c r="P651" i="2" s="1"/>
  <c r="O652" i="2"/>
  <c r="P652" i="2" s="1"/>
  <c r="O653" i="2"/>
  <c r="P653" i="2" s="1"/>
  <c r="O654" i="2"/>
  <c r="P654" i="2" s="1"/>
  <c r="O655" i="2"/>
  <c r="P655" i="2" s="1"/>
  <c r="O656" i="2"/>
  <c r="P656" i="2" s="1"/>
  <c r="O657" i="2"/>
  <c r="P657" i="2" s="1"/>
  <c r="O658" i="2"/>
  <c r="P658" i="2" s="1"/>
  <c r="O659" i="2"/>
  <c r="P659" i="2" s="1"/>
  <c r="O660" i="2"/>
  <c r="P660" i="2" s="1"/>
  <c r="O661" i="2"/>
  <c r="P661" i="2" s="1"/>
  <c r="O662" i="2"/>
  <c r="P662" i="2" s="1"/>
  <c r="O663" i="2"/>
  <c r="P663" i="2" s="1"/>
  <c r="O664" i="2"/>
  <c r="P664" i="2" s="1"/>
  <c r="O665" i="2"/>
  <c r="P665" i="2" s="1"/>
  <c r="O666" i="2"/>
  <c r="P666" i="2" s="1"/>
  <c r="O667" i="2"/>
  <c r="P667" i="2" s="1"/>
  <c r="O668" i="2"/>
  <c r="P668" i="2" s="1"/>
  <c r="O669" i="2"/>
  <c r="P669" i="2" s="1"/>
  <c r="O670" i="2"/>
  <c r="P670" i="2" s="1"/>
  <c r="O671" i="2"/>
  <c r="P671" i="2" s="1"/>
  <c r="O672" i="2"/>
  <c r="P672" i="2" s="1"/>
  <c r="O673" i="2"/>
  <c r="P673" i="2" s="1"/>
  <c r="O674" i="2"/>
  <c r="P674" i="2" s="1"/>
  <c r="O675" i="2"/>
  <c r="P675" i="2" s="1"/>
  <c r="O676" i="2"/>
  <c r="P676" i="2" s="1"/>
  <c r="O677" i="2"/>
  <c r="P677" i="2" s="1"/>
  <c r="O678" i="2"/>
  <c r="P678" i="2" s="1"/>
  <c r="O679" i="2"/>
  <c r="P679" i="2" s="1"/>
  <c r="O680" i="2"/>
  <c r="P680" i="2" s="1"/>
  <c r="O681" i="2"/>
  <c r="P681" i="2" s="1"/>
  <c r="O682" i="2"/>
  <c r="P682" i="2" s="1"/>
  <c r="O683" i="2"/>
  <c r="P683" i="2" s="1"/>
  <c r="O684" i="2"/>
  <c r="P684" i="2" s="1"/>
  <c r="O685" i="2"/>
  <c r="P685" i="2" s="1"/>
  <c r="O686" i="2"/>
  <c r="P686" i="2" s="1"/>
  <c r="O687" i="2"/>
  <c r="P687" i="2" s="1"/>
  <c r="O688" i="2"/>
  <c r="P688" i="2" s="1"/>
  <c r="O689" i="2"/>
  <c r="P689" i="2" s="1"/>
  <c r="O690" i="2"/>
  <c r="P690" i="2" s="1"/>
  <c r="O691" i="2"/>
  <c r="P691" i="2" s="1"/>
  <c r="O692" i="2"/>
  <c r="P692" i="2" s="1"/>
  <c r="O693" i="2"/>
  <c r="P693" i="2" s="1"/>
  <c r="O694" i="2"/>
  <c r="P694" i="2" s="1"/>
  <c r="O695" i="2"/>
  <c r="P695" i="2" s="1"/>
  <c r="O696" i="2"/>
  <c r="P696" i="2" s="1"/>
  <c r="O697" i="2"/>
  <c r="P697" i="2" s="1"/>
  <c r="O698" i="2"/>
  <c r="P698" i="2" s="1"/>
  <c r="O699" i="2"/>
  <c r="P699" i="2" s="1"/>
  <c r="O700" i="2"/>
  <c r="P700" i="2" s="1"/>
  <c r="O701" i="2"/>
  <c r="P701" i="2" s="1"/>
  <c r="O702" i="2"/>
  <c r="P702" i="2" s="1"/>
  <c r="O703" i="2"/>
  <c r="P703" i="2" s="1"/>
  <c r="O704" i="2"/>
  <c r="P704" i="2" s="1"/>
  <c r="O705" i="2"/>
  <c r="P705" i="2" s="1"/>
  <c r="O706" i="2"/>
  <c r="P706" i="2" s="1"/>
  <c r="O707" i="2"/>
  <c r="P707" i="2" s="1"/>
  <c r="O708" i="2"/>
  <c r="P708" i="2" s="1"/>
  <c r="O709" i="2"/>
  <c r="P709" i="2" s="1"/>
  <c r="O710" i="2"/>
  <c r="P710" i="2" s="1"/>
  <c r="O711" i="2"/>
  <c r="P711" i="2" s="1"/>
  <c r="O712" i="2"/>
  <c r="P712" i="2" s="1"/>
  <c r="O713" i="2"/>
  <c r="P713" i="2" s="1"/>
  <c r="O714" i="2"/>
  <c r="P714" i="2" s="1"/>
  <c r="O715" i="2"/>
  <c r="P715" i="2" s="1"/>
  <c r="O716" i="2"/>
  <c r="P716" i="2" s="1"/>
  <c r="O717" i="2"/>
  <c r="P717" i="2" s="1"/>
  <c r="O718" i="2"/>
  <c r="P718" i="2" s="1"/>
  <c r="O719" i="2"/>
  <c r="P719" i="2" s="1"/>
  <c r="O720" i="2"/>
  <c r="P720" i="2" s="1"/>
  <c r="O721" i="2"/>
  <c r="P721" i="2" s="1"/>
  <c r="O722" i="2"/>
  <c r="P722" i="2" s="1"/>
  <c r="O723" i="2"/>
  <c r="P723" i="2" s="1"/>
  <c r="O724" i="2"/>
  <c r="P724" i="2" s="1"/>
  <c r="O725" i="2"/>
  <c r="P725" i="2" s="1"/>
  <c r="O726" i="2"/>
  <c r="P726" i="2" s="1"/>
  <c r="O727" i="2"/>
  <c r="P727" i="2" s="1"/>
  <c r="O728" i="2"/>
  <c r="P728" i="2" s="1"/>
  <c r="O729" i="2"/>
  <c r="P729" i="2" s="1"/>
  <c r="O730" i="2"/>
  <c r="P730" i="2" s="1"/>
  <c r="O731" i="2"/>
  <c r="P731" i="2" s="1"/>
  <c r="O732" i="2"/>
  <c r="P732" i="2" s="1"/>
  <c r="O733" i="2"/>
  <c r="P733" i="2" s="1"/>
  <c r="O734" i="2"/>
  <c r="P734" i="2" s="1"/>
  <c r="O735" i="2"/>
  <c r="P735" i="2" s="1"/>
  <c r="O736" i="2"/>
  <c r="P736" i="2" s="1"/>
  <c r="O737" i="2"/>
  <c r="P737" i="2" s="1"/>
  <c r="O738" i="2"/>
  <c r="P738" i="2" s="1"/>
  <c r="O739" i="2"/>
  <c r="P739" i="2" s="1"/>
  <c r="O740" i="2"/>
  <c r="P740" i="2" s="1"/>
  <c r="O741" i="2"/>
  <c r="P741" i="2" s="1"/>
  <c r="O742" i="2"/>
  <c r="P742" i="2" s="1"/>
  <c r="O743" i="2"/>
  <c r="P743" i="2" s="1"/>
  <c r="O744" i="2"/>
  <c r="P744" i="2" s="1"/>
  <c r="O745" i="2"/>
  <c r="P745" i="2" s="1"/>
  <c r="O746" i="2"/>
  <c r="P746" i="2" s="1"/>
  <c r="O747" i="2"/>
  <c r="P747" i="2" s="1"/>
  <c r="O748" i="2"/>
  <c r="P748" i="2" s="1"/>
  <c r="O749" i="2"/>
  <c r="P749" i="2" s="1"/>
  <c r="O750" i="2"/>
  <c r="P750" i="2" s="1"/>
  <c r="O751" i="2"/>
  <c r="P751" i="2" s="1"/>
  <c r="O752" i="2"/>
  <c r="P752" i="2" s="1"/>
  <c r="O753" i="2"/>
  <c r="P753" i="2" s="1"/>
  <c r="O754" i="2"/>
  <c r="P754" i="2" s="1"/>
  <c r="O755" i="2"/>
  <c r="P755" i="2" s="1"/>
  <c r="O756" i="2"/>
  <c r="P756" i="2" s="1"/>
  <c r="O757" i="2"/>
  <c r="P757" i="2" s="1"/>
  <c r="O758" i="2"/>
  <c r="P758" i="2" s="1"/>
  <c r="O759" i="2"/>
  <c r="P759" i="2" s="1"/>
  <c r="O760" i="2"/>
  <c r="P760" i="2" s="1"/>
  <c r="O761" i="2"/>
  <c r="P761" i="2" s="1"/>
  <c r="O762" i="2"/>
  <c r="P762" i="2" s="1"/>
  <c r="O763" i="2"/>
  <c r="P763" i="2" s="1"/>
  <c r="O764" i="2"/>
  <c r="P764" i="2" s="1"/>
  <c r="O765" i="2"/>
  <c r="P765" i="2" s="1"/>
  <c r="O766" i="2"/>
  <c r="P766" i="2" s="1"/>
  <c r="O767" i="2"/>
  <c r="P767" i="2" s="1"/>
  <c r="O768" i="2"/>
  <c r="P768" i="2" s="1"/>
  <c r="O769" i="2"/>
  <c r="P769" i="2" s="1"/>
  <c r="O770" i="2"/>
  <c r="P770" i="2" s="1"/>
  <c r="O771" i="2"/>
  <c r="P771" i="2" s="1"/>
  <c r="O772" i="2"/>
  <c r="P772" i="2" s="1"/>
  <c r="O773" i="2"/>
  <c r="P773" i="2" s="1"/>
  <c r="O774" i="2"/>
  <c r="P774" i="2" s="1"/>
  <c r="O775" i="2"/>
  <c r="P775" i="2" s="1"/>
  <c r="O776" i="2"/>
  <c r="P776" i="2" s="1"/>
  <c r="O777" i="2"/>
  <c r="P777" i="2" s="1"/>
  <c r="O778" i="2"/>
  <c r="P778" i="2" s="1"/>
  <c r="O779" i="2"/>
  <c r="P779" i="2" s="1"/>
  <c r="O780" i="2"/>
  <c r="P780" i="2" s="1"/>
  <c r="O781" i="2"/>
  <c r="P781" i="2" s="1"/>
  <c r="O782" i="2"/>
  <c r="P782" i="2" s="1"/>
  <c r="O783" i="2"/>
  <c r="P783" i="2" s="1"/>
  <c r="O784" i="2"/>
  <c r="P784" i="2" s="1"/>
  <c r="O785" i="2"/>
  <c r="P785" i="2" s="1"/>
  <c r="O786" i="2"/>
  <c r="P786" i="2" s="1"/>
  <c r="O787" i="2"/>
  <c r="P787" i="2" s="1"/>
  <c r="O788" i="2"/>
  <c r="P788" i="2" s="1"/>
  <c r="O789" i="2"/>
  <c r="P789" i="2" s="1"/>
  <c r="O790" i="2"/>
  <c r="P790" i="2" s="1"/>
  <c r="O791" i="2"/>
  <c r="P791" i="2" s="1"/>
  <c r="O792" i="2"/>
  <c r="P792" i="2" s="1"/>
  <c r="O793" i="2"/>
  <c r="P793" i="2" s="1"/>
  <c r="O794" i="2"/>
  <c r="P794" i="2" s="1"/>
  <c r="O795" i="2"/>
  <c r="P795" i="2" s="1"/>
  <c r="O796" i="2"/>
  <c r="P796" i="2" s="1"/>
  <c r="O797" i="2"/>
  <c r="P797" i="2" s="1"/>
  <c r="O798" i="2"/>
  <c r="P798" i="2" s="1"/>
  <c r="O799" i="2"/>
  <c r="P799" i="2" s="1"/>
  <c r="O800" i="2"/>
  <c r="P800" i="2" s="1"/>
  <c r="O801" i="2"/>
  <c r="P801" i="2" s="1"/>
  <c r="O802" i="2"/>
  <c r="P802" i="2" s="1"/>
  <c r="O803" i="2"/>
  <c r="P803" i="2" s="1"/>
  <c r="O804" i="2"/>
  <c r="P804" i="2" s="1"/>
  <c r="O805" i="2"/>
  <c r="P805" i="2" s="1"/>
  <c r="O806" i="2"/>
  <c r="P806" i="2" s="1"/>
  <c r="O807" i="2"/>
  <c r="P807" i="2" s="1"/>
  <c r="O808" i="2"/>
  <c r="P808" i="2" s="1"/>
  <c r="O809" i="2"/>
  <c r="P809" i="2" s="1"/>
  <c r="O810" i="2"/>
  <c r="P810" i="2" s="1"/>
  <c r="O811" i="2"/>
  <c r="P811" i="2" s="1"/>
  <c r="O812" i="2"/>
  <c r="P812" i="2" s="1"/>
  <c r="O813" i="2"/>
  <c r="P813" i="2" s="1"/>
  <c r="O814" i="2"/>
  <c r="P814" i="2" s="1"/>
  <c r="O815" i="2"/>
  <c r="P815" i="2" s="1"/>
  <c r="O816" i="2"/>
  <c r="P816" i="2" s="1"/>
  <c r="O817" i="2"/>
  <c r="P817" i="2" s="1"/>
  <c r="O818" i="2"/>
  <c r="P818" i="2" s="1"/>
  <c r="O819" i="2"/>
  <c r="P819" i="2" s="1"/>
  <c r="O820" i="2"/>
  <c r="P820" i="2" s="1"/>
  <c r="O821" i="2"/>
  <c r="P821" i="2" s="1"/>
  <c r="O822" i="2"/>
  <c r="P822" i="2" s="1"/>
  <c r="O823" i="2"/>
  <c r="P823" i="2" s="1"/>
  <c r="O824" i="2"/>
  <c r="P824" i="2" s="1"/>
  <c r="O825" i="2"/>
  <c r="P825" i="2" s="1"/>
  <c r="O826" i="2"/>
  <c r="P826" i="2" s="1"/>
  <c r="O827" i="2"/>
  <c r="P827" i="2" s="1"/>
  <c r="O828" i="2"/>
  <c r="P828" i="2" s="1"/>
  <c r="O829" i="2"/>
  <c r="P829" i="2" s="1"/>
  <c r="O830" i="2"/>
  <c r="P830" i="2" s="1"/>
  <c r="O831" i="2"/>
  <c r="P831" i="2" s="1"/>
  <c r="O832" i="2"/>
  <c r="P832" i="2" s="1"/>
  <c r="O833" i="2"/>
  <c r="P833" i="2" s="1"/>
  <c r="O834" i="2"/>
  <c r="P834" i="2" s="1"/>
  <c r="O835" i="2"/>
  <c r="P835" i="2" s="1"/>
  <c r="O836" i="2"/>
  <c r="P836" i="2" s="1"/>
  <c r="O837" i="2"/>
  <c r="P837" i="2" s="1"/>
  <c r="O838" i="2"/>
  <c r="P838" i="2" s="1"/>
  <c r="O839" i="2"/>
  <c r="P839" i="2" s="1"/>
  <c r="O840" i="2"/>
  <c r="P840" i="2" s="1"/>
  <c r="O841" i="2"/>
  <c r="P841" i="2" s="1"/>
  <c r="O842" i="2"/>
  <c r="P842" i="2" s="1"/>
  <c r="O843" i="2"/>
  <c r="P843" i="2" s="1"/>
  <c r="O844" i="2"/>
  <c r="P844" i="2" s="1"/>
  <c r="O845" i="2"/>
  <c r="P845" i="2" s="1"/>
  <c r="O846" i="2"/>
  <c r="P846" i="2" s="1"/>
  <c r="O847" i="2"/>
  <c r="P847" i="2" s="1"/>
  <c r="O848" i="2"/>
  <c r="P848" i="2" s="1"/>
  <c r="O849" i="2"/>
  <c r="P849" i="2" s="1"/>
  <c r="O850" i="2"/>
  <c r="P850" i="2" s="1"/>
  <c r="O851" i="2"/>
  <c r="P851" i="2" s="1"/>
  <c r="O852" i="2"/>
  <c r="P852" i="2" s="1"/>
  <c r="O853" i="2"/>
  <c r="P853" i="2" s="1"/>
  <c r="O854" i="2"/>
  <c r="P854" i="2" s="1"/>
  <c r="O855" i="2"/>
  <c r="P855" i="2" s="1"/>
  <c r="O856" i="2"/>
  <c r="P856" i="2" s="1"/>
  <c r="O857" i="2"/>
  <c r="P857" i="2" s="1"/>
  <c r="O858" i="2"/>
  <c r="P858" i="2" s="1"/>
  <c r="O859" i="2"/>
  <c r="P859" i="2" s="1"/>
  <c r="O860" i="2"/>
  <c r="P860" i="2" s="1"/>
  <c r="O861" i="2"/>
  <c r="P861" i="2" s="1"/>
  <c r="O862" i="2"/>
  <c r="P862" i="2" s="1"/>
  <c r="O863" i="2"/>
  <c r="P863" i="2" s="1"/>
  <c r="O864" i="2"/>
  <c r="P864" i="2" s="1"/>
  <c r="O865" i="2"/>
  <c r="P865" i="2" s="1"/>
  <c r="O866" i="2"/>
  <c r="P866" i="2" s="1"/>
  <c r="O867" i="2"/>
  <c r="P867" i="2" s="1"/>
  <c r="O868" i="2"/>
  <c r="P868" i="2" s="1"/>
  <c r="O869" i="2"/>
  <c r="P869" i="2" s="1"/>
  <c r="O870" i="2"/>
  <c r="P870" i="2" s="1"/>
  <c r="O871" i="2"/>
  <c r="P871" i="2" s="1"/>
  <c r="O872" i="2"/>
  <c r="P872" i="2" s="1"/>
  <c r="O873" i="2"/>
  <c r="P873" i="2" s="1"/>
  <c r="O874" i="2"/>
  <c r="P874" i="2" s="1"/>
  <c r="O875" i="2"/>
  <c r="P875" i="2" s="1"/>
  <c r="O876" i="2"/>
  <c r="P876" i="2" s="1"/>
  <c r="O877" i="2"/>
  <c r="P877" i="2" s="1"/>
  <c r="O878" i="2"/>
  <c r="P878" i="2" s="1"/>
  <c r="O879" i="2"/>
  <c r="P879" i="2" s="1"/>
  <c r="O880" i="2"/>
  <c r="P880" i="2" s="1"/>
  <c r="O881" i="2"/>
  <c r="P881" i="2" s="1"/>
  <c r="O882" i="2"/>
  <c r="P882" i="2" s="1"/>
  <c r="O883" i="2"/>
  <c r="P883" i="2" s="1"/>
  <c r="O884" i="2"/>
  <c r="P884" i="2" s="1"/>
  <c r="O885" i="2"/>
  <c r="P885" i="2" s="1"/>
  <c r="O886" i="2"/>
  <c r="P886" i="2" s="1"/>
  <c r="O887" i="2"/>
  <c r="P887" i="2" s="1"/>
  <c r="O888" i="2"/>
  <c r="P888" i="2" s="1"/>
  <c r="O889" i="2"/>
  <c r="P889" i="2" s="1"/>
  <c r="O890" i="2"/>
  <c r="P890" i="2" s="1"/>
  <c r="O891" i="2"/>
  <c r="P891" i="2" s="1"/>
  <c r="O892" i="2"/>
  <c r="P892" i="2" s="1"/>
  <c r="O893" i="2"/>
  <c r="P893" i="2" s="1"/>
  <c r="O894" i="2"/>
  <c r="P894" i="2" s="1"/>
  <c r="O895" i="2"/>
  <c r="P895" i="2" s="1"/>
  <c r="O896" i="2"/>
  <c r="P896" i="2" s="1"/>
  <c r="O897" i="2"/>
  <c r="P897" i="2" s="1"/>
  <c r="O898" i="2"/>
  <c r="P898" i="2" s="1"/>
  <c r="O899" i="2"/>
  <c r="P899" i="2" s="1"/>
  <c r="O900" i="2"/>
  <c r="P900" i="2" s="1"/>
  <c r="O901" i="2"/>
  <c r="P901" i="2" s="1"/>
  <c r="O902" i="2"/>
  <c r="P902" i="2" s="1"/>
  <c r="O903" i="2"/>
  <c r="P903" i="2" s="1"/>
  <c r="O904" i="2"/>
  <c r="P904" i="2" s="1"/>
  <c r="O905" i="2"/>
  <c r="P905" i="2" s="1"/>
  <c r="O906" i="2"/>
  <c r="P906" i="2" s="1"/>
  <c r="O907" i="2"/>
  <c r="P907" i="2" s="1"/>
  <c r="O908" i="2"/>
  <c r="P908" i="2" s="1"/>
  <c r="O909" i="2"/>
  <c r="P909" i="2" s="1"/>
  <c r="O910" i="2"/>
  <c r="P910" i="2" s="1"/>
  <c r="O911" i="2"/>
  <c r="P911" i="2" s="1"/>
  <c r="O912" i="2"/>
  <c r="P912" i="2" s="1"/>
  <c r="O913" i="2"/>
  <c r="P913" i="2" s="1"/>
  <c r="O914" i="2"/>
  <c r="P914" i="2" s="1"/>
  <c r="O915" i="2"/>
  <c r="P915" i="2" s="1"/>
  <c r="O916" i="2"/>
  <c r="P916" i="2" s="1"/>
  <c r="O917" i="2"/>
  <c r="P917" i="2" s="1"/>
  <c r="O918" i="2"/>
  <c r="P918" i="2" s="1"/>
  <c r="O919" i="2"/>
  <c r="P919" i="2" s="1"/>
  <c r="O920" i="2"/>
  <c r="P920" i="2" s="1"/>
  <c r="O921" i="2"/>
  <c r="P921" i="2" s="1"/>
  <c r="O922" i="2"/>
  <c r="P922" i="2" s="1"/>
  <c r="O923" i="2"/>
  <c r="P923" i="2" s="1"/>
  <c r="O924" i="2"/>
  <c r="P924" i="2" s="1"/>
  <c r="O925" i="2"/>
  <c r="P925" i="2" s="1"/>
  <c r="O926" i="2"/>
  <c r="P926" i="2" s="1"/>
  <c r="O927" i="2"/>
  <c r="P927" i="2" s="1"/>
  <c r="O928" i="2"/>
  <c r="P928" i="2" s="1"/>
  <c r="O929" i="2"/>
  <c r="P929" i="2" s="1"/>
  <c r="O930" i="2"/>
  <c r="P930" i="2" s="1"/>
  <c r="O931" i="2"/>
  <c r="P931" i="2" s="1"/>
  <c r="O932" i="2"/>
  <c r="P932" i="2" s="1"/>
  <c r="O933" i="2"/>
  <c r="P933" i="2" s="1"/>
  <c r="O934" i="2"/>
  <c r="P934" i="2" s="1"/>
  <c r="O935" i="2"/>
  <c r="P935" i="2" s="1"/>
  <c r="O936" i="2"/>
  <c r="P936" i="2" s="1"/>
  <c r="O937" i="2"/>
  <c r="P937" i="2" s="1"/>
  <c r="O938" i="2"/>
  <c r="P938" i="2" s="1"/>
  <c r="O939" i="2"/>
  <c r="P939" i="2" s="1"/>
  <c r="O940" i="2"/>
  <c r="P940" i="2" s="1"/>
  <c r="O941" i="2"/>
  <c r="P941" i="2" s="1"/>
  <c r="O942" i="2"/>
  <c r="P942" i="2" s="1"/>
  <c r="O943" i="2"/>
  <c r="P943" i="2" s="1"/>
  <c r="O944" i="2"/>
  <c r="P944" i="2" s="1"/>
  <c r="O945" i="2"/>
  <c r="P945" i="2" s="1"/>
  <c r="O946" i="2"/>
  <c r="P946" i="2" s="1"/>
  <c r="O947" i="2"/>
  <c r="P947" i="2" s="1"/>
  <c r="O948" i="2"/>
  <c r="P948" i="2" s="1"/>
  <c r="O949" i="2"/>
  <c r="P949" i="2" s="1"/>
  <c r="O950" i="2"/>
  <c r="P950" i="2" s="1"/>
  <c r="O951" i="2"/>
  <c r="P951" i="2" s="1"/>
  <c r="O952" i="2"/>
  <c r="P952" i="2" s="1"/>
  <c r="O953" i="2"/>
  <c r="P953" i="2" s="1"/>
  <c r="O954" i="2"/>
  <c r="P954" i="2" s="1"/>
  <c r="O955" i="2"/>
  <c r="P955" i="2" s="1"/>
  <c r="O956" i="2"/>
  <c r="P956" i="2" s="1"/>
  <c r="O957" i="2"/>
  <c r="P957" i="2" s="1"/>
  <c r="O958" i="2"/>
  <c r="P958" i="2" s="1"/>
  <c r="O959" i="2"/>
  <c r="P959" i="2" s="1"/>
  <c r="O960" i="2"/>
  <c r="P960" i="2" s="1"/>
  <c r="O961" i="2"/>
  <c r="P961" i="2" s="1"/>
  <c r="O962" i="2"/>
  <c r="P962" i="2" s="1"/>
  <c r="O963" i="2"/>
  <c r="P963" i="2" s="1"/>
  <c r="O964" i="2"/>
  <c r="P964" i="2" s="1"/>
  <c r="O965" i="2"/>
  <c r="P965" i="2" s="1"/>
  <c r="O966" i="2"/>
  <c r="P966" i="2" s="1"/>
  <c r="O967" i="2"/>
  <c r="O968" i="2"/>
  <c r="P968" i="2" s="1"/>
  <c r="O969" i="2"/>
  <c r="P969" i="2" s="1"/>
  <c r="O970" i="2"/>
  <c r="P970" i="2" s="1"/>
  <c r="O971" i="2"/>
  <c r="P971" i="2" s="1"/>
  <c r="O972" i="2"/>
  <c r="P972" i="2" s="1"/>
  <c r="O973" i="2"/>
  <c r="P973" i="2" s="1"/>
  <c r="O974" i="2"/>
  <c r="P974" i="2" s="1"/>
  <c r="O975" i="2"/>
  <c r="P975" i="2" s="1"/>
  <c r="O976" i="2"/>
  <c r="P976" i="2" s="1"/>
  <c r="O977" i="2"/>
  <c r="P977" i="2" s="1"/>
  <c r="O978" i="2"/>
  <c r="P978" i="2" s="1"/>
  <c r="O979" i="2"/>
  <c r="P979" i="2" s="1"/>
  <c r="O980" i="2"/>
  <c r="P980" i="2" s="1"/>
  <c r="O981" i="2"/>
  <c r="P981" i="2" s="1"/>
  <c r="O982" i="2"/>
  <c r="P982" i="2" s="1"/>
  <c r="O983" i="2"/>
  <c r="P983" i="2" s="1"/>
  <c r="O984" i="2"/>
  <c r="P984" i="2" s="1"/>
  <c r="O985" i="2"/>
  <c r="P985" i="2" s="1"/>
  <c r="O986" i="2"/>
  <c r="P986" i="2" s="1"/>
  <c r="O987" i="2"/>
  <c r="P987" i="2" s="1"/>
  <c r="O988" i="2"/>
  <c r="P988" i="2" s="1"/>
  <c r="O989" i="2"/>
  <c r="P989" i="2" s="1"/>
  <c r="O990" i="2"/>
  <c r="P990" i="2" s="1"/>
  <c r="O991" i="2"/>
  <c r="P991" i="2" s="1"/>
  <c r="O992" i="2"/>
  <c r="P992" i="2" s="1"/>
  <c r="O993" i="2"/>
  <c r="P993" i="2" s="1"/>
  <c r="O994" i="2"/>
  <c r="P994" i="2" s="1"/>
  <c r="O995" i="2"/>
  <c r="P995" i="2" s="1"/>
  <c r="O996" i="2"/>
  <c r="P996" i="2" s="1"/>
  <c r="O997" i="2"/>
  <c r="P997" i="2" s="1"/>
  <c r="O998" i="2"/>
  <c r="P998" i="2" s="1"/>
  <c r="O999" i="2"/>
  <c r="P999" i="2" s="1"/>
  <c r="O1000" i="2"/>
  <c r="P1000" i="2" s="1"/>
  <c r="O1001" i="2"/>
  <c r="P1001" i="2" s="1"/>
  <c r="O1002" i="2"/>
  <c r="P1002" i="2" s="1"/>
  <c r="O1003" i="2"/>
  <c r="P1003" i="2" s="1"/>
  <c r="O1004" i="2"/>
  <c r="P1004" i="2" s="1"/>
  <c r="O1005" i="2"/>
  <c r="P1005" i="2" s="1"/>
  <c r="O1006" i="2"/>
  <c r="P1006" i="2" s="1"/>
  <c r="O1007" i="2"/>
  <c r="P1007" i="2" s="1"/>
  <c r="O1008" i="2"/>
  <c r="P1008" i="2" s="1"/>
  <c r="O1009" i="2"/>
  <c r="P1009" i="2" s="1"/>
  <c r="O1010" i="2"/>
  <c r="P1010" i="2" s="1"/>
  <c r="O1011" i="2"/>
  <c r="P1011" i="2" s="1"/>
  <c r="O1012" i="2"/>
  <c r="P1012" i="2" s="1"/>
  <c r="O1013" i="2"/>
  <c r="P1013" i="2" s="1"/>
  <c r="O1014" i="2"/>
  <c r="P1014" i="2" s="1"/>
  <c r="O1015" i="2"/>
  <c r="P1015" i="2" s="1"/>
  <c r="O1016" i="2"/>
  <c r="P1016" i="2" s="1"/>
  <c r="O1017" i="2"/>
  <c r="P1017" i="2" s="1"/>
  <c r="O1018" i="2"/>
  <c r="P1018" i="2" s="1"/>
  <c r="O1019" i="2"/>
  <c r="P1019" i="2" s="1"/>
  <c r="O1020" i="2"/>
  <c r="P1020" i="2" s="1"/>
  <c r="O1021" i="2"/>
  <c r="P1021" i="2" s="1"/>
  <c r="O1022" i="2"/>
  <c r="P1022" i="2" s="1"/>
  <c r="O1023" i="2"/>
  <c r="P1023" i="2" s="1"/>
  <c r="O1024" i="2"/>
  <c r="P1024" i="2" s="1"/>
  <c r="O1025" i="2"/>
  <c r="P1025" i="2" s="1"/>
  <c r="O1026" i="2"/>
  <c r="P1026" i="2" s="1"/>
  <c r="O1027" i="2"/>
  <c r="P1027" i="2" s="1"/>
  <c r="O1028" i="2"/>
  <c r="P1028" i="2" s="1"/>
  <c r="O1029" i="2"/>
  <c r="P1029" i="2" s="1"/>
  <c r="O1030" i="2"/>
  <c r="P1030" i="2" s="1"/>
  <c r="O1031" i="2"/>
  <c r="P1031" i="2" s="1"/>
  <c r="O1032" i="2"/>
  <c r="P1032" i="2" s="1"/>
  <c r="O1033" i="2"/>
  <c r="P1033" i="2" s="1"/>
  <c r="O1034" i="2"/>
  <c r="P1034" i="2" s="1"/>
  <c r="O1035" i="2"/>
  <c r="P1035" i="2" s="1"/>
  <c r="O1036" i="2"/>
  <c r="P1036" i="2" s="1"/>
  <c r="O1037" i="2"/>
  <c r="P1037" i="2" s="1"/>
  <c r="O1038" i="2"/>
  <c r="P1038" i="2" s="1"/>
  <c r="O1039" i="2"/>
  <c r="P1039" i="2" s="1"/>
  <c r="O1040" i="2"/>
  <c r="P1040" i="2" s="1"/>
  <c r="O1041" i="2"/>
  <c r="P1041" i="2" s="1"/>
  <c r="O1042" i="2"/>
  <c r="P1042" i="2" s="1"/>
  <c r="O1043" i="2"/>
  <c r="P1043" i="2" s="1"/>
  <c r="O1044" i="2"/>
  <c r="P1044" i="2" s="1"/>
  <c r="O1045" i="2"/>
  <c r="P1045" i="2" s="1"/>
  <c r="O1046" i="2"/>
  <c r="P1046" i="2" s="1"/>
  <c r="O1047" i="2"/>
  <c r="P1047" i="2" s="1"/>
  <c r="O1048" i="2"/>
  <c r="P1048" i="2" s="1"/>
  <c r="O1049" i="2"/>
  <c r="P1049" i="2" s="1"/>
  <c r="O1050" i="2"/>
  <c r="P1050" i="2" s="1"/>
  <c r="O1051" i="2"/>
  <c r="P1051" i="2" s="1"/>
  <c r="O1052" i="2"/>
  <c r="P1052" i="2" s="1"/>
  <c r="O1053" i="2"/>
  <c r="P1053" i="2" s="1"/>
  <c r="O1054" i="2"/>
  <c r="P1054" i="2" s="1"/>
  <c r="O1055" i="2"/>
  <c r="P1055" i="2" s="1"/>
  <c r="O1056" i="2"/>
  <c r="P1056" i="2" s="1"/>
  <c r="O1057" i="2"/>
  <c r="P1057" i="2" s="1"/>
  <c r="O1058" i="2"/>
  <c r="P1058" i="2" s="1"/>
  <c r="O1059" i="2"/>
  <c r="P1059" i="2" s="1"/>
  <c r="O1060" i="2"/>
  <c r="P1060" i="2" s="1"/>
  <c r="O1061" i="2"/>
  <c r="P1061" i="2" s="1"/>
  <c r="O1062" i="2"/>
  <c r="P1062" i="2" s="1"/>
  <c r="O1063" i="2"/>
  <c r="P1063" i="2" s="1"/>
  <c r="O1064" i="2"/>
  <c r="P1064" i="2" s="1"/>
  <c r="O1065" i="2"/>
  <c r="P1065" i="2" s="1"/>
  <c r="O1066" i="2"/>
  <c r="P1066" i="2" s="1"/>
  <c r="O1067" i="2"/>
  <c r="P1067" i="2" s="1"/>
  <c r="O1068" i="2"/>
  <c r="P1068" i="2" s="1"/>
  <c r="O1069" i="2"/>
  <c r="P1069" i="2" s="1"/>
  <c r="O1070" i="2"/>
  <c r="P1070" i="2" s="1"/>
  <c r="O1071" i="2"/>
  <c r="P1071" i="2" s="1"/>
  <c r="O1072" i="2"/>
  <c r="P1072" i="2" s="1"/>
  <c r="O1073" i="2"/>
  <c r="P1073" i="2" s="1"/>
  <c r="O1074" i="2"/>
  <c r="P1074" i="2" s="1"/>
  <c r="O1075" i="2"/>
  <c r="P1075" i="2" s="1"/>
  <c r="O1076" i="2"/>
  <c r="P1076" i="2" s="1"/>
  <c r="O1077" i="2"/>
  <c r="P1077" i="2" s="1"/>
  <c r="O1078" i="2"/>
  <c r="P1078" i="2" s="1"/>
  <c r="O1079" i="2"/>
  <c r="P1079" i="2" s="1"/>
  <c r="O1080" i="2"/>
  <c r="P1080" i="2" s="1"/>
  <c r="O1081" i="2"/>
  <c r="P1081" i="2" s="1"/>
  <c r="O1082" i="2"/>
  <c r="P1082" i="2" s="1"/>
  <c r="O1083" i="2"/>
  <c r="P1083" i="2" s="1"/>
  <c r="O1084" i="2"/>
  <c r="P1084" i="2" s="1"/>
  <c r="O1085" i="2"/>
  <c r="P1085" i="2" s="1"/>
  <c r="O1086" i="2"/>
  <c r="P1086" i="2" s="1"/>
  <c r="O1087" i="2"/>
  <c r="P1087" i="2" s="1"/>
  <c r="O1088" i="2"/>
  <c r="P1088" i="2" s="1"/>
  <c r="O1089" i="2"/>
  <c r="P1089" i="2" s="1"/>
  <c r="O1090" i="2"/>
  <c r="P1090" i="2" s="1"/>
  <c r="O1091" i="2"/>
  <c r="P1091" i="2" s="1"/>
  <c r="O1092" i="2"/>
  <c r="P1092" i="2" s="1"/>
  <c r="O1093" i="2"/>
  <c r="P1093" i="2" s="1"/>
  <c r="O1094" i="2"/>
  <c r="P1094" i="2" s="1"/>
  <c r="O1095" i="2"/>
  <c r="P1095" i="2" s="1"/>
  <c r="O1096" i="2"/>
  <c r="P1096" i="2" s="1"/>
  <c r="O1097" i="2"/>
  <c r="P1097" i="2" s="1"/>
  <c r="O1098" i="2"/>
  <c r="P1098" i="2" s="1"/>
  <c r="O1099" i="2"/>
  <c r="P1099" i="2" s="1"/>
  <c r="O1100" i="2"/>
  <c r="P1100" i="2" s="1"/>
  <c r="O1101" i="2"/>
  <c r="P1101" i="2" s="1"/>
  <c r="O1102" i="2"/>
  <c r="P1102" i="2" s="1"/>
  <c r="O1103" i="2"/>
  <c r="P1103" i="2" s="1"/>
  <c r="O1104" i="2"/>
  <c r="P1104" i="2" s="1"/>
  <c r="O1105" i="2"/>
  <c r="P1105" i="2" s="1"/>
  <c r="O1106" i="2"/>
  <c r="P1106" i="2" s="1"/>
  <c r="O1107" i="2"/>
  <c r="P1107" i="2" s="1"/>
  <c r="O1108" i="2"/>
  <c r="P1108" i="2" s="1"/>
  <c r="O1109" i="2"/>
  <c r="P1109" i="2" s="1"/>
  <c r="O1110" i="2"/>
  <c r="P1110" i="2" s="1"/>
  <c r="O1111" i="2"/>
  <c r="P1111" i="2" s="1"/>
  <c r="O1112" i="2"/>
  <c r="P1112" i="2" s="1"/>
  <c r="O1113" i="2"/>
  <c r="P1113" i="2" s="1"/>
  <c r="O1114" i="2"/>
  <c r="P1114" i="2" s="1"/>
  <c r="O1115" i="2"/>
  <c r="P1115" i="2" s="1"/>
  <c r="O1116" i="2"/>
  <c r="P1116" i="2" s="1"/>
  <c r="O1117" i="2"/>
  <c r="P1117" i="2" s="1"/>
  <c r="O1118" i="2"/>
  <c r="P1118" i="2" s="1"/>
  <c r="O1119" i="2"/>
  <c r="P1119" i="2" s="1"/>
  <c r="O1120" i="2"/>
  <c r="P1120" i="2" s="1"/>
  <c r="O1121" i="2"/>
  <c r="P1121" i="2" s="1"/>
  <c r="O1122" i="2"/>
  <c r="P1122" i="2" s="1"/>
  <c r="O1123" i="2"/>
  <c r="P1123" i="2" s="1"/>
  <c r="O1124" i="2"/>
  <c r="P1124" i="2" s="1"/>
  <c r="O1125" i="2"/>
  <c r="P1125" i="2" s="1"/>
  <c r="O1126" i="2"/>
  <c r="P1126" i="2" s="1"/>
  <c r="O1127" i="2"/>
  <c r="P1127" i="2" s="1"/>
  <c r="O1128" i="2"/>
  <c r="P1128" i="2" s="1"/>
  <c r="O1129" i="2"/>
  <c r="P1129" i="2" s="1"/>
  <c r="O1130" i="2"/>
  <c r="P1130" i="2" s="1"/>
  <c r="O1131" i="2"/>
  <c r="P1131" i="2" s="1"/>
  <c r="O1132" i="2"/>
  <c r="P1132" i="2" s="1"/>
  <c r="O1133" i="2"/>
  <c r="P1133" i="2" s="1"/>
  <c r="O1134" i="2"/>
  <c r="P1134" i="2" s="1"/>
  <c r="O1135" i="2"/>
  <c r="P1135" i="2" s="1"/>
  <c r="O1136" i="2"/>
  <c r="P1136" i="2" s="1"/>
  <c r="O1137" i="2"/>
  <c r="P1137" i="2" s="1"/>
  <c r="O1138" i="2"/>
  <c r="P1138" i="2" s="1"/>
  <c r="O1139" i="2"/>
  <c r="P1139" i="2" s="1"/>
  <c r="O1140" i="2"/>
  <c r="P1140" i="2" s="1"/>
  <c r="O1141" i="2"/>
  <c r="P1141" i="2" s="1"/>
  <c r="O1142" i="2"/>
  <c r="P1142" i="2" s="1"/>
  <c r="O1143" i="2"/>
  <c r="P1143" i="2" s="1"/>
  <c r="O1144" i="2"/>
  <c r="P1144" i="2" s="1"/>
  <c r="O1145" i="2"/>
  <c r="P1145" i="2" s="1"/>
  <c r="O1146" i="2"/>
  <c r="P1146" i="2" s="1"/>
  <c r="O1147" i="2"/>
  <c r="P1147" i="2" s="1"/>
  <c r="O1148" i="2"/>
  <c r="P1148" i="2" s="1"/>
  <c r="O1149" i="2"/>
  <c r="P1149" i="2" s="1"/>
  <c r="O1150" i="2"/>
  <c r="P1150" i="2" s="1"/>
  <c r="O1151" i="2"/>
  <c r="P1151" i="2" s="1"/>
  <c r="O1152" i="2"/>
  <c r="P1152" i="2" s="1"/>
  <c r="O1153" i="2"/>
  <c r="P1153" i="2" s="1"/>
  <c r="O1154" i="2"/>
  <c r="P1154" i="2" s="1"/>
  <c r="O1155" i="2"/>
  <c r="P1155" i="2" s="1"/>
  <c r="O1156" i="2"/>
  <c r="P1156" i="2" s="1"/>
  <c r="O1157" i="2"/>
  <c r="P1157" i="2" s="1"/>
  <c r="O1158" i="2"/>
  <c r="P1158" i="2" s="1"/>
  <c r="O1159" i="2"/>
  <c r="P1159" i="2" s="1"/>
  <c r="O1160" i="2"/>
  <c r="P1160" i="2" s="1"/>
  <c r="O1161" i="2"/>
  <c r="P1161" i="2" s="1"/>
  <c r="O1162" i="2"/>
  <c r="P1162" i="2" s="1"/>
  <c r="O1163" i="2"/>
  <c r="P1163" i="2" s="1"/>
  <c r="O1164" i="2"/>
  <c r="P1164" i="2" s="1"/>
  <c r="O1165" i="2"/>
  <c r="P1165" i="2" s="1"/>
  <c r="O1166" i="2"/>
  <c r="P1166" i="2" s="1"/>
  <c r="O1167" i="2"/>
  <c r="P1167" i="2" s="1"/>
  <c r="O1168" i="2"/>
  <c r="P1168" i="2" s="1"/>
  <c r="O1169" i="2"/>
  <c r="P1169" i="2" s="1"/>
  <c r="O1170" i="2"/>
  <c r="P1170" i="2" s="1"/>
  <c r="O1171" i="2"/>
  <c r="P1171" i="2" s="1"/>
  <c r="O1172" i="2"/>
  <c r="P1172" i="2" s="1"/>
  <c r="O1173" i="2"/>
  <c r="P1173" i="2" s="1"/>
  <c r="O1174" i="2"/>
  <c r="P1174" i="2" s="1"/>
  <c r="O1175" i="2"/>
  <c r="P1175" i="2" s="1"/>
  <c r="O1176" i="2"/>
  <c r="P1176" i="2" s="1"/>
  <c r="O1177" i="2"/>
  <c r="P1177" i="2" s="1"/>
  <c r="O1178" i="2"/>
  <c r="P1178" i="2" s="1"/>
  <c r="O1179" i="2"/>
  <c r="P1179" i="2" s="1"/>
  <c r="O1180" i="2"/>
  <c r="P1180" i="2" s="1"/>
  <c r="O1181" i="2"/>
  <c r="P1181" i="2" s="1"/>
  <c r="O1182" i="2"/>
  <c r="P1182" i="2" s="1"/>
  <c r="O1183" i="2"/>
  <c r="P1183" i="2" s="1"/>
  <c r="O1184" i="2"/>
  <c r="P1184" i="2" s="1"/>
  <c r="O1185" i="2"/>
  <c r="P1185" i="2" s="1"/>
  <c r="O1186" i="2"/>
  <c r="P1186" i="2" s="1"/>
  <c r="O1187" i="2"/>
  <c r="P1187" i="2" s="1"/>
  <c r="O1188" i="2"/>
  <c r="P1188" i="2" s="1"/>
  <c r="O1189" i="2"/>
  <c r="P1189" i="2" s="1"/>
  <c r="O1190" i="2"/>
  <c r="P1190" i="2" s="1"/>
  <c r="O1191" i="2"/>
  <c r="P1191" i="2" s="1"/>
  <c r="O1192" i="2"/>
  <c r="P1192" i="2" s="1"/>
  <c r="O1193" i="2"/>
  <c r="P1193" i="2" s="1"/>
  <c r="O1194" i="2"/>
  <c r="P1194" i="2" s="1"/>
  <c r="O1195" i="2"/>
  <c r="P1195" i="2" s="1"/>
  <c r="O1196" i="2"/>
  <c r="P1196" i="2" s="1"/>
  <c r="O1197" i="2"/>
  <c r="P1197" i="2" s="1"/>
  <c r="O1198" i="2"/>
  <c r="P1198" i="2" s="1"/>
  <c r="O1199" i="2"/>
  <c r="P1199" i="2" s="1"/>
  <c r="O1200" i="2"/>
  <c r="P1200" i="2" s="1"/>
  <c r="O1201" i="2"/>
  <c r="P1201" i="2" s="1"/>
  <c r="O1202" i="2"/>
  <c r="P1202" i="2" s="1"/>
  <c r="O1203" i="2"/>
  <c r="P1203" i="2" s="1"/>
  <c r="O1204" i="2"/>
  <c r="P1204" i="2" s="1"/>
  <c r="O1205" i="2"/>
  <c r="P1205" i="2" s="1"/>
  <c r="O1206" i="2"/>
  <c r="P1206" i="2" s="1"/>
  <c r="O1207" i="2"/>
  <c r="P1207" i="2" s="1"/>
  <c r="O1208" i="2"/>
  <c r="P1208" i="2" s="1"/>
  <c r="O1209" i="2"/>
  <c r="P1209" i="2" s="1"/>
  <c r="O1210" i="2"/>
  <c r="P1210" i="2" s="1"/>
  <c r="O1211" i="2"/>
  <c r="P1211" i="2" s="1"/>
  <c r="O1212" i="2"/>
  <c r="P1212" i="2" s="1"/>
  <c r="O1213" i="2"/>
  <c r="P1213" i="2" s="1"/>
  <c r="O1214" i="2"/>
  <c r="P1214" i="2" s="1"/>
  <c r="O1215" i="2"/>
  <c r="P1215" i="2" s="1"/>
  <c r="O1216" i="2"/>
  <c r="P1216" i="2" s="1"/>
  <c r="O1217" i="2"/>
  <c r="P1217" i="2" s="1"/>
  <c r="O1218" i="2"/>
  <c r="P1218" i="2" s="1"/>
  <c r="O1219" i="2"/>
  <c r="P1219" i="2" s="1"/>
  <c r="O1220" i="2"/>
  <c r="P1220" i="2" s="1"/>
  <c r="O1221" i="2"/>
  <c r="P1221" i="2" s="1"/>
  <c r="O1222" i="2"/>
  <c r="P1222" i="2" s="1"/>
  <c r="O1223" i="2"/>
  <c r="P1223" i="2" s="1"/>
  <c r="O1224" i="2"/>
  <c r="P1224" i="2" s="1"/>
  <c r="O1225" i="2"/>
  <c r="P1225" i="2" s="1"/>
  <c r="O1226" i="2"/>
  <c r="P1226" i="2" s="1"/>
  <c r="O1227" i="2"/>
  <c r="P1227" i="2" s="1"/>
  <c r="O1228" i="2"/>
  <c r="P1228" i="2" s="1"/>
  <c r="O1229" i="2"/>
  <c r="P1229" i="2" s="1"/>
  <c r="O1230" i="2"/>
  <c r="P1230" i="2" s="1"/>
  <c r="O1231" i="2"/>
  <c r="P1231" i="2" s="1"/>
  <c r="O1232" i="2"/>
  <c r="P1232" i="2" s="1"/>
  <c r="O1233" i="2"/>
  <c r="P1233" i="2" s="1"/>
  <c r="O1234" i="2"/>
  <c r="P1234" i="2" s="1"/>
  <c r="O1235" i="2"/>
  <c r="P1235" i="2" s="1"/>
  <c r="O1236" i="2"/>
  <c r="P1236" i="2" s="1"/>
  <c r="O1237" i="2"/>
  <c r="P1237" i="2" s="1"/>
  <c r="O1238" i="2"/>
  <c r="P1238" i="2" s="1"/>
  <c r="O1239" i="2"/>
  <c r="P1239" i="2" s="1"/>
  <c r="O1240" i="2"/>
  <c r="P1240" i="2" s="1"/>
  <c r="O1241" i="2"/>
  <c r="P1241" i="2" s="1"/>
  <c r="O1242" i="2"/>
  <c r="P1242" i="2" s="1"/>
  <c r="O1243" i="2"/>
  <c r="P1243" i="2" s="1"/>
  <c r="O1244" i="2"/>
  <c r="P1244" i="2" s="1"/>
  <c r="O1245" i="2"/>
  <c r="P1245" i="2" s="1"/>
  <c r="O1246" i="2"/>
  <c r="P1246" i="2" s="1"/>
  <c r="O1247" i="2"/>
  <c r="P1247" i="2" s="1"/>
  <c r="O1248" i="2"/>
  <c r="P1248" i="2" s="1"/>
  <c r="O1249" i="2"/>
  <c r="P1249" i="2" s="1"/>
  <c r="O1250" i="2"/>
  <c r="P1250" i="2" s="1"/>
  <c r="O1251" i="2"/>
  <c r="P1251" i="2" s="1"/>
  <c r="O1252" i="2"/>
  <c r="P1252" i="2" s="1"/>
  <c r="O1253" i="2"/>
  <c r="P1253" i="2" s="1"/>
  <c r="O1254" i="2"/>
  <c r="P1254" i="2" s="1"/>
  <c r="O1255" i="2"/>
  <c r="P1255" i="2" s="1"/>
  <c r="O1256" i="2"/>
  <c r="P1256" i="2" s="1"/>
  <c r="O1257" i="2"/>
  <c r="P1257" i="2" s="1"/>
  <c r="O1258" i="2"/>
  <c r="P1258" i="2" s="1"/>
  <c r="O1259" i="2"/>
  <c r="P1259" i="2" s="1"/>
  <c r="O1260" i="2"/>
  <c r="P1260" i="2" s="1"/>
  <c r="O1261" i="2"/>
  <c r="P1261" i="2" s="1"/>
  <c r="O1262" i="2"/>
  <c r="P1262" i="2" s="1"/>
  <c r="O1263" i="2"/>
  <c r="P1263" i="2" s="1"/>
  <c r="O1264" i="2"/>
  <c r="P1264" i="2" s="1"/>
  <c r="O1265" i="2"/>
  <c r="P1265" i="2" s="1"/>
  <c r="O1266" i="2"/>
  <c r="P1266" i="2" s="1"/>
  <c r="O1267" i="2"/>
  <c r="P1267" i="2" s="1"/>
  <c r="O1268" i="2"/>
  <c r="P1268" i="2" s="1"/>
  <c r="O1269" i="2"/>
  <c r="P1269" i="2" s="1"/>
  <c r="O1270" i="2"/>
  <c r="P1270" i="2" s="1"/>
  <c r="O1271" i="2"/>
  <c r="P1271" i="2" s="1"/>
  <c r="O1272" i="2"/>
  <c r="P1272" i="2" s="1"/>
  <c r="O1273" i="2"/>
  <c r="P1273" i="2" s="1"/>
  <c r="O1274" i="2"/>
  <c r="P1274" i="2" s="1"/>
  <c r="O1275" i="2"/>
  <c r="P1275" i="2" s="1"/>
  <c r="O1276" i="2"/>
  <c r="P1276" i="2" s="1"/>
  <c r="O1277" i="2"/>
  <c r="P1277" i="2" s="1"/>
  <c r="O1278" i="2"/>
  <c r="P1278" i="2" s="1"/>
  <c r="O1279" i="2"/>
  <c r="P1279" i="2" s="1"/>
  <c r="O1280" i="2"/>
  <c r="P1280" i="2" s="1"/>
  <c r="O1281" i="2"/>
  <c r="P1281" i="2" s="1"/>
  <c r="O1282" i="2"/>
  <c r="P1282" i="2" s="1"/>
  <c r="O1283" i="2"/>
  <c r="P1283" i="2" s="1"/>
  <c r="O1284" i="2"/>
  <c r="P1284" i="2" s="1"/>
  <c r="O1285" i="2"/>
  <c r="P1285" i="2" s="1"/>
  <c r="O1286" i="2"/>
  <c r="P1286" i="2" s="1"/>
  <c r="O1287" i="2"/>
  <c r="P1287" i="2" s="1"/>
  <c r="O1288" i="2"/>
  <c r="P1288" i="2" s="1"/>
  <c r="O1289" i="2"/>
  <c r="P1289" i="2" s="1"/>
  <c r="O1290" i="2"/>
  <c r="P1290" i="2" s="1"/>
  <c r="O1291" i="2"/>
  <c r="P1291" i="2" s="1"/>
  <c r="O1292" i="2"/>
  <c r="P1292" i="2" s="1"/>
  <c r="O1293" i="2"/>
  <c r="P1293" i="2" s="1"/>
  <c r="O1294" i="2"/>
  <c r="P1294" i="2" s="1"/>
  <c r="O1295" i="2"/>
  <c r="P1295" i="2" s="1"/>
  <c r="O1296" i="2"/>
  <c r="P1296" i="2" s="1"/>
  <c r="O1297" i="2"/>
  <c r="P1297" i="2" s="1"/>
  <c r="O1298" i="2"/>
  <c r="P1298" i="2" s="1"/>
  <c r="O1299" i="2"/>
  <c r="P1299" i="2" s="1"/>
  <c r="O1300" i="2"/>
  <c r="P1300" i="2" s="1"/>
  <c r="O1301" i="2"/>
  <c r="P1301" i="2" s="1"/>
  <c r="O1302" i="2"/>
  <c r="P1302" i="2" s="1"/>
  <c r="O1303" i="2"/>
  <c r="P1303" i="2" s="1"/>
  <c r="O1304" i="2"/>
  <c r="P1304" i="2" s="1"/>
  <c r="O1305" i="2"/>
  <c r="P1305" i="2" s="1"/>
  <c r="O1306" i="2"/>
  <c r="P1306" i="2" s="1"/>
  <c r="O1307" i="2"/>
  <c r="P1307" i="2" s="1"/>
  <c r="O1308" i="2"/>
  <c r="P1308" i="2" s="1"/>
  <c r="O1309" i="2"/>
  <c r="P1309" i="2" s="1"/>
  <c r="O1310" i="2"/>
  <c r="P1310" i="2" s="1"/>
  <c r="O1311" i="2"/>
  <c r="P1311" i="2" s="1"/>
  <c r="O1312" i="2"/>
  <c r="P1312" i="2" s="1"/>
  <c r="O1313" i="2"/>
  <c r="P1313" i="2" s="1"/>
  <c r="O1314" i="2"/>
  <c r="P1314" i="2" s="1"/>
  <c r="O1315" i="2"/>
  <c r="P1315" i="2" s="1"/>
  <c r="O1316" i="2"/>
  <c r="P1316" i="2" s="1"/>
  <c r="O1317" i="2"/>
  <c r="P1317" i="2" s="1"/>
  <c r="O1318" i="2"/>
  <c r="P1318" i="2" s="1"/>
  <c r="O1319" i="2"/>
  <c r="P1319" i="2" s="1"/>
  <c r="O1320" i="2"/>
  <c r="P1320" i="2" s="1"/>
  <c r="O1321" i="2"/>
  <c r="P1321" i="2" s="1"/>
  <c r="O1322" i="2"/>
  <c r="P1322" i="2" s="1"/>
  <c r="O1323" i="2"/>
  <c r="P1323" i="2" s="1"/>
  <c r="O1324" i="2"/>
  <c r="P1324" i="2" s="1"/>
  <c r="O1325" i="2"/>
  <c r="P1325" i="2" s="1"/>
  <c r="O1326" i="2"/>
  <c r="P1326" i="2" s="1"/>
  <c r="O1327" i="2"/>
  <c r="P1327" i="2" s="1"/>
  <c r="O1328" i="2"/>
  <c r="P1328" i="2" s="1"/>
  <c r="O1329" i="2"/>
  <c r="P1329" i="2" s="1"/>
  <c r="O1330" i="2"/>
  <c r="P1330" i="2" s="1"/>
  <c r="O1331" i="2"/>
  <c r="P1331" i="2" s="1"/>
  <c r="O1332" i="2"/>
  <c r="P1332" i="2" s="1"/>
  <c r="O1333" i="2"/>
  <c r="P1333" i="2" s="1"/>
  <c r="O1334" i="2"/>
  <c r="P1334" i="2" s="1"/>
  <c r="O1335" i="2"/>
  <c r="P1335" i="2" s="1"/>
  <c r="O1336" i="2"/>
  <c r="P1336" i="2" s="1"/>
  <c r="O1337" i="2"/>
  <c r="P1337" i="2" s="1"/>
  <c r="O1338" i="2"/>
  <c r="P1338" i="2" s="1"/>
  <c r="O1339" i="2"/>
  <c r="P1339" i="2" s="1"/>
  <c r="O1340" i="2"/>
  <c r="P1340" i="2" s="1"/>
  <c r="O1341" i="2"/>
  <c r="P1341" i="2" s="1"/>
  <c r="O1342" i="2"/>
  <c r="P1342" i="2" s="1"/>
  <c r="O1343" i="2"/>
  <c r="P1343" i="2" s="1"/>
  <c r="O1344" i="2"/>
  <c r="P1344" i="2" s="1"/>
  <c r="O1345" i="2"/>
  <c r="P1345" i="2" s="1"/>
  <c r="O1346" i="2"/>
  <c r="P1346" i="2" s="1"/>
  <c r="O1347" i="2"/>
  <c r="P1347" i="2" s="1"/>
  <c r="O1348" i="2"/>
  <c r="P1348" i="2" s="1"/>
  <c r="O1349" i="2"/>
  <c r="P1349" i="2" s="1"/>
  <c r="O1350" i="2"/>
  <c r="P1350" i="2" s="1"/>
  <c r="O1351" i="2"/>
  <c r="P1351" i="2" s="1"/>
  <c r="O1352" i="2"/>
  <c r="P1352" i="2" s="1"/>
  <c r="O1353" i="2"/>
  <c r="P1353" i="2" s="1"/>
  <c r="O1354" i="2"/>
  <c r="P1354" i="2" s="1"/>
  <c r="O1355" i="2"/>
  <c r="P1355" i="2" s="1"/>
  <c r="O1356" i="2"/>
  <c r="P1356" i="2" s="1"/>
  <c r="O1357" i="2"/>
  <c r="P1357" i="2" s="1"/>
  <c r="O1358" i="2"/>
  <c r="P1358" i="2" s="1"/>
  <c r="O1359" i="2"/>
  <c r="P1359" i="2" s="1"/>
  <c r="O1360" i="2"/>
  <c r="P1360" i="2" s="1"/>
  <c r="O1361" i="2"/>
  <c r="P1361" i="2" s="1"/>
  <c r="O1362" i="2"/>
  <c r="P1362" i="2" s="1"/>
  <c r="O1363" i="2"/>
  <c r="P1363" i="2" s="1"/>
  <c r="O1364" i="2"/>
  <c r="P1364" i="2" s="1"/>
  <c r="O1365" i="2"/>
  <c r="P1365" i="2" s="1"/>
  <c r="O1366" i="2"/>
  <c r="P1366" i="2" s="1"/>
  <c r="O1367" i="2"/>
  <c r="P1367" i="2" s="1"/>
  <c r="O1368" i="2"/>
  <c r="P1368" i="2" s="1"/>
  <c r="O1369" i="2"/>
  <c r="P1369" i="2" s="1"/>
  <c r="O1370" i="2"/>
  <c r="P1370" i="2" s="1"/>
  <c r="O1371" i="2"/>
  <c r="P1371" i="2" s="1"/>
  <c r="O1372" i="2"/>
  <c r="P1372" i="2" s="1"/>
  <c r="O1373" i="2"/>
  <c r="P1373" i="2" s="1"/>
  <c r="O1374" i="2"/>
  <c r="P1374" i="2" s="1"/>
  <c r="O1375" i="2"/>
  <c r="P1375" i="2" s="1"/>
  <c r="O1376" i="2"/>
  <c r="P1376" i="2" s="1"/>
  <c r="O1377" i="2"/>
  <c r="P1377" i="2" s="1"/>
  <c r="O1378" i="2"/>
  <c r="P1378" i="2" s="1"/>
  <c r="O1379" i="2"/>
  <c r="P1379" i="2" s="1"/>
  <c r="O1380" i="2"/>
  <c r="P1380" i="2" s="1"/>
  <c r="O1381" i="2"/>
  <c r="P1381" i="2" s="1"/>
  <c r="O1382" i="2"/>
  <c r="P1382" i="2" s="1"/>
  <c r="O1383" i="2"/>
  <c r="P1383" i="2" s="1"/>
  <c r="O1384" i="2"/>
  <c r="P1384" i="2" s="1"/>
  <c r="O1385" i="2"/>
  <c r="P1385" i="2" s="1"/>
  <c r="O1386" i="2"/>
  <c r="P1386" i="2" s="1"/>
  <c r="O1387" i="2"/>
  <c r="P1387" i="2" s="1"/>
  <c r="O1388" i="2"/>
  <c r="P1388" i="2" s="1"/>
  <c r="O1389" i="2"/>
  <c r="P1389" i="2" s="1"/>
  <c r="O1390" i="2"/>
  <c r="P1390" i="2" s="1"/>
  <c r="O1391" i="2"/>
  <c r="P1391" i="2" s="1"/>
  <c r="O1392" i="2"/>
  <c r="P1392" i="2" s="1"/>
  <c r="O1393" i="2"/>
  <c r="P1393" i="2" s="1"/>
  <c r="O1394" i="2"/>
  <c r="P1394" i="2" s="1"/>
  <c r="O1395" i="2"/>
  <c r="P1395" i="2" s="1"/>
  <c r="O1396" i="2"/>
  <c r="P1396" i="2" s="1"/>
  <c r="O1397" i="2"/>
  <c r="P1397" i="2" s="1"/>
  <c r="O1398" i="2"/>
  <c r="P1398" i="2" s="1"/>
  <c r="O1399" i="2"/>
  <c r="P1399" i="2" s="1"/>
  <c r="O1400" i="2"/>
  <c r="P1400" i="2" s="1"/>
  <c r="O1401" i="2"/>
  <c r="P1401" i="2" s="1"/>
  <c r="O1402" i="2"/>
  <c r="P1402" i="2" s="1"/>
  <c r="O1403" i="2"/>
  <c r="P1403" i="2" s="1"/>
  <c r="O1404" i="2"/>
  <c r="P1404" i="2" s="1"/>
  <c r="O1405" i="2"/>
  <c r="P1405" i="2" s="1"/>
  <c r="O1406" i="2"/>
  <c r="P1406" i="2" s="1"/>
  <c r="O1407" i="2"/>
  <c r="P1407" i="2" s="1"/>
  <c r="O1408" i="2"/>
  <c r="P1408" i="2" s="1"/>
  <c r="O1409" i="2"/>
  <c r="P1409" i="2" s="1"/>
  <c r="O1410" i="2"/>
  <c r="P1410" i="2" s="1"/>
  <c r="O1411" i="2"/>
  <c r="P1411" i="2" s="1"/>
  <c r="O1412" i="2"/>
  <c r="P1412" i="2" s="1"/>
  <c r="O1413" i="2"/>
  <c r="P1413" i="2" s="1"/>
  <c r="O1414" i="2"/>
  <c r="P1414" i="2" s="1"/>
  <c r="O1415" i="2"/>
  <c r="P1415" i="2" s="1"/>
  <c r="O1416" i="2"/>
  <c r="P1416" i="2" s="1"/>
  <c r="O1417" i="2"/>
  <c r="P1417" i="2" s="1"/>
  <c r="O1418" i="2"/>
  <c r="P1418" i="2" s="1"/>
  <c r="O1419" i="2"/>
  <c r="P1419" i="2" s="1"/>
  <c r="O1420" i="2"/>
  <c r="P1420" i="2" s="1"/>
  <c r="O1421" i="2"/>
  <c r="P1421" i="2" s="1"/>
  <c r="O1422" i="2"/>
  <c r="P1422" i="2" s="1"/>
  <c r="O1423" i="2"/>
  <c r="P1423" i="2" s="1"/>
  <c r="O1424" i="2"/>
  <c r="P1424" i="2" s="1"/>
  <c r="O1425" i="2"/>
  <c r="P1425" i="2" s="1"/>
  <c r="O1426" i="2"/>
  <c r="P1426" i="2" s="1"/>
  <c r="O1427" i="2"/>
  <c r="P1427" i="2" s="1"/>
  <c r="O1428" i="2"/>
  <c r="P1428" i="2" s="1"/>
  <c r="O1429" i="2"/>
  <c r="P1429" i="2" s="1"/>
  <c r="O1430" i="2"/>
  <c r="P1430" i="2" s="1"/>
  <c r="O1431" i="2"/>
  <c r="P1431" i="2" s="1"/>
  <c r="O1432" i="2"/>
  <c r="P1432" i="2" s="1"/>
  <c r="O1433" i="2"/>
  <c r="P1433" i="2" s="1"/>
  <c r="O1434" i="2"/>
  <c r="P1434" i="2" s="1"/>
  <c r="O1435" i="2"/>
  <c r="P1435" i="2" s="1"/>
  <c r="O1436" i="2"/>
  <c r="P1436" i="2" s="1"/>
  <c r="O1437" i="2"/>
  <c r="P1437" i="2" s="1"/>
  <c r="O1438" i="2"/>
  <c r="P1438" i="2" s="1"/>
  <c r="O1439" i="2"/>
  <c r="P1439" i="2" s="1"/>
  <c r="O1440" i="2"/>
  <c r="P1440" i="2" s="1"/>
  <c r="O1441" i="2"/>
  <c r="P1441" i="2" s="1"/>
  <c r="O1442" i="2"/>
  <c r="P1442" i="2" s="1"/>
  <c r="O1443" i="2"/>
  <c r="P1443" i="2" s="1"/>
  <c r="O1444" i="2"/>
  <c r="P1444" i="2" s="1"/>
  <c r="O1445" i="2"/>
  <c r="P1445" i="2" s="1"/>
  <c r="O1446" i="2"/>
  <c r="P1446" i="2" s="1"/>
  <c r="O1447" i="2"/>
  <c r="P1447" i="2" s="1"/>
  <c r="O1448" i="2"/>
  <c r="P1448" i="2" s="1"/>
  <c r="O1449" i="2"/>
  <c r="P1449" i="2" s="1"/>
  <c r="O1450" i="2"/>
  <c r="P1450" i="2" s="1"/>
  <c r="O1451" i="2"/>
  <c r="P1451" i="2" s="1"/>
  <c r="O1452" i="2"/>
  <c r="P1452" i="2" s="1"/>
  <c r="O1453" i="2"/>
  <c r="P1453" i="2" s="1"/>
  <c r="O1454" i="2"/>
  <c r="P1454" i="2" s="1"/>
  <c r="O1455" i="2"/>
  <c r="P1455" i="2" s="1"/>
  <c r="O1456" i="2"/>
  <c r="P1456" i="2" s="1"/>
  <c r="O1457" i="2"/>
  <c r="P1457" i="2" s="1"/>
  <c r="O1458" i="2"/>
  <c r="P1458" i="2" s="1"/>
  <c r="O1459" i="2"/>
  <c r="P1459" i="2" s="1"/>
  <c r="O1460" i="2"/>
  <c r="P1460" i="2" s="1"/>
  <c r="O1461" i="2"/>
  <c r="P1461" i="2" s="1"/>
  <c r="O1462" i="2"/>
  <c r="P1462" i="2" s="1"/>
  <c r="O1463" i="2"/>
  <c r="P1463" i="2" s="1"/>
  <c r="O1464" i="2"/>
  <c r="P1464" i="2" s="1"/>
  <c r="O1465" i="2"/>
  <c r="P1465" i="2" s="1"/>
  <c r="O1466" i="2"/>
  <c r="P1466" i="2" s="1"/>
  <c r="O1467" i="2"/>
  <c r="P1467" i="2" s="1"/>
  <c r="O1468" i="2"/>
  <c r="P1468" i="2" s="1"/>
  <c r="O1469" i="2"/>
  <c r="P1469" i="2" s="1"/>
  <c r="O1470" i="2"/>
  <c r="P1470" i="2" s="1"/>
  <c r="O1471" i="2"/>
  <c r="P1471" i="2" s="1"/>
  <c r="O1472" i="2"/>
  <c r="P1472" i="2" s="1"/>
  <c r="O1473" i="2"/>
  <c r="P1473" i="2" s="1"/>
  <c r="O1474" i="2"/>
  <c r="P1474" i="2" s="1"/>
  <c r="O1475" i="2"/>
  <c r="P1475" i="2" s="1"/>
  <c r="O1476" i="2"/>
  <c r="P1476" i="2" s="1"/>
  <c r="O1477" i="2"/>
  <c r="P1477" i="2" s="1"/>
  <c r="O1478" i="2"/>
  <c r="P1478" i="2" s="1"/>
  <c r="O1479" i="2"/>
  <c r="P1479" i="2" s="1"/>
  <c r="O1480" i="2"/>
  <c r="P1480" i="2" s="1"/>
  <c r="O1481" i="2"/>
  <c r="P1481" i="2" s="1"/>
  <c r="O1482" i="2"/>
  <c r="P1482" i="2" s="1"/>
  <c r="O1483" i="2"/>
  <c r="P1483" i="2" s="1"/>
  <c r="O1484" i="2"/>
  <c r="P1484" i="2" s="1"/>
  <c r="O1485" i="2"/>
  <c r="P1485" i="2" s="1"/>
  <c r="O1486" i="2"/>
  <c r="P1486" i="2" s="1"/>
  <c r="O1487" i="2"/>
  <c r="P1487" i="2" s="1"/>
  <c r="O1488" i="2"/>
  <c r="P1488" i="2" s="1"/>
  <c r="O1489" i="2"/>
  <c r="P1489" i="2" s="1"/>
  <c r="O1490" i="2"/>
  <c r="P1490" i="2" s="1"/>
  <c r="O1491" i="2"/>
  <c r="P1491" i="2" s="1"/>
  <c r="O1492" i="2"/>
  <c r="P1492" i="2" s="1"/>
  <c r="O1493" i="2"/>
  <c r="P1493" i="2" s="1"/>
  <c r="O1494" i="2"/>
  <c r="P1494" i="2" s="1"/>
  <c r="O1495" i="2"/>
  <c r="P1495" i="2" s="1"/>
  <c r="O1496" i="2"/>
  <c r="P1496" i="2" s="1"/>
  <c r="O1497" i="2"/>
  <c r="P1497" i="2" s="1"/>
  <c r="O1498" i="2"/>
  <c r="P1498" i="2" s="1"/>
  <c r="O1499" i="2"/>
  <c r="P1499" i="2" s="1"/>
  <c r="O1500" i="2"/>
  <c r="P1500" i="2" s="1"/>
  <c r="O1501" i="2"/>
  <c r="P1501" i="2" s="1"/>
  <c r="O1502" i="2"/>
  <c r="P1502" i="2" s="1"/>
  <c r="O1503" i="2"/>
  <c r="P1503" i="2" s="1"/>
  <c r="O1504" i="2"/>
  <c r="P1504" i="2" s="1"/>
  <c r="O1505" i="2"/>
  <c r="P1505" i="2" s="1"/>
  <c r="O1506" i="2"/>
  <c r="P1506" i="2" s="1"/>
  <c r="O1507" i="2"/>
  <c r="P1507" i="2" s="1"/>
  <c r="O1508" i="2"/>
  <c r="P1508" i="2" s="1"/>
  <c r="O1509" i="2"/>
  <c r="P1509" i="2" s="1"/>
  <c r="O1510" i="2"/>
  <c r="P1510" i="2" s="1"/>
  <c r="O1511" i="2"/>
  <c r="P1511" i="2" s="1"/>
  <c r="O1512" i="2"/>
  <c r="P1512" i="2" s="1"/>
  <c r="O1513" i="2"/>
  <c r="P1513" i="2" s="1"/>
  <c r="O1514" i="2"/>
  <c r="P1514" i="2" s="1"/>
  <c r="O1515" i="2"/>
  <c r="P1515" i="2" s="1"/>
  <c r="O1516" i="2"/>
  <c r="P1516" i="2" s="1"/>
  <c r="O1517" i="2"/>
  <c r="P1517" i="2" s="1"/>
  <c r="O1518" i="2"/>
  <c r="P1518" i="2" s="1"/>
  <c r="O1519" i="2"/>
  <c r="P1519" i="2" s="1"/>
  <c r="O1520" i="2"/>
  <c r="P1520" i="2" s="1"/>
  <c r="O1521" i="2"/>
  <c r="P1521" i="2" s="1"/>
  <c r="O1522" i="2"/>
  <c r="P1522" i="2" s="1"/>
  <c r="O1523" i="2"/>
  <c r="P1523" i="2" s="1"/>
  <c r="O1524" i="2"/>
  <c r="P1524" i="2" s="1"/>
  <c r="O1525" i="2"/>
  <c r="P1525" i="2" s="1"/>
  <c r="O1526" i="2"/>
  <c r="P1526" i="2" s="1"/>
  <c r="O1527" i="2"/>
  <c r="P1527" i="2" s="1"/>
  <c r="O1528" i="2"/>
  <c r="P1528" i="2" s="1"/>
  <c r="O1529" i="2"/>
  <c r="P1529" i="2" s="1"/>
  <c r="O1530" i="2"/>
  <c r="P1530" i="2" s="1"/>
  <c r="O1531" i="2"/>
  <c r="P1531" i="2" s="1"/>
  <c r="O1532" i="2"/>
  <c r="P1532" i="2" s="1"/>
  <c r="O1533" i="2"/>
  <c r="P1533" i="2" s="1"/>
  <c r="O1534" i="2"/>
  <c r="P1534" i="2" s="1"/>
  <c r="O1535" i="2"/>
  <c r="P1535" i="2" s="1"/>
  <c r="O1536" i="2"/>
  <c r="P1536" i="2" s="1"/>
  <c r="O1537" i="2"/>
  <c r="P1537" i="2" s="1"/>
  <c r="O1538" i="2"/>
  <c r="P1538" i="2" s="1"/>
  <c r="O1539" i="2"/>
  <c r="P1539" i="2" s="1"/>
  <c r="O1540" i="2"/>
  <c r="P1540" i="2" s="1"/>
  <c r="O1541" i="2"/>
  <c r="P1541" i="2" s="1"/>
  <c r="O1542" i="2"/>
  <c r="P1542" i="2" s="1"/>
  <c r="O1543" i="2"/>
  <c r="P1543" i="2" s="1"/>
  <c r="O1544" i="2"/>
  <c r="P1544" i="2" s="1"/>
  <c r="O1545" i="2"/>
  <c r="P1545" i="2" s="1"/>
  <c r="O1546" i="2"/>
  <c r="P1546" i="2" s="1"/>
  <c r="O1547" i="2"/>
  <c r="P1547" i="2" s="1"/>
  <c r="O1548" i="2"/>
  <c r="P1548" i="2" s="1"/>
  <c r="O1549" i="2"/>
  <c r="P1549" i="2" s="1"/>
  <c r="O1550" i="2"/>
  <c r="P1550" i="2" s="1"/>
  <c r="O1551" i="2"/>
  <c r="P1551" i="2" s="1"/>
  <c r="O1552" i="2"/>
  <c r="P1552" i="2" s="1"/>
  <c r="O1553" i="2"/>
  <c r="P1553" i="2" s="1"/>
  <c r="O1554" i="2"/>
  <c r="P1554" i="2" s="1"/>
  <c r="O1555" i="2"/>
  <c r="P1555" i="2" s="1"/>
  <c r="O1556" i="2"/>
  <c r="P1556" i="2" s="1"/>
  <c r="O1557" i="2"/>
  <c r="P1557" i="2" s="1"/>
  <c r="O1558" i="2"/>
  <c r="P1558" i="2" s="1"/>
  <c r="O1559" i="2"/>
  <c r="P1559" i="2" s="1"/>
  <c r="O1560" i="2"/>
  <c r="P1560" i="2" s="1"/>
  <c r="O1561" i="2"/>
  <c r="P1561" i="2" s="1"/>
  <c r="O1562" i="2"/>
  <c r="P1562" i="2" s="1"/>
  <c r="O1563" i="2"/>
  <c r="P1563" i="2" s="1"/>
  <c r="O1564" i="2"/>
  <c r="P1564" i="2" s="1"/>
  <c r="O1565" i="2"/>
  <c r="P1565" i="2" s="1"/>
  <c r="O1566" i="2"/>
  <c r="P1566" i="2" s="1"/>
  <c r="O1567" i="2"/>
  <c r="P1567" i="2" s="1"/>
  <c r="O1568" i="2"/>
  <c r="P1568" i="2" s="1"/>
  <c r="O1569" i="2"/>
  <c r="P1569" i="2" s="1"/>
  <c r="O1570" i="2"/>
  <c r="P1570" i="2" s="1"/>
  <c r="O1571" i="2"/>
  <c r="P1571" i="2" s="1"/>
  <c r="O1572" i="2"/>
  <c r="P1572" i="2" s="1"/>
  <c r="O1573" i="2"/>
  <c r="P1573" i="2" s="1"/>
  <c r="O1574" i="2"/>
  <c r="P1574" i="2" s="1"/>
  <c r="O1575" i="2"/>
  <c r="P1575" i="2" s="1"/>
  <c r="O1576" i="2"/>
  <c r="P1576" i="2" s="1"/>
  <c r="O1577" i="2"/>
  <c r="P1577" i="2" s="1"/>
  <c r="O1578" i="2"/>
  <c r="P1578" i="2" s="1"/>
  <c r="O1579" i="2"/>
  <c r="P1579" i="2" s="1"/>
  <c r="O1580" i="2"/>
  <c r="P1580" i="2" s="1"/>
  <c r="O1581" i="2"/>
  <c r="P1581" i="2" s="1"/>
  <c r="O1582" i="2"/>
  <c r="P1582" i="2" s="1"/>
  <c r="O1583" i="2"/>
  <c r="P1583" i="2" s="1"/>
  <c r="O1584" i="2"/>
  <c r="P1584" i="2" s="1"/>
  <c r="O1585" i="2"/>
  <c r="P1585" i="2" s="1"/>
  <c r="O1586" i="2"/>
  <c r="P1586" i="2" s="1"/>
  <c r="O1587" i="2"/>
  <c r="P1587" i="2" s="1"/>
  <c r="O1588" i="2"/>
  <c r="P1588" i="2" s="1"/>
  <c r="O1589" i="2"/>
  <c r="P1589" i="2" s="1"/>
  <c r="O1590" i="2"/>
  <c r="P1590" i="2" s="1"/>
  <c r="O1591" i="2"/>
  <c r="P1591" i="2" s="1"/>
  <c r="O1592" i="2"/>
  <c r="P1592" i="2" s="1"/>
  <c r="O1593" i="2"/>
  <c r="P1593" i="2" s="1"/>
  <c r="O1594" i="2"/>
  <c r="P1594" i="2" s="1"/>
  <c r="O1595" i="2"/>
  <c r="P1595" i="2" s="1"/>
  <c r="O1596" i="2"/>
  <c r="P1596" i="2" s="1"/>
  <c r="O1597" i="2"/>
  <c r="P1597" i="2" s="1"/>
  <c r="O1598" i="2"/>
  <c r="P1598" i="2" s="1"/>
  <c r="O1599" i="2"/>
  <c r="P1599" i="2" s="1"/>
  <c r="O1600" i="2"/>
  <c r="P1600" i="2" s="1"/>
  <c r="O1601" i="2"/>
  <c r="P1601" i="2" s="1"/>
  <c r="O1602" i="2"/>
  <c r="P1602" i="2" s="1"/>
  <c r="O1603" i="2"/>
  <c r="P1603" i="2" s="1"/>
  <c r="O1604" i="2"/>
  <c r="P1604" i="2" s="1"/>
  <c r="O1605" i="2"/>
  <c r="P1605" i="2" s="1"/>
  <c r="O1606" i="2"/>
  <c r="P1606" i="2" s="1"/>
  <c r="O1607" i="2"/>
  <c r="P1607" i="2" s="1"/>
  <c r="O1608" i="2"/>
  <c r="P1608" i="2" s="1"/>
  <c r="O1609" i="2"/>
  <c r="P1609" i="2" s="1"/>
  <c r="O1610" i="2"/>
  <c r="P1610" i="2" s="1"/>
  <c r="O1611" i="2"/>
  <c r="P1611" i="2" s="1"/>
  <c r="O1612" i="2"/>
  <c r="P1612" i="2" s="1"/>
  <c r="O1613" i="2"/>
  <c r="P1613" i="2" s="1"/>
  <c r="O1614" i="2"/>
  <c r="P1614" i="2" s="1"/>
  <c r="O1615" i="2"/>
  <c r="P1615" i="2" s="1"/>
  <c r="O1616" i="2"/>
  <c r="P1616" i="2" s="1"/>
  <c r="O1617" i="2"/>
  <c r="P1617" i="2" s="1"/>
  <c r="O1618" i="2"/>
  <c r="P1618" i="2" s="1"/>
  <c r="O1619" i="2"/>
  <c r="P1619" i="2" s="1"/>
  <c r="O1620" i="2"/>
  <c r="P1620" i="2" s="1"/>
  <c r="O1621" i="2"/>
  <c r="P1621" i="2" s="1"/>
  <c r="O1622" i="2"/>
  <c r="P1622" i="2" s="1"/>
  <c r="O1623" i="2"/>
  <c r="P1623" i="2" s="1"/>
  <c r="O1624" i="2"/>
  <c r="P1624" i="2" s="1"/>
  <c r="O1625" i="2"/>
  <c r="P1625" i="2" s="1"/>
  <c r="O1626" i="2"/>
  <c r="P1626" i="2" s="1"/>
  <c r="O1627" i="2"/>
  <c r="P1627" i="2" s="1"/>
  <c r="O1628" i="2"/>
  <c r="P1628" i="2" s="1"/>
  <c r="O1629" i="2"/>
  <c r="P1629" i="2" s="1"/>
  <c r="O1630" i="2"/>
  <c r="P1630" i="2" s="1"/>
  <c r="O1631" i="2"/>
  <c r="P1631" i="2" s="1"/>
  <c r="O1632" i="2"/>
  <c r="P1632" i="2" s="1"/>
  <c r="O1633" i="2"/>
  <c r="P1633" i="2" s="1"/>
  <c r="O1634" i="2"/>
  <c r="P1634" i="2" s="1"/>
  <c r="O1635" i="2"/>
  <c r="P1635" i="2" s="1"/>
  <c r="O1636" i="2"/>
  <c r="P1636" i="2" s="1"/>
  <c r="O1637" i="2"/>
  <c r="P1637" i="2" s="1"/>
  <c r="O1638" i="2"/>
  <c r="P1638" i="2" s="1"/>
  <c r="O1639" i="2"/>
  <c r="P1639" i="2" s="1"/>
  <c r="O1640" i="2"/>
  <c r="P1640" i="2" s="1"/>
  <c r="O1641" i="2"/>
  <c r="P1641" i="2" s="1"/>
  <c r="O1642" i="2"/>
  <c r="P1642" i="2" s="1"/>
  <c r="O1643" i="2"/>
  <c r="P1643" i="2" s="1"/>
  <c r="O1644" i="2"/>
  <c r="P1644" i="2" s="1"/>
  <c r="O1645" i="2"/>
  <c r="P1645" i="2" s="1"/>
  <c r="O1646" i="2"/>
  <c r="P1646" i="2" s="1"/>
  <c r="O1647" i="2"/>
  <c r="P1647" i="2" s="1"/>
  <c r="O1648" i="2"/>
  <c r="P1648" i="2" s="1"/>
  <c r="O1649" i="2"/>
  <c r="P1649" i="2" s="1"/>
  <c r="O1650" i="2"/>
  <c r="P1650" i="2" s="1"/>
  <c r="O1651" i="2"/>
  <c r="P1651" i="2" s="1"/>
  <c r="O1652" i="2"/>
  <c r="P1652" i="2" s="1"/>
  <c r="O1653" i="2"/>
  <c r="P1653" i="2" s="1"/>
  <c r="O1654" i="2"/>
  <c r="P1654" i="2" s="1"/>
  <c r="O1655" i="2"/>
  <c r="P1655" i="2" s="1"/>
  <c r="O1656" i="2"/>
  <c r="P1656" i="2" s="1"/>
  <c r="O1657" i="2"/>
  <c r="P1657" i="2" s="1"/>
  <c r="O1658" i="2"/>
  <c r="P1658" i="2" s="1"/>
  <c r="O1659" i="2"/>
  <c r="P1659" i="2" s="1"/>
  <c r="O1660" i="2"/>
  <c r="P1660" i="2" s="1"/>
  <c r="O1661" i="2"/>
  <c r="P1661" i="2" s="1"/>
  <c r="O1662" i="2"/>
  <c r="P1662" i="2" s="1"/>
  <c r="O1663" i="2"/>
  <c r="P1663" i="2" s="1"/>
  <c r="O1664" i="2"/>
  <c r="P1664" i="2" s="1"/>
  <c r="O1665" i="2"/>
  <c r="P1665" i="2" s="1"/>
  <c r="O1666" i="2"/>
  <c r="P1666" i="2" s="1"/>
  <c r="O1667" i="2"/>
  <c r="P1667" i="2" s="1"/>
  <c r="O1668" i="2"/>
  <c r="P1668" i="2" s="1"/>
  <c r="O1669" i="2"/>
  <c r="P1669" i="2" s="1"/>
  <c r="O1670" i="2"/>
  <c r="P1670" i="2" s="1"/>
  <c r="O1671" i="2"/>
  <c r="P1671" i="2" s="1"/>
  <c r="O1672" i="2"/>
  <c r="P1672" i="2" s="1"/>
  <c r="O1673" i="2"/>
  <c r="P1673" i="2" s="1"/>
  <c r="O1674" i="2"/>
  <c r="P1674" i="2" s="1"/>
  <c r="O1675" i="2"/>
  <c r="P1675" i="2" s="1"/>
  <c r="O1676" i="2"/>
  <c r="P1676" i="2" s="1"/>
  <c r="O1677" i="2"/>
  <c r="P1677" i="2" s="1"/>
  <c r="O1678" i="2"/>
  <c r="P1678" i="2" s="1"/>
  <c r="O1679" i="2"/>
  <c r="P1679" i="2" s="1"/>
  <c r="O1680" i="2"/>
  <c r="P1680" i="2" s="1"/>
  <c r="O1681" i="2"/>
  <c r="P1681" i="2" s="1"/>
  <c r="O1682" i="2"/>
  <c r="P1682" i="2" s="1"/>
  <c r="O1683" i="2"/>
  <c r="P1683" i="2" s="1"/>
  <c r="O1684" i="2"/>
  <c r="P1684" i="2" s="1"/>
  <c r="O1685" i="2"/>
  <c r="P1685" i="2" s="1"/>
  <c r="O1686" i="2"/>
  <c r="P1686" i="2" s="1"/>
  <c r="O1687" i="2"/>
  <c r="P1687" i="2" s="1"/>
  <c r="O1688" i="2"/>
  <c r="P1688" i="2" s="1"/>
  <c r="O1689" i="2"/>
  <c r="P1689" i="2" s="1"/>
  <c r="O1690" i="2"/>
  <c r="P1690" i="2" s="1"/>
  <c r="O1691" i="2"/>
  <c r="P1691" i="2" s="1"/>
  <c r="O1692" i="2"/>
  <c r="P1692" i="2" s="1"/>
  <c r="O1693" i="2"/>
  <c r="P1693" i="2" s="1"/>
  <c r="O1694" i="2"/>
  <c r="P1694" i="2" s="1"/>
  <c r="O1695" i="2"/>
  <c r="P1695" i="2" s="1"/>
  <c r="O1696" i="2"/>
  <c r="P1696" i="2" s="1"/>
  <c r="O1697" i="2"/>
  <c r="P1697" i="2" s="1"/>
  <c r="O1698" i="2"/>
  <c r="P1698" i="2" s="1"/>
  <c r="O1699" i="2"/>
  <c r="P1699" i="2" s="1"/>
  <c r="O1700" i="2"/>
  <c r="P1700" i="2" s="1"/>
  <c r="O1701" i="2"/>
  <c r="P1701" i="2" s="1"/>
  <c r="O1702" i="2"/>
  <c r="P1702" i="2" s="1"/>
  <c r="O1703" i="2"/>
  <c r="P1703" i="2" s="1"/>
  <c r="O1704" i="2"/>
  <c r="P1704" i="2" s="1"/>
  <c r="O1705" i="2"/>
  <c r="P1705" i="2" s="1"/>
  <c r="O1706" i="2"/>
  <c r="P1706" i="2" s="1"/>
  <c r="O1707" i="2"/>
  <c r="P1707" i="2" s="1"/>
  <c r="O1708" i="2"/>
  <c r="P1708" i="2" s="1"/>
  <c r="O1709" i="2"/>
  <c r="P1709" i="2" s="1"/>
  <c r="O1710" i="2"/>
  <c r="P1710" i="2" s="1"/>
  <c r="O1711" i="2"/>
  <c r="P1711" i="2" s="1"/>
  <c r="O1712" i="2"/>
  <c r="P1712" i="2" s="1"/>
  <c r="O1713" i="2"/>
  <c r="P1713" i="2" s="1"/>
  <c r="O1714" i="2"/>
  <c r="P1714" i="2" s="1"/>
  <c r="O1715" i="2"/>
  <c r="P1715" i="2" s="1"/>
  <c r="O1716" i="2"/>
  <c r="P1716" i="2" s="1"/>
  <c r="O1717" i="2"/>
  <c r="P1717" i="2" s="1"/>
  <c r="O1718" i="2"/>
  <c r="P1718" i="2" s="1"/>
  <c r="O1719" i="2"/>
  <c r="P1719" i="2" s="1"/>
  <c r="O1720" i="2"/>
  <c r="P1720" i="2" s="1"/>
  <c r="O1721" i="2"/>
  <c r="P1721" i="2" s="1"/>
  <c r="O1722" i="2"/>
  <c r="P1722" i="2" s="1"/>
  <c r="O1723" i="2"/>
  <c r="P1723" i="2" s="1"/>
  <c r="O1724" i="2"/>
  <c r="P1724" i="2" s="1"/>
  <c r="O1725" i="2"/>
  <c r="P1725" i="2" s="1"/>
  <c r="O1726" i="2"/>
  <c r="P1726" i="2" s="1"/>
  <c r="O1727" i="2"/>
  <c r="P1727" i="2" s="1"/>
  <c r="O1728" i="2"/>
  <c r="P1728" i="2" s="1"/>
  <c r="O1729" i="2"/>
  <c r="P1729" i="2" s="1"/>
  <c r="O1730" i="2"/>
  <c r="P1730" i="2" s="1"/>
  <c r="O1731" i="2"/>
  <c r="P1731" i="2" s="1"/>
  <c r="O1732" i="2"/>
  <c r="P1732" i="2" s="1"/>
  <c r="O1733" i="2"/>
  <c r="P1733" i="2" s="1"/>
  <c r="O1734" i="2"/>
  <c r="P1734" i="2" s="1"/>
  <c r="O1735" i="2"/>
  <c r="P1735" i="2" s="1"/>
  <c r="O1736" i="2"/>
  <c r="P1736" i="2" s="1"/>
  <c r="O1737" i="2"/>
  <c r="P1737" i="2" s="1"/>
  <c r="O1738" i="2"/>
  <c r="P1738" i="2" s="1"/>
  <c r="O1739" i="2"/>
  <c r="P1739" i="2" s="1"/>
  <c r="O1740" i="2"/>
  <c r="P1740" i="2" s="1"/>
  <c r="O1741" i="2"/>
  <c r="P1741" i="2" s="1"/>
  <c r="O1742" i="2"/>
  <c r="P1742" i="2" s="1"/>
  <c r="O1743" i="2"/>
  <c r="P1743" i="2" s="1"/>
  <c r="O1744" i="2"/>
  <c r="P1744" i="2" s="1"/>
  <c r="O1745" i="2"/>
  <c r="P1745" i="2" s="1"/>
  <c r="O1746" i="2"/>
  <c r="P1746" i="2" s="1"/>
  <c r="O1747" i="2"/>
  <c r="P1747" i="2" s="1"/>
  <c r="O1748" i="2"/>
  <c r="P1748" i="2" s="1"/>
  <c r="O1749" i="2"/>
  <c r="P1749" i="2" s="1"/>
  <c r="O1750" i="2"/>
  <c r="P1750" i="2" s="1"/>
  <c r="O1751" i="2"/>
  <c r="P1751" i="2" s="1"/>
  <c r="O1752" i="2"/>
  <c r="P1752" i="2" s="1"/>
  <c r="O1753" i="2"/>
  <c r="P1753" i="2" s="1"/>
  <c r="O1754" i="2"/>
  <c r="P1754" i="2" s="1"/>
  <c r="O1755" i="2"/>
  <c r="P1755" i="2" s="1"/>
  <c r="O1756" i="2"/>
  <c r="P1756" i="2" s="1"/>
  <c r="O1757" i="2"/>
  <c r="P1757" i="2" s="1"/>
  <c r="O1758" i="2"/>
  <c r="P1758" i="2" s="1"/>
  <c r="O1759" i="2"/>
  <c r="P1759" i="2" s="1"/>
  <c r="O1760" i="2"/>
  <c r="P1760" i="2" s="1"/>
  <c r="O1761" i="2"/>
  <c r="P1761" i="2" s="1"/>
  <c r="O1762" i="2"/>
  <c r="P1762" i="2" s="1"/>
  <c r="O1763" i="2"/>
  <c r="P1763" i="2" s="1"/>
  <c r="O1764" i="2"/>
  <c r="P1764" i="2" s="1"/>
  <c r="O1765" i="2"/>
  <c r="P1765" i="2" s="1"/>
  <c r="O1766" i="2"/>
  <c r="P1766" i="2" s="1"/>
  <c r="O1767" i="2"/>
  <c r="P1767" i="2" s="1"/>
  <c r="O1768" i="2"/>
  <c r="P1768" i="2" s="1"/>
  <c r="O1769" i="2"/>
  <c r="P1769" i="2" s="1"/>
  <c r="O1770" i="2"/>
  <c r="P1770" i="2" s="1"/>
  <c r="O1771" i="2"/>
  <c r="P1771" i="2" s="1"/>
  <c r="O1772" i="2"/>
  <c r="P1772" i="2" s="1"/>
  <c r="O1773" i="2"/>
  <c r="P1773" i="2" s="1"/>
  <c r="O1774" i="2"/>
  <c r="P1774" i="2" s="1"/>
  <c r="O1775" i="2"/>
  <c r="P1775" i="2" s="1"/>
  <c r="O1776" i="2"/>
  <c r="P1776" i="2" s="1"/>
  <c r="O1777" i="2"/>
  <c r="P1777" i="2" s="1"/>
  <c r="O1778" i="2"/>
  <c r="P1778" i="2" s="1"/>
  <c r="O1779" i="2"/>
  <c r="P1779" i="2" s="1"/>
  <c r="O1780" i="2"/>
  <c r="P1780" i="2" s="1"/>
  <c r="O1781" i="2"/>
  <c r="P1781" i="2" s="1"/>
  <c r="O1782" i="2"/>
  <c r="P1782" i="2" s="1"/>
  <c r="O1783" i="2"/>
  <c r="P1783" i="2" s="1"/>
  <c r="O1784" i="2"/>
  <c r="P1784" i="2" s="1"/>
  <c r="O1785" i="2"/>
  <c r="P1785" i="2" s="1"/>
  <c r="O1786" i="2"/>
  <c r="P1786" i="2" s="1"/>
  <c r="O1787" i="2"/>
  <c r="P1787" i="2" s="1"/>
  <c r="O1788" i="2"/>
  <c r="P1788" i="2" s="1"/>
  <c r="O1789" i="2"/>
  <c r="P1789" i="2" s="1"/>
  <c r="O1790" i="2"/>
  <c r="P1790" i="2" s="1"/>
  <c r="O1791" i="2"/>
  <c r="P1791" i="2" s="1"/>
  <c r="O1792" i="2"/>
  <c r="P1792" i="2" s="1"/>
  <c r="O1793" i="2"/>
  <c r="P1793" i="2" s="1"/>
  <c r="O1794" i="2"/>
  <c r="P1794" i="2" s="1"/>
  <c r="O1795" i="2"/>
  <c r="P1795" i="2" s="1"/>
  <c r="O1796" i="2"/>
  <c r="P1796" i="2" s="1"/>
  <c r="O1797" i="2"/>
  <c r="P1797" i="2" s="1"/>
  <c r="O1798" i="2"/>
  <c r="P1798" i="2" s="1"/>
  <c r="O1799" i="2"/>
  <c r="P1799" i="2" s="1"/>
  <c r="O1800" i="2"/>
  <c r="P1800" i="2" s="1"/>
  <c r="O1801" i="2"/>
  <c r="P1801" i="2" s="1"/>
  <c r="O1802" i="2"/>
  <c r="P1802" i="2" s="1"/>
  <c r="O1803" i="2"/>
  <c r="P1803" i="2" s="1"/>
  <c r="O1804" i="2"/>
  <c r="P1804" i="2" s="1"/>
  <c r="O1805" i="2"/>
  <c r="P1805" i="2" s="1"/>
  <c r="O1806" i="2"/>
  <c r="P1806" i="2" s="1"/>
  <c r="O1807" i="2"/>
  <c r="P1807" i="2" s="1"/>
  <c r="O1808" i="2"/>
  <c r="P1808" i="2" s="1"/>
  <c r="O2" i="2"/>
  <c r="P2" i="2"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2" i="2"/>
  <c r="D5" i="7"/>
  <c r="G5" i="7"/>
  <c r="J5" i="7" l="1"/>
</calcChain>
</file>

<file path=xl/sharedStrings.xml><?xml version="1.0" encoding="utf-8"?>
<sst xmlns="http://schemas.openxmlformats.org/spreadsheetml/2006/main" count="22323" uniqueCount="2244">
  <si>
    <t>OrderID</t>
  </si>
  <si>
    <t>Order Date</t>
  </si>
  <si>
    <t>Region</t>
  </si>
  <si>
    <t>Sales Rep</t>
  </si>
  <si>
    <t>Customer Name</t>
  </si>
  <si>
    <t>Category</t>
  </si>
  <si>
    <t>Product</t>
  </si>
  <si>
    <t>Quantity</t>
  </si>
  <si>
    <t>Unit Price</t>
  </si>
  <si>
    <t>Discount</t>
  </si>
  <si>
    <t>Sales</t>
  </si>
  <si>
    <t>ORD-1562</t>
  </si>
  <si>
    <t>N.</t>
  </si>
  <si>
    <t>M. Ansah</t>
  </si>
  <si>
    <t>Fiifi Adjei</t>
  </si>
  <si>
    <t>Fashion</t>
  </si>
  <si>
    <t>Sneakers</t>
  </si>
  <si>
    <t>ORD-2615</t>
  </si>
  <si>
    <t>West</t>
  </si>
  <si>
    <t>S. Addo</t>
  </si>
  <si>
    <t>Adwoa Osei</t>
  </si>
  <si>
    <t>Home &amp; Kitchen</t>
  </si>
  <si>
    <t>Non-stick Pan</t>
  </si>
  <si>
    <t>ORD-2308</t>
  </si>
  <si>
    <t>East</t>
  </si>
  <si>
    <t>P. Amoah</t>
  </si>
  <si>
    <t>Akua Boateng</t>
  </si>
  <si>
    <t>Cotton T-Shirt</t>
  </si>
  <si>
    <t>ORD-2324</t>
  </si>
  <si>
    <t>NORTH</t>
  </si>
  <si>
    <t>Efua Osei</t>
  </si>
  <si>
    <t>ORD-1930</t>
  </si>
  <si>
    <t>14/12/2024</t>
  </si>
  <si>
    <t>South</t>
  </si>
  <si>
    <t>Kojo Asante</t>
  </si>
  <si>
    <t>Groceries</t>
  </si>
  <si>
    <t>Rice 5kg</t>
  </si>
  <si>
    <t>ORD-2442</t>
  </si>
  <si>
    <t>SOUTH</t>
  </si>
  <si>
    <t>Akua Danso</t>
  </si>
  <si>
    <t>ORD-2171</t>
  </si>
  <si>
    <t>Central</t>
  </si>
  <si>
    <t>R. Ofori</t>
  </si>
  <si>
    <t>Kwame Osei</t>
  </si>
  <si>
    <t>Beauty</t>
  </si>
  <si>
    <t>Lip Balm Set</t>
  </si>
  <si>
    <t>ORD-1739</t>
  </si>
  <si>
    <t>14/04/2024</t>
  </si>
  <si>
    <t>south</t>
  </si>
  <si>
    <t>Kweku Owusu</t>
  </si>
  <si>
    <t>Hair Oil</t>
  </si>
  <si>
    <t>ORD-2580</t>
  </si>
  <si>
    <t>Efua Mensah</t>
  </si>
  <si>
    <t>Electronics</t>
  </si>
  <si>
    <t>USB-C Cable</t>
  </si>
  <si>
    <t>ORD-1308</t>
  </si>
  <si>
    <t>east</t>
  </si>
  <si>
    <t>J. Tetteh</t>
  </si>
  <si>
    <t>Kwabena Asante</t>
  </si>
  <si>
    <t>Smartphone Case</t>
  </si>
  <si>
    <t>ORD-2485</t>
  </si>
  <si>
    <t>23/06/2024</t>
  </si>
  <si>
    <t>Kwame Darko</t>
  </si>
  <si>
    <t>Laptop Stand</t>
  </si>
  <si>
    <t>ORD-1339</t>
  </si>
  <si>
    <t>North</t>
  </si>
  <si>
    <t>Kwesi Owusu</t>
  </si>
  <si>
    <t>Cooking Oil 1L</t>
  </si>
  <si>
    <t>ORD-2320</t>
  </si>
  <si>
    <t>Kwaku Asante</t>
  </si>
  <si>
    <t>Table Lamp</t>
  </si>
  <si>
    <t>ORD-2640</t>
  </si>
  <si>
    <t>north</t>
  </si>
  <si>
    <t>Akosua Appiah</t>
  </si>
  <si>
    <t>Denim Jeans</t>
  </si>
  <si>
    <t>ORD-1438</t>
  </si>
  <si>
    <t>21/10/2024</t>
  </si>
  <si>
    <t>Afia Asante</t>
  </si>
  <si>
    <t>ORD-1298</t>
  </si>
  <si>
    <t>WEST</t>
  </si>
  <si>
    <t>Yaa Osei</t>
  </si>
  <si>
    <t>ORD-2178</t>
  </si>
  <si>
    <t>Akua Appiah</t>
  </si>
  <si>
    <t>Pasta Pack</t>
  </si>
  <si>
    <t>ORD-1595</t>
  </si>
  <si>
    <t>Efua Appiah</t>
  </si>
  <si>
    <t>Shea Butter Lotion</t>
  </si>
  <si>
    <t>ORD-2660</t>
  </si>
  <si>
    <t>Yaa Adjei</t>
  </si>
  <si>
    <t>ORD-2039</t>
  </si>
  <si>
    <t>central</t>
  </si>
  <si>
    <t>ORD-2459</t>
  </si>
  <si>
    <t>28/09/2024</t>
  </si>
  <si>
    <t>Nana Adjei</t>
  </si>
  <si>
    <t>Face Wash</t>
  </si>
  <si>
    <t>ORD-1868</t>
  </si>
  <si>
    <t>Efua Asante</t>
  </si>
  <si>
    <t>ORD-1732</t>
  </si>
  <si>
    <t>ORD-1389</t>
  </si>
  <si>
    <t>25/06/2024</t>
  </si>
  <si>
    <t>Kojo Adjei</t>
  </si>
  <si>
    <t>ORD-1500</t>
  </si>
  <si>
    <t>west</t>
  </si>
  <si>
    <t>Nana Appiah</t>
  </si>
  <si>
    <t>Power Bank</t>
  </si>
  <si>
    <t>ORD-1287</t>
  </si>
  <si>
    <t>Nana Owusu</t>
  </si>
  <si>
    <t>Shampoo 400ml</t>
  </si>
  <si>
    <t>ORD-1528</t>
  </si>
  <si>
    <t>ORD-2275</t>
  </si>
  <si>
    <t>Adwoa Danso</t>
  </si>
  <si>
    <t>Sunglasses</t>
  </si>
  <si>
    <t>ORD-1855</t>
  </si>
  <si>
    <t>Yaa Agyeman</t>
  </si>
  <si>
    <t>ORD-1375</t>
  </si>
  <si>
    <t>Kweku Boateng</t>
  </si>
  <si>
    <t>ORD-1546</t>
  </si>
  <si>
    <t>Adjoa Agyeman</t>
  </si>
  <si>
    <t>ORD-1340</t>
  </si>
  <si>
    <t>ORD-2226</t>
  </si>
  <si>
    <t>Kwaku Osei</t>
  </si>
  <si>
    <t>ORD-2368</t>
  </si>
  <si>
    <t>Adwoa Owusu</t>
  </si>
  <si>
    <t>ORD-1484</t>
  </si>
  <si>
    <t>Kwabena Appiah</t>
  </si>
  <si>
    <t>Bluetooth Speaker</t>
  </si>
  <si>
    <t>ORD-2318</t>
  </si>
  <si>
    <t>13/06/2024</t>
  </si>
  <si>
    <t>Ama Owusu</t>
  </si>
  <si>
    <t>Electric Kettle</t>
  </si>
  <si>
    <t>ORD-2152</t>
  </si>
  <si>
    <t>Nana Agyeman</t>
  </si>
  <si>
    <t>ORD-2173</t>
  </si>
  <si>
    <t>Yaw Asante</t>
  </si>
  <si>
    <t>Sugar 1kg</t>
  </si>
  <si>
    <t>ORD-2133</t>
  </si>
  <si>
    <t>21/01/2024</t>
  </si>
  <si>
    <t>Adwoa Darko</t>
  </si>
  <si>
    <t>ORD-1351</t>
  </si>
  <si>
    <t>Yaw Owusu</t>
  </si>
  <si>
    <t>ORD-1976</t>
  </si>
  <si>
    <t>25/05/2024</t>
  </si>
  <si>
    <t>Kwaku Mensah</t>
  </si>
  <si>
    <t>ORD-1378</t>
  </si>
  <si>
    <t>Adjoa Boateng</t>
  </si>
  <si>
    <t>ORD-1527</t>
  </si>
  <si>
    <t>Yaa Appiah</t>
  </si>
  <si>
    <t>Leather Wallet</t>
  </si>
  <si>
    <t>ORD-1037</t>
  </si>
  <si>
    <t>23/09/2024</t>
  </si>
  <si>
    <t>Ama Darko</t>
  </si>
  <si>
    <t>ORD-2412</t>
  </si>
  <si>
    <t>Efua Darko</t>
  </si>
  <si>
    <t>ORD-1660</t>
  </si>
  <si>
    <t>31/08/2024</t>
  </si>
  <si>
    <t>Fiifi Agyeman</t>
  </si>
  <si>
    <t>ORD-1830</t>
  </si>
  <si>
    <t>ORD-1410</t>
  </si>
  <si>
    <t>Yaw Danso</t>
  </si>
  <si>
    <t>ORD-2606</t>
  </si>
  <si>
    <t>Yaw Adjei</t>
  </si>
  <si>
    <t>ORD-2678</t>
  </si>
  <si>
    <t>27/10/2024</t>
  </si>
  <si>
    <t>ORD-1278</t>
  </si>
  <si>
    <t>Esi Mensah</t>
  </si>
  <si>
    <t>ORD-2288</t>
  </si>
  <si>
    <t>Nana Darko</t>
  </si>
  <si>
    <t>Blender</t>
  </si>
  <si>
    <t>ORD-2676</t>
  </si>
  <si>
    <t>ORD-1442</t>
  </si>
  <si>
    <t>ORD-1699</t>
  </si>
  <si>
    <t>Kweku Danso</t>
  </si>
  <si>
    <t>ORD-1972</t>
  </si>
  <si>
    <t>ORD-1386</t>
  </si>
  <si>
    <t>ORD-1116</t>
  </si>
  <si>
    <t>ORD-1058</t>
  </si>
  <si>
    <t>Kwaku Adjei</t>
  </si>
  <si>
    <t>Canned Tomatoes</t>
  </si>
  <si>
    <t>ORD-1241</t>
  </si>
  <si>
    <t>ORD-1229</t>
  </si>
  <si>
    <t>Efua Owusu</t>
  </si>
  <si>
    <t>ORD-1947</t>
  </si>
  <si>
    <t>ORD-1412</t>
  </si>
  <si>
    <t>Yaa Darko</t>
  </si>
  <si>
    <t>ORD-1800</t>
  </si>
  <si>
    <t>Akua Asante</t>
  </si>
  <si>
    <t>ORD-2329</t>
  </si>
  <si>
    <t>ORD-2794</t>
  </si>
  <si>
    <t>ORD-2268</t>
  </si>
  <si>
    <t>Afia Osei</t>
  </si>
  <si>
    <t>ORD-2281</t>
  </si>
  <si>
    <t>ORD-2501</t>
  </si>
  <si>
    <t>14/09/2024</t>
  </si>
  <si>
    <t>Fiifi Owusu</t>
  </si>
  <si>
    <t>Storage Containers</t>
  </si>
  <si>
    <t>ORD-1396</t>
  </si>
  <si>
    <t>29/10/2024</t>
  </si>
  <si>
    <t>Kwaku Danso</t>
  </si>
  <si>
    <t>ORD-1172</t>
  </si>
  <si>
    <t>Esi Darko</t>
  </si>
  <si>
    <t>ORD-2382</t>
  </si>
  <si>
    <t>Yaa Owusu</t>
  </si>
  <si>
    <t>ORD-1993</t>
  </si>
  <si>
    <t>ORD-1688</t>
  </si>
  <si>
    <t>Kwabena Osei</t>
  </si>
  <si>
    <t>ORD-2458</t>
  </si>
  <si>
    <t>Afia Danso</t>
  </si>
  <si>
    <t>ORD-2464</t>
  </si>
  <si>
    <t>ORD-1725</t>
  </si>
  <si>
    <t>24/09/2024</t>
  </si>
  <si>
    <t>ORD-1918</t>
  </si>
  <si>
    <t>ORD-1593</t>
  </si>
  <si>
    <t>Kojo Darko</t>
  </si>
  <si>
    <t>ORD-1788</t>
  </si>
  <si>
    <t>ORD-2790</t>
  </si>
  <si>
    <t>ORD-2384</t>
  </si>
  <si>
    <t>ORD-2654</t>
  </si>
  <si>
    <t>Kofi Darko</t>
  </si>
  <si>
    <t>ORD-1452</t>
  </si>
  <si>
    <t>Abena Adjei</t>
  </si>
  <si>
    <t>ORD-1002</t>
  </si>
  <si>
    <t>Kofi Boateng</t>
  </si>
  <si>
    <t>ORD-2703</t>
  </si>
  <si>
    <t>Akua Adjei</t>
  </si>
  <si>
    <t>ORD-1377</t>
  </si>
  <si>
    <t>Afia Mensah</t>
  </si>
  <si>
    <t>ORD-2084</t>
  </si>
  <si>
    <t>ORD-2201</t>
  </si>
  <si>
    <t>19/06/2024</t>
  </si>
  <si>
    <t>Adjoa Osei</t>
  </si>
  <si>
    <t>ORD-2526</t>
  </si>
  <si>
    <t>Kwame Asante</t>
  </si>
  <si>
    <t>ORD-1702</t>
  </si>
  <si>
    <t>Afia Appiah</t>
  </si>
  <si>
    <t>ORD-1140</t>
  </si>
  <si>
    <t>ORD-1729</t>
  </si>
  <si>
    <t>17/07/2024</t>
  </si>
  <si>
    <t>ORD-1920</t>
  </si>
  <si>
    <t>Yaw Boateng</t>
  </si>
  <si>
    <t>ORD-1848</t>
  </si>
  <si>
    <t>29/05/2024</t>
  </si>
  <si>
    <t>Yaw Osei</t>
  </si>
  <si>
    <t>ORD-2081</t>
  </si>
  <si>
    <t>Kwaku Darko</t>
  </si>
  <si>
    <t>ORD-1071</t>
  </si>
  <si>
    <t>16/05/2024</t>
  </si>
  <si>
    <t>Yaa Asante</t>
  </si>
  <si>
    <t>ORD-2396</t>
  </si>
  <si>
    <t>Akosua Asante</t>
  </si>
  <si>
    <t>ORD-1927</t>
  </si>
  <si>
    <t>Ama Danso</t>
  </si>
  <si>
    <t>ORD-2595</t>
  </si>
  <si>
    <t>ORD-2445</t>
  </si>
  <si>
    <t>ORD-1765</t>
  </si>
  <si>
    <t>ORD-1804</t>
  </si>
  <si>
    <t>28/04/2024</t>
  </si>
  <si>
    <t>ORD-1275</t>
  </si>
  <si>
    <t>Abena Owusu</t>
  </si>
  <si>
    <t>ORD-1004</t>
  </si>
  <si>
    <t>Adjoa Adjei</t>
  </si>
  <si>
    <t>Wireless Earbuds</t>
  </si>
  <si>
    <t>ORD-1928</t>
  </si>
  <si>
    <t>ORD-1431</t>
  </si>
  <si>
    <t>Kwesi Osei</t>
  </si>
  <si>
    <t>ORD-2346</t>
  </si>
  <si>
    <t>ORD-2589</t>
  </si>
  <si>
    <t>Nana Boateng</t>
  </si>
  <si>
    <t>ORD-1630</t>
  </si>
  <si>
    <t>26/02/2024</t>
  </si>
  <si>
    <t>ORD-2717</t>
  </si>
  <si>
    <t>ORD-1185</t>
  </si>
  <si>
    <t>ORD-2094</t>
  </si>
  <si>
    <t>Yaa Danso</t>
  </si>
  <si>
    <t>ORD-2294</t>
  </si>
  <si>
    <t>Abena Boateng</t>
  </si>
  <si>
    <t>ORD-2680</t>
  </si>
  <si>
    <t>ORD-1374</t>
  </si>
  <si>
    <t>14/08/2024</t>
  </si>
  <si>
    <t>Kofi Asante</t>
  </si>
  <si>
    <t>ORD-1705</t>
  </si>
  <si>
    <t>ORD-2236</t>
  </si>
  <si>
    <t>ORD-1783</t>
  </si>
  <si>
    <t>Kojo Appiah</t>
  </si>
  <si>
    <t>ORD-2274</t>
  </si>
  <si>
    <t>Kwabena Adjei</t>
  </si>
  <si>
    <t>ORD-2692</t>
  </si>
  <si>
    <t>Akosua Mensah</t>
  </si>
  <si>
    <t>ORD-2334</t>
  </si>
  <si>
    <t>Adjoa Asante</t>
  </si>
  <si>
    <t>ORD-2770</t>
  </si>
  <si>
    <t>ORD-1640</t>
  </si>
  <si>
    <t>Akosua Boateng</t>
  </si>
  <si>
    <t>ORD-1127</t>
  </si>
  <si>
    <t>Kweku Adjei</t>
  </si>
  <si>
    <t>ORD-2058</t>
  </si>
  <si>
    <t>ORD-1344</t>
  </si>
  <si>
    <t>Ama Adjei</t>
  </si>
  <si>
    <t>ORD-2779</t>
  </si>
  <si>
    <t>ORD-1489</t>
  </si>
  <si>
    <t>Fiifi Osei</t>
  </si>
  <si>
    <t>ORD-1742</t>
  </si>
  <si>
    <t>ORD-1281</t>
  </si>
  <si>
    <t>Adjoa Appiah</t>
  </si>
  <si>
    <t>ORD-1948</t>
  </si>
  <si>
    <t>Kwabena Danso</t>
  </si>
  <si>
    <t>ORD-2189</t>
  </si>
  <si>
    <t>ORD-2238</t>
  </si>
  <si>
    <t>ORD-1898</t>
  </si>
  <si>
    <t>ORD-1423</t>
  </si>
  <si>
    <t>Kojo Agyeman</t>
  </si>
  <si>
    <t>ORD-1540</t>
  </si>
  <si>
    <t>Kojo Danso</t>
  </si>
  <si>
    <t>ORD-2051</t>
  </si>
  <si>
    <t>Kweku Asante</t>
  </si>
  <si>
    <t>ORD-2374</t>
  </si>
  <si>
    <t>Akosua Danso</t>
  </si>
  <si>
    <t>ORD-2146</t>
  </si>
  <si>
    <t>Akosua Agyeman</t>
  </si>
  <si>
    <t>ORD-1419</t>
  </si>
  <si>
    <t>26/05/2024</t>
  </si>
  <si>
    <t>ORD-1471</t>
  </si>
  <si>
    <t>Fiifi Appiah</t>
  </si>
  <si>
    <t>ORD-1204</t>
  </si>
  <si>
    <t>ORD-1284</t>
  </si>
  <si>
    <t>ORD-1620</t>
  </si>
  <si>
    <t>ORD-1146</t>
  </si>
  <si>
    <t>ORD-1981</t>
  </si>
  <si>
    <t>18/05/2024</t>
  </si>
  <si>
    <t>Fiifi Danso</t>
  </si>
  <si>
    <t>ORD-2502</t>
  </si>
  <si>
    <t>Kweku Agyeman</t>
  </si>
  <si>
    <t>ORD-1870</t>
  </si>
  <si>
    <t>Adjoa Owusu</t>
  </si>
  <si>
    <t>ORD-1372</t>
  </si>
  <si>
    <t>Abena Asante</t>
  </si>
  <si>
    <t>ORD-2116</t>
  </si>
  <si>
    <t>Kwesi Asante</t>
  </si>
  <si>
    <t>ORD-2592</t>
  </si>
  <si>
    <t>ORD-1517</t>
  </si>
  <si>
    <t>Kofi Owusu</t>
  </si>
  <si>
    <t>ORD-1200</t>
  </si>
  <si>
    <t>ORD-1313</t>
  </si>
  <si>
    <t>ORD-2662</t>
  </si>
  <si>
    <t>Afia Adjei</t>
  </si>
  <si>
    <t>ORD-2479</t>
  </si>
  <si>
    <t>ORD-2748</t>
  </si>
  <si>
    <t>Kojo Osei</t>
  </si>
  <si>
    <t>ORD-1370</t>
  </si>
  <si>
    <t>Esi Appiah</t>
  </si>
  <si>
    <t>ORD-1111</t>
  </si>
  <si>
    <t>ORD-1945</t>
  </si>
  <si>
    <t>Kwabena Owusu</t>
  </si>
  <si>
    <t>ORD-1341</t>
  </si>
  <si>
    <t>22/10/2024</t>
  </si>
  <si>
    <t>ORD-1141</t>
  </si>
  <si>
    <t>ORD-1179</t>
  </si>
  <si>
    <t>ORD-1757</t>
  </si>
  <si>
    <t>Yaw Mensah</t>
  </si>
  <si>
    <t>ORD-2117</t>
  </si>
  <si>
    <t>ORD-1537</t>
  </si>
  <si>
    <t>Kweku Appiah</t>
  </si>
  <si>
    <t>ORD-1995</t>
  </si>
  <si>
    <t>ORD-1664</t>
  </si>
  <si>
    <t>ORD-1619</t>
  </si>
  <si>
    <t>18/02/2024</t>
  </si>
  <si>
    <t>ORD-2272</t>
  </si>
  <si>
    <t>Efua Boateng</t>
  </si>
  <si>
    <t>ORD-2630</t>
  </si>
  <si>
    <t>Kwaku Boateng</t>
  </si>
  <si>
    <t>ORD-1504</t>
  </si>
  <si>
    <t>Kofi Appiah</t>
  </si>
  <si>
    <t>ORD-2696</t>
  </si>
  <si>
    <t>ORD-2556</t>
  </si>
  <si>
    <t>ORD-2405</t>
  </si>
  <si>
    <t>ORD-1357</t>
  </si>
  <si>
    <t>26/12/2024</t>
  </si>
  <si>
    <t>ORD-1789</t>
  </si>
  <si>
    <t>19/07/2024</t>
  </si>
  <si>
    <t>ORD-2667</t>
  </si>
  <si>
    <t>Kwesi Appiah</t>
  </si>
  <si>
    <t>ORD-2425</t>
  </si>
  <si>
    <t>Abena Darko</t>
  </si>
  <si>
    <t>ORD-2399</t>
  </si>
  <si>
    <t>ORD-2799</t>
  </si>
  <si>
    <t>30/04/2024</t>
  </si>
  <si>
    <t>Ama Appiah</t>
  </si>
  <si>
    <t>ORD-1047</t>
  </si>
  <si>
    <t>ORD-2669</t>
  </si>
  <si>
    <t>Kojo Boateng</t>
  </si>
  <si>
    <t>ORD-2041</t>
  </si>
  <si>
    <t>Ama Mensah</t>
  </si>
  <si>
    <t>ORD-1095</t>
  </si>
  <si>
    <t>Kwesi Agyeman</t>
  </si>
  <si>
    <t>ORD-2584</t>
  </si>
  <si>
    <t>Afia Agyeman</t>
  </si>
  <si>
    <t>ORD-2527</t>
  </si>
  <si>
    <t>ORD-1367</t>
  </si>
  <si>
    <t>ORD-2137</t>
  </si>
  <si>
    <t>ORD-1206</t>
  </si>
  <si>
    <t>14/03/2024</t>
  </si>
  <si>
    <t>Fiifi Asante</t>
  </si>
  <si>
    <t>ORD-1007</t>
  </si>
  <si>
    <t>ORD-1101</t>
  </si>
  <si>
    <t>ORD-1671</t>
  </si>
  <si>
    <t>Esi Asante</t>
  </si>
  <si>
    <t>ORD-1718</t>
  </si>
  <si>
    <t>ORD-2689</t>
  </si>
  <si>
    <t>Nana Asante</t>
  </si>
  <si>
    <t>ORD-2488</t>
  </si>
  <si>
    <t>ORD-1674</t>
  </si>
  <si>
    <t>ORD-1754</t>
  </si>
  <si>
    <t>ORD-1715</t>
  </si>
  <si>
    <t>Kwame Adjei</t>
  </si>
  <si>
    <t>ORD-1108</t>
  </si>
  <si>
    <t>ORD-1263</t>
  </si>
  <si>
    <t>Esi Boateng</t>
  </si>
  <si>
    <t>ORD-1426</t>
  </si>
  <si>
    <t>ORD-1299</t>
  </si>
  <si>
    <t>Ama Osei</t>
  </si>
  <si>
    <t>ORD-2049</t>
  </si>
  <si>
    <t>Kofi Danso</t>
  </si>
  <si>
    <t>ORD-2743</t>
  </si>
  <si>
    <t>ORD-2635</t>
  </si>
  <si>
    <t>30/05/2024</t>
  </si>
  <si>
    <t>ORD-1657</t>
  </si>
  <si>
    <t>ORD-1060</t>
  </si>
  <si>
    <t>Yaa Mensah</t>
  </si>
  <si>
    <t>ORD-2047</t>
  </si>
  <si>
    <t>ORD-2495</t>
  </si>
  <si>
    <t>Kwabena Darko</t>
  </si>
  <si>
    <t>ORD-2215</t>
  </si>
  <si>
    <t>Nana Osei</t>
  </si>
  <si>
    <t>ORD-1510</t>
  </si>
  <si>
    <t>Abena Appiah</t>
  </si>
  <si>
    <t>ORD-1869</t>
  </si>
  <si>
    <t>ORD-1194</t>
  </si>
  <si>
    <t>ORD-2670</t>
  </si>
  <si>
    <t>Kweku Darko</t>
  </si>
  <si>
    <t>ORD-1663</t>
  </si>
  <si>
    <t>Kwabena Boateng</t>
  </si>
  <si>
    <t>ORD-1858</t>
  </si>
  <si>
    <t>ORD-1933</t>
  </si>
  <si>
    <t>31/05/2024</t>
  </si>
  <si>
    <t>ORD-2303</t>
  </si>
  <si>
    <t>ORD-2457</t>
  </si>
  <si>
    <t>Abena Agyeman</t>
  </si>
  <si>
    <t>ORD-1572</t>
  </si>
  <si>
    <t>ORD-2682</t>
  </si>
  <si>
    <t>Akosua Darko</t>
  </si>
  <si>
    <t>ORD-1631</t>
  </si>
  <si>
    <t>ORD-2132</t>
  </si>
  <si>
    <t>ORD-1707</t>
  </si>
  <si>
    <t>14/10/2024</t>
  </si>
  <si>
    <t>ORD-2249</t>
  </si>
  <si>
    <t>Akua Darko</t>
  </si>
  <si>
    <t>ORD-1353</t>
  </si>
  <si>
    <t>ORD-2386</t>
  </si>
  <si>
    <t>Kwesi Mensah</t>
  </si>
  <si>
    <t>ORD-2524</t>
  </si>
  <si>
    <t>ORD-2323</t>
  </si>
  <si>
    <t>Kweku Mensah</t>
  </si>
  <si>
    <t>ORD-1454</t>
  </si>
  <si>
    <t>Adwoa Boateng</t>
  </si>
  <si>
    <t>ORD-2145</t>
  </si>
  <si>
    <t>ORD-2549</t>
  </si>
  <si>
    <t>ORD-1028</t>
  </si>
  <si>
    <t>ORD-1328</t>
  </si>
  <si>
    <t>ORD-1237</t>
  </si>
  <si>
    <t>Kwaku Agyeman</t>
  </si>
  <si>
    <t>ORD-2400</t>
  </si>
  <si>
    <t>Kwesi Danso</t>
  </si>
  <si>
    <t>ORD-2578</t>
  </si>
  <si>
    <t>Kweku Osei</t>
  </si>
  <si>
    <t>ORD-1501</t>
  </si>
  <si>
    <t>Nana Mensah</t>
  </si>
  <si>
    <t>ORD-2093</t>
  </si>
  <si>
    <t>ORD-1224</t>
  </si>
  <si>
    <t>Kofi Agyeman</t>
  </si>
  <si>
    <t>ORD-2050</t>
  </si>
  <si>
    <t>ORD-1051</t>
  </si>
  <si>
    <t>Akua Mensah</t>
  </si>
  <si>
    <t>ORD-1768</t>
  </si>
  <si>
    <t>ORD-2634</t>
  </si>
  <si>
    <t>16/08/2024</t>
  </si>
  <si>
    <t>Esi Danso</t>
  </si>
  <si>
    <t>ORD-2563</t>
  </si>
  <si>
    <t>ORD-1635</t>
  </si>
  <si>
    <t>ORD-1020</t>
  </si>
  <si>
    <t>ORD-1350</t>
  </si>
  <si>
    <t>Ama Agyeman</t>
  </si>
  <si>
    <t>ORD-2352</t>
  </si>
  <si>
    <t>ORD-1358</t>
  </si>
  <si>
    <t>Adwoa Appiah</t>
  </si>
  <si>
    <t>ORD-2194</t>
  </si>
  <si>
    <t>26/11/2024</t>
  </si>
  <si>
    <t>ORD-1470</t>
  </si>
  <si>
    <t>ORD-2267</t>
  </si>
  <si>
    <t>ORD-2784</t>
  </si>
  <si>
    <t>ORD-1716</t>
  </si>
  <si>
    <t>ORD-1921</t>
  </si>
  <si>
    <t>ORD-1415</t>
  </si>
  <si>
    <t>ORD-1098</t>
  </si>
  <si>
    <t>ORD-1363</t>
  </si>
  <si>
    <t>Esi Owusu</t>
  </si>
  <si>
    <t>ORD-2327</t>
  </si>
  <si>
    <t>ORD-2351</t>
  </si>
  <si>
    <t>Kwesi Darko</t>
  </si>
  <si>
    <t>ORD-1012</t>
  </si>
  <si>
    <t>Adwoa Mensah</t>
  </si>
  <si>
    <t>ORD-2062</t>
  </si>
  <si>
    <t>Adjoa Danso</t>
  </si>
  <si>
    <t>ORD-2279</t>
  </si>
  <si>
    <t>ORD-1167</t>
  </si>
  <si>
    <t>ORD-2697</t>
  </si>
  <si>
    <t>ORD-1970</t>
  </si>
  <si>
    <t>ORD-1188</t>
  </si>
  <si>
    <t>ORD-2358</t>
  </si>
  <si>
    <t>Abena Mensah</t>
  </si>
  <si>
    <t>ORD-1043</t>
  </si>
  <si>
    <t>ORD-1612</t>
  </si>
  <si>
    <t>ORD-1009</t>
  </si>
  <si>
    <t>Afia Owusu</t>
  </si>
  <si>
    <t>ORD-2562</t>
  </si>
  <si>
    <t>ORD-1147</t>
  </si>
  <si>
    <t>ORD-2729</t>
  </si>
  <si>
    <t>ORD-1013</t>
  </si>
  <si>
    <t>Yaa Boateng</t>
  </si>
  <si>
    <t>ORD-1795</t>
  </si>
  <si>
    <t>ORD-1359</t>
  </si>
  <si>
    <t>ORD-1802</t>
  </si>
  <si>
    <t>ORD-2128</t>
  </si>
  <si>
    <t>Yaw Agyeman</t>
  </si>
  <si>
    <t>ORD-1586</t>
  </si>
  <si>
    <t>23/05/2024</t>
  </si>
  <si>
    <t>ORD-1637</t>
  </si>
  <si>
    <t>Nana Danso</t>
  </si>
  <si>
    <t>ORD-2489</t>
  </si>
  <si>
    <t>ORD-2410</t>
  </si>
  <si>
    <t>16/04/2024</t>
  </si>
  <si>
    <t>ORD-2731</t>
  </si>
  <si>
    <t>ORD-1587</t>
  </si>
  <si>
    <t>22/11/2024</t>
  </si>
  <si>
    <t>Abena Danso</t>
  </si>
  <si>
    <t>ORD-2723</t>
  </si>
  <si>
    <t>ORD-1492</t>
  </si>
  <si>
    <t>14/07/2024</t>
  </si>
  <si>
    <t>ORD-1455</t>
  </si>
  <si>
    <t>Ama Asante</t>
  </si>
  <si>
    <t>ORD-2073</t>
  </si>
  <si>
    <t>ORD-1488</t>
  </si>
  <si>
    <t>ORD-2168</t>
  </si>
  <si>
    <t>ORD-1115</t>
  </si>
  <si>
    <t>ORD-2162</t>
  </si>
  <si>
    <t>29/06/2024</t>
  </si>
  <si>
    <t>ORD-2467</t>
  </si>
  <si>
    <t>ORD-1096</t>
  </si>
  <si>
    <t>ORD-2701</t>
  </si>
  <si>
    <t>28/01/2024</t>
  </si>
  <si>
    <t>ORD-1797</t>
  </si>
  <si>
    <t>ORD-2749</t>
  </si>
  <si>
    <t>ORD-1099</t>
  </si>
  <si>
    <t>ORD-2417</t>
  </si>
  <si>
    <t>Adjoa Mensah</t>
  </si>
  <si>
    <t>ORD-2725</t>
  </si>
  <si>
    <t>ORD-2767</t>
  </si>
  <si>
    <t>ORD-1449</t>
  </si>
  <si>
    <t>ORD-2481</t>
  </si>
  <si>
    <t>Kwabena Agyeman</t>
  </si>
  <si>
    <t>ORD-1643</t>
  </si>
  <si>
    <t>ORD-1677</t>
  </si>
  <si>
    <t>ORD-1270</t>
  </si>
  <si>
    <t>ORD-2752</t>
  </si>
  <si>
    <t>ORD-1117</t>
  </si>
  <si>
    <t>ORD-2208</t>
  </si>
  <si>
    <t>ORD-2261</t>
  </si>
  <si>
    <t>ORD-1553</t>
  </si>
  <si>
    <t>13/02/2024</t>
  </si>
  <si>
    <t>ORD-1463</t>
  </si>
  <si>
    <t>ORD-2361</t>
  </si>
  <si>
    <t>ORD-2223</t>
  </si>
  <si>
    <t>ORD-1397</t>
  </si>
  <si>
    <t>28/05/2024</t>
  </si>
  <si>
    <t>ORD-1113</t>
  </si>
  <si>
    <t>ORD-1063</t>
  </si>
  <si>
    <t>ORD-1324</t>
  </si>
  <si>
    <t>ORD-1824</t>
  </si>
  <si>
    <t>Akosua Adjei</t>
  </si>
  <si>
    <t>ORD-1186</t>
  </si>
  <si>
    <t>ORD-1558</t>
  </si>
  <si>
    <t>ORD-1651</t>
  </si>
  <si>
    <t>Kwesi Boateng</t>
  </si>
  <si>
    <t>ORD-1294</t>
  </si>
  <si>
    <t>ORD-2357</t>
  </si>
  <si>
    <t>20/04/2024</t>
  </si>
  <si>
    <t>ORD-1286</t>
  </si>
  <si>
    <t>Kojo Mensah</t>
  </si>
  <si>
    <t>ORD-1300</t>
  </si>
  <si>
    <t>30/06/2024</t>
  </si>
  <si>
    <t>ORD-2118</t>
  </si>
  <si>
    <t>ORD-1315</t>
  </si>
  <si>
    <t>ORD-1731</t>
  </si>
  <si>
    <t>18/10/2024</t>
  </si>
  <si>
    <t>ORD-1556</t>
  </si>
  <si>
    <t>ORD-1130</t>
  </si>
  <si>
    <t>ORD-1669</t>
  </si>
  <si>
    <t>24/08/2024</t>
  </si>
  <si>
    <t>ORD-1189</t>
  </si>
  <si>
    <t>ORD-1027</t>
  </si>
  <si>
    <t>Akua Osei</t>
  </si>
  <si>
    <t>ORD-2085</t>
  </si>
  <si>
    <t>ORD-1447</t>
  </si>
  <si>
    <t>ORD-1862</t>
  </si>
  <si>
    <t>20/11/2024</t>
  </si>
  <si>
    <t>ORD-1602</t>
  </si>
  <si>
    <t>25/01/2024</t>
  </si>
  <si>
    <t>ORD-2125</t>
  </si>
  <si>
    <t>ORD-2383</t>
  </si>
  <si>
    <t>24/07/2024</t>
  </si>
  <si>
    <t>ORD-1835</t>
  </si>
  <si>
    <t>ORD-1610</t>
  </si>
  <si>
    <t>Yaw Darko</t>
  </si>
  <si>
    <t>ORD-1700</t>
  </si>
  <si>
    <t>ORD-1983</t>
  </si>
  <si>
    <t>ORD-1596</t>
  </si>
  <si>
    <t>ORD-2205</t>
  </si>
  <si>
    <t>ORD-2296</t>
  </si>
  <si>
    <t>ORD-1769</t>
  </si>
  <si>
    <t>ORD-1977</t>
  </si>
  <si>
    <t>ORD-1479</t>
  </si>
  <si>
    <t>ORD-1474</t>
  </si>
  <si>
    <t>ORD-1325</t>
  </si>
  <si>
    <t>ORD-2037</t>
  </si>
  <si>
    <t>ORD-1762</t>
  </si>
  <si>
    <t>ORD-2150</t>
  </si>
  <si>
    <t>ORD-2371</t>
  </si>
  <si>
    <t>ORD-1885</t>
  </si>
  <si>
    <t>ORD-1017</t>
  </si>
  <si>
    <t>27/07/2024</t>
  </si>
  <si>
    <t>Adwoa Asante</t>
  </si>
  <si>
    <t>ORD-2402</t>
  </si>
  <si>
    <t>ORD-1450</t>
  </si>
  <si>
    <t>ORD-2379</t>
  </si>
  <si>
    <t>Akosua Owusu</t>
  </si>
  <si>
    <t>ORD-2601</t>
  </si>
  <si>
    <t>ORD-2544</t>
  </si>
  <si>
    <t>22/01/2024</t>
  </si>
  <si>
    <t>ORD-2123</t>
  </si>
  <si>
    <t>ORD-1118</t>
  </si>
  <si>
    <t>ORD-2548</t>
  </si>
  <si>
    <t>17/08/2024</t>
  </si>
  <si>
    <t>ORD-1054</t>
  </si>
  <si>
    <t>ORD-2518</t>
  </si>
  <si>
    <t>ORD-1692</t>
  </si>
  <si>
    <t>ORD-1360</t>
  </si>
  <si>
    <t>ORD-1180</t>
  </si>
  <si>
    <t>ORD-1259</t>
  </si>
  <si>
    <t>Yaw Appiah</t>
  </si>
  <si>
    <t>ORD-1611</t>
  </si>
  <si>
    <t>ORD-1954</t>
  </si>
  <si>
    <t>Kwesi Adjei</t>
  </si>
  <si>
    <t>ORD-1210</t>
  </si>
  <si>
    <t>ORD-1653</t>
  </si>
  <si>
    <t>ORD-2126</t>
  </si>
  <si>
    <t>Fiifi Darko</t>
  </si>
  <si>
    <t>ORD-1376</t>
  </si>
  <si>
    <t>ORD-2034</t>
  </si>
  <si>
    <t>ORD-2198</t>
  </si>
  <si>
    <t>29/08/2024</t>
  </si>
  <si>
    <t>ORD-1684</t>
  </si>
  <si>
    <t>ORD-1023</t>
  </si>
  <si>
    <t>ORD-2182</t>
  </si>
  <si>
    <t>ORD-2354</t>
  </si>
  <si>
    <t>ORD-2763</t>
  </si>
  <si>
    <t>ORD-1507</t>
  </si>
  <si>
    <t>Kwame Danso</t>
  </si>
  <si>
    <t>ORD-1346</t>
  </si>
  <si>
    <t>ORD-2018</t>
  </si>
  <si>
    <t>18/09/2024</t>
  </si>
  <si>
    <t>ORD-1883</t>
  </si>
  <si>
    <t>Afia Boateng</t>
  </si>
  <si>
    <t>ORD-1430</t>
  </si>
  <si>
    <t>ORD-2569</t>
  </si>
  <si>
    <t>ORD-2409</t>
  </si>
  <si>
    <t>Fiifi Mensah</t>
  </si>
  <si>
    <t>ORD-1142</t>
  </si>
  <si>
    <t>ORD-1228</t>
  </si>
  <si>
    <t>ORD-1213</t>
  </si>
  <si>
    <t>ORD-2449</t>
  </si>
  <si>
    <t>ORD-2594</t>
  </si>
  <si>
    <t>25/07/2024</t>
  </si>
  <si>
    <t>ORD-1465</t>
  </si>
  <si>
    <t>ORD-2416</t>
  </si>
  <si>
    <t>ORD-1755</t>
  </si>
  <si>
    <t>Kwaku Appiah</t>
  </si>
  <si>
    <t>ORD-1015</t>
  </si>
  <si>
    <t>ORD-2642</t>
  </si>
  <si>
    <t>Adwoa Adjei</t>
  </si>
  <si>
    <t>ORD-2353</t>
  </si>
  <si>
    <t>ORD-2624</t>
  </si>
  <si>
    <t>ORD-2297</t>
  </si>
  <si>
    <t>ORD-2200</t>
  </si>
  <si>
    <t>ORD-2675</t>
  </si>
  <si>
    <t>ORD-1311</t>
  </si>
  <si>
    <t>ORD-2169</t>
  </si>
  <si>
    <t>ORD-1034</t>
  </si>
  <si>
    <t>26/04/2024</t>
  </si>
  <si>
    <t>ORD-1215</t>
  </si>
  <si>
    <t>13/07/2024</t>
  </si>
  <si>
    <t>ORD-2095</t>
  </si>
  <si>
    <t>ORD-1694</t>
  </si>
  <si>
    <t>ORD-1354</t>
  </si>
  <si>
    <t>Akua Owusu</t>
  </si>
  <si>
    <t>ORD-1683</t>
  </si>
  <si>
    <t>ORD-1506</t>
  </si>
  <si>
    <t>ORD-1621</t>
  </si>
  <si>
    <t>ORD-1638</t>
  </si>
  <si>
    <t>Abena Osei</t>
  </si>
  <si>
    <t>ORD-1681</t>
  </si>
  <si>
    <t>17/02/2024</t>
  </si>
  <si>
    <t>ORD-1955</t>
  </si>
  <si>
    <t>Kwame Mensah</t>
  </si>
  <si>
    <t>ORD-1416</t>
  </si>
  <si>
    <t>21/02/2024</t>
  </si>
  <si>
    <t>ORD-2746</t>
  </si>
  <si>
    <t>15/02/2024</t>
  </si>
  <si>
    <t>ORD-2165</t>
  </si>
  <si>
    <t>ORD-2534</t>
  </si>
  <si>
    <t>ORD-1361</t>
  </si>
  <si>
    <t>ORD-2002</t>
  </si>
  <si>
    <t>ORD-2673</t>
  </si>
  <si>
    <t>ORD-1249</t>
  </si>
  <si>
    <t>Kwaku Owusu</t>
  </si>
  <si>
    <t>ORD-2011</t>
  </si>
  <si>
    <t>ORD-1024</t>
  </si>
  <si>
    <t>ORD-1110</t>
  </si>
  <si>
    <t>ORD-2421</t>
  </si>
  <si>
    <t>ORD-1895</t>
  </si>
  <si>
    <t>ORD-2367</t>
  </si>
  <si>
    <t>ORD-1348</t>
  </si>
  <si>
    <t>ORD-1603</t>
  </si>
  <si>
    <t>23/03/2024</t>
  </si>
  <si>
    <t>ORD-1403</t>
  </si>
  <si>
    <t>ORD-2309</t>
  </si>
  <si>
    <t>ORD-1362</t>
  </si>
  <si>
    <t>ORD-2273</t>
  </si>
  <si>
    <t>ORD-2170</t>
  </si>
  <si>
    <t>ORD-1701</t>
  </si>
  <si>
    <t>ORD-2653</t>
  </si>
  <si>
    <t>ORD-2616</t>
  </si>
  <si>
    <t>ORD-1177</t>
  </si>
  <si>
    <t>ORD-1441</t>
  </si>
  <si>
    <t>Kofi Osei</t>
  </si>
  <si>
    <t>ORD-2758</t>
  </si>
  <si>
    <t>ORD-1717</t>
  </si>
  <si>
    <t>ORD-1985</t>
  </si>
  <si>
    <t>ORD-2588</t>
  </si>
  <si>
    <t>ORD-1871</t>
  </si>
  <si>
    <t>ORD-2269</t>
  </si>
  <si>
    <t>16/09/2024</t>
  </si>
  <si>
    <t>ORD-2446</t>
  </si>
  <si>
    <t>ORD-2704</t>
  </si>
  <si>
    <t>ORD-1414</t>
  </si>
  <si>
    <t>ORD-1046</t>
  </si>
  <si>
    <t>ORD-2612</t>
  </si>
  <si>
    <t>ORD-2444</t>
  </si>
  <si>
    <t>ORD-1193</t>
  </si>
  <si>
    <t>ORD-1392</t>
  </si>
  <si>
    <t>ORD-2363</t>
  </si>
  <si>
    <t>ORD-2321</t>
  </si>
  <si>
    <t>Afia Darko</t>
  </si>
  <si>
    <t>ORD-2631</t>
  </si>
  <si>
    <t>Kwabena Mensah</t>
  </si>
  <si>
    <t>ORD-1445</t>
  </si>
  <si>
    <t>23/12/2024</t>
  </si>
  <si>
    <t>ORD-1026</t>
  </si>
  <si>
    <t>ORD-1867</t>
  </si>
  <si>
    <t>17/12/2024</t>
  </si>
  <si>
    <t>ORD-2246</t>
  </si>
  <si>
    <t>ORD-1451</t>
  </si>
  <si>
    <t>ORD-2212</t>
  </si>
  <si>
    <t>24/03/2024</t>
  </si>
  <si>
    <t>ORD-1464</t>
  </si>
  <si>
    <t>ORD-2494</t>
  </si>
  <si>
    <t>ORD-2769</t>
  </si>
  <si>
    <t>22/04/2024</t>
  </si>
  <si>
    <t>ORD-2522</t>
  </si>
  <si>
    <t>ORD-1458</t>
  </si>
  <si>
    <t>ORD-2260</t>
  </si>
  <si>
    <t>ORD-2326</t>
  </si>
  <si>
    <t>ORD-2441</t>
  </si>
  <si>
    <t>ORD-2652</t>
  </si>
  <si>
    <t>ORD-1369</t>
  </si>
  <si>
    <t>ORD-2492</t>
  </si>
  <si>
    <t>ORD-2225</t>
  </si>
  <si>
    <t>ORD-1307</t>
  </si>
  <si>
    <t>ORD-1285</t>
  </si>
  <si>
    <t>ORD-2098</t>
  </si>
  <si>
    <t>ORD-1330</t>
  </si>
  <si>
    <t>ORD-2319</t>
  </si>
  <si>
    <t>ORD-1571</t>
  </si>
  <si>
    <t>ORD-2067</t>
  </si>
  <si>
    <t>ORD-1790</t>
  </si>
  <si>
    <t>ORD-1565</t>
  </si>
  <si>
    <t>ORD-1997</t>
  </si>
  <si>
    <t>25/09/2024</t>
  </si>
  <si>
    <t>ORD-1252</t>
  </si>
  <si>
    <t>ORD-2106</t>
  </si>
  <si>
    <t>ORD-2149</t>
  </si>
  <si>
    <t>ORD-1109</t>
  </si>
  <si>
    <t>ORD-2702</t>
  </si>
  <si>
    <t>Efua Danso</t>
  </si>
  <si>
    <t>ORD-1514</t>
  </si>
  <si>
    <t>ORD-2027</t>
  </si>
  <si>
    <t>ORD-1164</t>
  </si>
  <si>
    <t>ORD-1544</t>
  </si>
  <si>
    <t>ORD-1779</t>
  </si>
  <si>
    <t>ORD-1207</t>
  </si>
  <si>
    <t>ORD-1151</t>
  </si>
  <si>
    <t>ORD-1262</t>
  </si>
  <si>
    <t>ORD-2192</t>
  </si>
  <si>
    <t>ORD-2786</t>
  </si>
  <si>
    <t>ORD-1658</t>
  </si>
  <si>
    <t>ORD-1525</t>
  </si>
  <si>
    <t>ORD-1097</t>
  </si>
  <si>
    <t>ORD-1975</t>
  </si>
  <si>
    <t>Esi Osei</t>
  </si>
  <si>
    <t>ORD-1649</t>
  </si>
  <si>
    <t>ORD-1139</t>
  </si>
  <si>
    <t>ORD-1648</t>
  </si>
  <si>
    <t>ORD-2551</t>
  </si>
  <si>
    <t>ORD-2611</t>
  </si>
  <si>
    <t>ORD-2343</t>
  </si>
  <si>
    <t>ORD-1623</t>
  </si>
  <si>
    <t>Fiifi Boateng</t>
  </si>
  <si>
    <t>ORD-1128</t>
  </si>
  <si>
    <t>Efua Adjei</t>
  </si>
  <si>
    <t>ORD-2159</t>
  </si>
  <si>
    <t>ORD-2482</t>
  </si>
  <si>
    <t>ORD-2247</t>
  </si>
  <si>
    <t>ORD-1951</t>
  </si>
  <si>
    <t>ORD-1264</t>
  </si>
  <si>
    <t>ORD-2475</t>
  </si>
  <si>
    <t>Esi Adjei</t>
  </si>
  <si>
    <t>ORD-1758</t>
  </si>
  <si>
    <t>ORD-2450</t>
  </si>
  <si>
    <t>ORD-1498</t>
  </si>
  <si>
    <t>ORD-2251</t>
  </si>
  <si>
    <t>Kojo Owusu</t>
  </si>
  <si>
    <t>ORD-2515</t>
  </si>
  <si>
    <t>ORD-1747</t>
  </si>
  <si>
    <t>ORD-1432</t>
  </si>
  <si>
    <t>ORD-2644</t>
  </si>
  <si>
    <t>ORD-2570</t>
  </si>
  <si>
    <t>ORD-1068</t>
  </si>
  <si>
    <t>ORD-1672</t>
  </si>
  <si>
    <t>ORD-2313</t>
  </si>
  <si>
    <t>ORD-1338</t>
  </si>
  <si>
    <t>ORD-2567</t>
  </si>
  <si>
    <t>Ama Boateng</t>
  </si>
  <si>
    <t>ORD-1383</t>
  </si>
  <si>
    <t>ORD-2428</t>
  </si>
  <si>
    <t>ORD-1055</t>
  </si>
  <si>
    <t>ORD-1899</t>
  </si>
  <si>
    <t>ORD-2287</t>
  </si>
  <si>
    <t>ORD-2537</t>
  </si>
  <si>
    <t>Esi Agyeman</t>
  </si>
  <si>
    <t>ORD-1170</t>
  </si>
  <si>
    <t>Adwoa Agyeman</t>
  </si>
  <si>
    <t>ORD-1840</t>
  </si>
  <si>
    <t>ORD-1817</t>
  </si>
  <si>
    <t>ORD-1326</t>
  </si>
  <si>
    <t>ORD-1503</t>
  </si>
  <si>
    <t>ORD-2714</t>
  </si>
  <si>
    <t>ORD-1409</t>
  </si>
  <si>
    <t>ORD-1297</t>
  </si>
  <si>
    <t>25/11/2024</t>
  </si>
  <si>
    <t>ORD-1721</t>
  </si>
  <si>
    <t>ORD-2350</t>
  </si>
  <si>
    <t>ORD-2533</t>
  </si>
  <si>
    <t>ORD-2397</t>
  </si>
  <si>
    <t>ORD-2059</t>
  </si>
  <si>
    <t>Kwame Appiah</t>
  </si>
  <si>
    <t>ORD-2538</t>
  </si>
  <si>
    <t>ORD-2403</t>
  </si>
  <si>
    <t>Kwame Owusu</t>
  </si>
  <si>
    <t>ORD-2789</t>
  </si>
  <si>
    <t>ORD-2478</t>
  </si>
  <si>
    <t>ORD-1531</t>
  </si>
  <si>
    <t>ORD-1407</t>
  </si>
  <si>
    <t>28/03/2024</t>
  </si>
  <si>
    <t>ORD-1199</t>
  </si>
  <si>
    <t>ORD-1473</t>
  </si>
  <si>
    <t>ORD-1838</t>
  </si>
  <si>
    <t>ORD-1216</t>
  </si>
  <si>
    <t>27/03/2024</t>
  </si>
  <si>
    <t>ORD-1253</t>
  </si>
  <si>
    <t>ORD-1152</t>
  </si>
  <si>
    <t>ORD-1756</t>
  </si>
  <si>
    <t>ORD-2761</t>
  </si>
  <si>
    <t>ORD-2151</t>
  </si>
  <si>
    <t>ORD-2755</t>
  </si>
  <si>
    <t>ORD-2591</t>
  </si>
  <si>
    <t>Kofi Adjei</t>
  </si>
  <si>
    <t>ORD-2742</t>
  </si>
  <si>
    <t>ORD-1530</t>
  </si>
  <si>
    <t>ORD-2042</t>
  </si>
  <si>
    <t>ORD-2453</t>
  </si>
  <si>
    <t>ORD-1240</t>
  </si>
  <si>
    <t>ORD-1829</t>
  </si>
  <si>
    <t>16/01/2024</t>
  </si>
  <si>
    <t>ORD-1816</t>
  </si>
  <si>
    <t>ORD-1187</t>
  </si>
  <si>
    <t>ORD-1246</t>
  </si>
  <si>
    <t>ORD-2276</t>
  </si>
  <si>
    <t>ORD-1876</t>
  </si>
  <si>
    <t>ORD-1737</t>
  </si>
  <si>
    <t>ORD-1302</t>
  </si>
  <si>
    <t>ORD-1283</t>
  </si>
  <si>
    <t>ORD-1734</t>
  </si>
  <si>
    <t>ORD-1505</t>
  </si>
  <si>
    <t>ORD-2753</t>
  </si>
  <si>
    <t>ORD-1893</t>
  </si>
  <si>
    <t>ORD-2798</t>
  </si>
  <si>
    <t>ORD-2156</t>
  </si>
  <si>
    <t>ORD-1691</t>
  </si>
  <si>
    <t>ORD-1875</t>
  </si>
  <si>
    <t>ORD-1122</t>
  </si>
  <si>
    <t>ORD-1666</t>
  </si>
  <si>
    <t>ORD-1280</t>
  </si>
  <si>
    <t>ORD-2447</t>
  </si>
  <si>
    <t>ORD-2271</t>
  </si>
  <si>
    <t>ORD-2075</t>
  </si>
  <si>
    <t>ORD-1860</t>
  </si>
  <si>
    <t>ORD-1518</t>
  </si>
  <si>
    <t>ORD-2713</t>
  </si>
  <si>
    <t>ORD-2376</t>
  </si>
  <si>
    <t>ORD-1067</t>
  </si>
  <si>
    <t>ORD-1925</t>
  </si>
  <si>
    <t>ORD-1568</t>
  </si>
  <si>
    <t>ORD-1704</t>
  </si>
  <si>
    <t>ORD-2097</t>
  </si>
  <si>
    <t>ORD-2621</t>
  </si>
  <si>
    <t>ORD-1857</t>
  </si>
  <si>
    <t>ORD-1472</t>
  </si>
  <si>
    <t>ORD-1971</t>
  </si>
  <si>
    <t>ORD-1511</t>
  </si>
  <si>
    <t>ORD-2172</t>
  </si>
  <si>
    <t>ORD-1740</t>
  </si>
  <si>
    <t>ORD-2283</t>
  </si>
  <si>
    <t>ORD-1318</t>
  </si>
  <si>
    <t>ORD-2565</t>
  </si>
  <si>
    <t>Kofi Mensah</t>
  </si>
  <si>
    <t>ORD-1832</t>
  </si>
  <si>
    <t>ORD-1581</t>
  </si>
  <si>
    <t>ORD-1132</t>
  </si>
  <si>
    <t>ORD-1687</t>
  </si>
  <si>
    <t>ORD-1986</t>
  </si>
  <si>
    <t>ORD-2773</t>
  </si>
  <si>
    <t>ORD-2064</t>
  </si>
  <si>
    <t>ORD-2760</t>
  </si>
  <si>
    <t>27/05/2024</t>
  </si>
  <si>
    <t>ORD-1125</t>
  </si>
  <si>
    <t>ORD-2033</t>
  </si>
  <si>
    <t>30/09/2024</t>
  </si>
  <si>
    <t>ORD-2144</t>
  </si>
  <si>
    <t>ORD-1256</t>
  </si>
  <si>
    <t>ORD-2787</t>
  </si>
  <si>
    <t>ORD-2005</t>
  </si>
  <si>
    <t>ORD-1289</t>
  </si>
  <si>
    <t>ORD-1081</t>
  </si>
  <si>
    <t>ORD-1053</t>
  </si>
  <si>
    <t>19/03/2024</t>
  </si>
  <si>
    <t>ORD-1879</t>
  </si>
  <si>
    <t>29/12/2024</t>
  </si>
  <si>
    <t>ORD-2016</t>
  </si>
  <si>
    <t>ORD-1040</t>
  </si>
  <si>
    <t>ORD-2044</t>
  </si>
  <si>
    <t>ORD-1261</t>
  </si>
  <si>
    <t>ORD-1746</t>
  </si>
  <si>
    <t>ORD-1083</t>
  </si>
  <si>
    <t>ORD-2022</t>
  </si>
  <si>
    <t>ORD-2113</t>
  </si>
  <si>
    <t>ORD-2414</t>
  </si>
  <si>
    <t>16/02/2024</t>
  </si>
  <si>
    <t>ORD-2179</t>
  </si>
  <si>
    <t>ORD-1030</t>
  </si>
  <si>
    <t>ORD-1513</t>
  </si>
  <si>
    <t>ORD-2188</t>
  </si>
  <si>
    <t>ORD-2771</t>
  </si>
  <si>
    <t>Kwame Boateng</t>
  </si>
  <si>
    <t>ORD-1841</t>
  </si>
  <si>
    <t>ORD-2120</t>
  </si>
  <si>
    <t>ORD-2195</t>
  </si>
  <si>
    <t>ORD-2499</t>
  </si>
  <si>
    <t>ORD-1777</t>
  </si>
  <si>
    <t>ORD-2089</t>
  </si>
  <si>
    <t>ORD-2668</t>
  </si>
  <si>
    <t>ORD-1048</t>
  </si>
  <si>
    <t>ORD-2090</t>
  </si>
  <si>
    <t>ORD-1467</t>
  </si>
  <si>
    <t>ORD-1153</t>
  </si>
  <si>
    <t>ORD-2705</t>
  </si>
  <si>
    <t>ORD-1394</t>
  </si>
  <si>
    <t>ORD-1123</t>
  </si>
  <si>
    <t>ORD-1355</t>
  </si>
  <si>
    <t>ORD-1134</t>
  </si>
  <si>
    <t>ORD-1268</t>
  </si>
  <si>
    <t>17/11/2024</t>
  </si>
  <si>
    <t>ORD-1385</t>
  </si>
  <si>
    <t>ORD-1609</t>
  </si>
  <si>
    <t>20/07/2024</t>
  </si>
  <si>
    <t>ORD-1220</t>
  </si>
  <si>
    <t>ORD-1041</t>
  </si>
  <si>
    <t>ORD-1219</t>
  </si>
  <si>
    <t>ORD-1597</t>
  </si>
  <si>
    <t>ORD-2153</t>
  </si>
  <si>
    <t>ORD-2370</t>
  </si>
  <si>
    <t>ORD-1680</t>
  </si>
  <si>
    <t>ORD-1953</t>
  </si>
  <si>
    <t>ORD-2732</t>
  </si>
  <si>
    <t>ORD-1698</t>
  </si>
  <si>
    <t>ORD-1541</t>
  </si>
  <si>
    <t>ORD-2431</t>
  </si>
  <si>
    <t>ORD-1905</t>
  </si>
  <si>
    <t>ORD-2020</t>
  </si>
  <si>
    <t>ORD-2711</t>
  </si>
  <si>
    <t>ORD-1946</t>
  </si>
  <si>
    <t>ORD-2083</t>
  </si>
  <si>
    <t>ORD-2433</t>
  </si>
  <si>
    <t>ORD-2227</t>
  </si>
  <si>
    <t>ORD-2438</t>
  </si>
  <si>
    <t>25/08/2024</t>
  </si>
  <si>
    <t>ORD-2306</t>
  </si>
  <si>
    <t>ORD-2628</t>
  </si>
  <si>
    <t>ORD-2127</t>
  </si>
  <si>
    <t>ORD-2658</t>
  </si>
  <si>
    <t>ORD-2072</t>
  </si>
  <si>
    <t>Akua Agyeman</t>
  </si>
  <si>
    <t>ORD-1728</t>
  </si>
  <si>
    <t>ORD-1336</t>
  </si>
  <si>
    <t>ORD-1232</t>
  </si>
  <si>
    <t>ORD-1828</t>
  </si>
  <si>
    <t>ORD-2302</t>
  </si>
  <si>
    <t>ORD-2508</t>
  </si>
  <si>
    <t>ORD-1468</t>
  </si>
  <si>
    <t>ORD-1720</t>
  </si>
  <si>
    <t>ORD-1936</t>
  </si>
  <si>
    <t>ORD-1892</t>
  </si>
  <si>
    <t>23/01/2024</t>
  </si>
  <si>
    <t>ORD-2028</t>
  </si>
  <si>
    <t>25/04/2024</t>
  </si>
  <si>
    <t>ORD-1585</t>
  </si>
  <si>
    <t>ORD-1205</t>
  </si>
  <si>
    <t>ORD-1003</t>
  </si>
  <si>
    <t>ORD-2038</t>
  </si>
  <si>
    <t>ORD-1748</t>
  </si>
  <si>
    <t>ORD-2604</t>
  </si>
  <si>
    <t>ORD-2679</t>
  </si>
  <si>
    <t>ORD-2629</t>
  </si>
  <si>
    <t>ORD-1693</t>
  </si>
  <si>
    <t>ORD-2528</t>
  </si>
  <si>
    <t>ORD-2509</t>
  </si>
  <si>
    <t>ORD-1714</t>
  </si>
  <si>
    <t>ORD-2203</t>
  </si>
  <si>
    <t>ORD-2687</t>
  </si>
  <si>
    <t>13/12/2024</t>
  </si>
  <si>
    <t>ORD-2707</t>
  </si>
  <si>
    <t>ORD-1833</t>
  </si>
  <si>
    <t>ORD-2649</t>
  </si>
  <si>
    <t>ORD-2010</t>
  </si>
  <si>
    <t>ORD-2102</t>
  </si>
  <si>
    <t>ORD-2626</t>
  </si>
  <si>
    <t>ORD-1157</t>
  </si>
  <si>
    <t>ORD-2138</t>
  </si>
  <si>
    <t>27/12/2024</t>
  </si>
  <si>
    <t>ORD-2587</t>
  </si>
  <si>
    <t>ORD-1462</t>
  </si>
  <si>
    <t>ORD-1652</t>
  </si>
  <si>
    <t>ORD-1160</t>
  </si>
  <si>
    <t>ORD-1305</t>
  </si>
  <si>
    <t>24/04/2024</t>
  </si>
  <si>
    <t>ORD-1656</t>
  </si>
  <si>
    <t>ORD-1547</t>
  </si>
  <si>
    <t>ORD-1713</t>
  </si>
  <si>
    <t>Kwame Agyeman</t>
  </si>
  <si>
    <t>ORD-1395</t>
  </si>
  <si>
    <t>ORD-1399</t>
  </si>
  <si>
    <t>ORD-2305</t>
  </si>
  <si>
    <t>ORD-2504</t>
  </si>
  <si>
    <t>ORD-2470</t>
  </si>
  <si>
    <t>ORD-2259</t>
  </si>
  <si>
    <t>ORD-1736</t>
  </si>
  <si>
    <t>13/04/2024</t>
  </si>
  <si>
    <t>ORD-2531</t>
  </si>
  <si>
    <t>ORD-1863</t>
  </si>
  <si>
    <t>14/01/2024</t>
  </si>
  <si>
    <t>ORD-1459</t>
  </si>
  <si>
    <t>24/02/2024</t>
  </si>
  <si>
    <t>ORD-1062</t>
  </si>
  <si>
    <t>ORD-1935</t>
  </si>
  <si>
    <t>13/11/2024</t>
  </si>
  <si>
    <t>ORD-1798</t>
  </si>
  <si>
    <t>ORD-1457</t>
  </si>
  <si>
    <t>ORD-2418</t>
  </si>
  <si>
    <t>ORD-1478</t>
  </si>
  <si>
    <t>ORD-1912</t>
  </si>
  <si>
    <t>17/03/2024</t>
  </si>
  <si>
    <t>ORD-2706</t>
  </si>
  <si>
    <t>15/04/2024</t>
  </si>
  <si>
    <t>ORD-1617</t>
  </si>
  <si>
    <t>ORD-2690</t>
  </si>
  <si>
    <t>ORD-1903</t>
  </si>
  <si>
    <t>ORD-2301</t>
  </si>
  <si>
    <t>ORD-2048</t>
  </si>
  <si>
    <t>ORD-2483</t>
  </si>
  <si>
    <t>ORD-1347</t>
  </si>
  <si>
    <t>ORD-1837</t>
  </si>
  <si>
    <t>ORD-1190</t>
  </si>
  <si>
    <t>ORD-2104</t>
  </si>
  <si>
    <t>ORD-1760</t>
  </si>
  <si>
    <t>ORD-1446</t>
  </si>
  <si>
    <t>ORD-1650</t>
  </si>
  <si>
    <t>ORD-2134</t>
  </si>
  <si>
    <t>ORD-2638</t>
  </si>
  <si>
    <t>ORD-1379</t>
  </si>
  <si>
    <t>ORD-1564</t>
  </si>
  <si>
    <t>ORD-2586</t>
  </si>
  <si>
    <t>ORD-2074</t>
  </si>
  <si>
    <t>ORD-2744</t>
  </si>
  <si>
    <t>ORD-2186</t>
  </si>
  <si>
    <t>ORD-1231</t>
  </si>
  <si>
    <t>ORD-2510</t>
  </si>
  <si>
    <t>ORD-1382</t>
  </si>
  <si>
    <t>19/02/2024</t>
  </si>
  <si>
    <t>ORD-2078</t>
  </si>
  <si>
    <t>ORD-2623</t>
  </si>
  <si>
    <t>ORD-1072</t>
  </si>
  <si>
    <t>ORD-1070</t>
  </si>
  <si>
    <t>ORD-2693</t>
  </si>
  <si>
    <t>ORD-2366</t>
  </si>
  <si>
    <t>16/11/2024</t>
  </si>
  <si>
    <t>ORD-1171</t>
  </si>
  <si>
    <t>ORD-1872</t>
  </si>
  <si>
    <t>ORD-1168</t>
  </si>
  <si>
    <t>ORD-1493</t>
  </si>
  <si>
    <t>ORD-2747</t>
  </si>
  <si>
    <t>24/01/2024</t>
  </si>
  <si>
    <t>ORD-1964</t>
  </si>
  <si>
    <t>ORD-2298</t>
  </si>
  <si>
    <t>ORD-1272</t>
  </si>
  <si>
    <t>ORD-2187</t>
  </si>
  <si>
    <t>ORD-1420</t>
  </si>
  <si>
    <t>ORD-1094</t>
  </si>
  <si>
    <t>ORD-2253</t>
  </si>
  <si>
    <t>ORD-2443</t>
  </si>
  <si>
    <t>Akosua Osei</t>
  </si>
  <si>
    <t>ORD-2454</t>
  </si>
  <si>
    <t>ORD-1042</t>
  </si>
  <si>
    <t>ORD-1056</t>
  </si>
  <si>
    <t>Efua Agyeman</t>
  </si>
  <si>
    <t>ORD-2627</t>
  </si>
  <si>
    <t>16/12/2024</t>
  </si>
  <si>
    <t>ORD-2008</t>
  </si>
  <si>
    <t>ORD-2617</t>
  </si>
  <si>
    <t>ORD-2757</t>
  </si>
  <si>
    <t>ORD-1038</t>
  </si>
  <si>
    <t>ORD-1306</t>
  </si>
  <si>
    <t>17/01/2024</t>
  </si>
  <si>
    <t>ORD-2166</t>
  </si>
  <si>
    <t>ORD-1978</t>
  </si>
  <si>
    <t>ORD-1915</t>
  </si>
  <si>
    <t>29/09/2024</t>
  </si>
  <si>
    <t>ORD-1782</t>
  </si>
  <si>
    <t>ORD-1408</t>
  </si>
  <si>
    <t>ORD-1820</t>
  </si>
  <si>
    <t>ORD-1781</t>
  </si>
  <si>
    <t>ORD-1166</t>
  </si>
  <si>
    <t>ORD-1534</t>
  </si>
  <si>
    <t>ORD-1583</t>
  </si>
  <si>
    <t>ORD-2741</t>
  </si>
  <si>
    <t>ORD-2734</t>
  </si>
  <si>
    <t>ORD-2307</t>
  </si>
  <si>
    <t>ORD-2158</t>
  </si>
  <si>
    <t>ORD-2724</t>
  </si>
  <si>
    <t>ORD-2025</t>
  </si>
  <si>
    <t>14/06/2024</t>
  </si>
  <si>
    <t>ORD-2751</t>
  </si>
  <si>
    <t>ORD-1813</t>
  </si>
  <si>
    <t>ORD-1316</t>
  </si>
  <si>
    <t>ORD-2180</t>
  </si>
  <si>
    <t>ORD-2573</t>
  </si>
  <si>
    <t>ORD-1516</t>
  </si>
  <si>
    <t>ORD-2344</t>
  </si>
  <si>
    <t>ORD-2529</t>
  </si>
  <si>
    <t>ORD-2516</t>
  </si>
  <si>
    <t>ORD-1533</t>
  </si>
  <si>
    <t>ORD-2525</t>
  </si>
  <si>
    <t>ORD-1887</t>
  </si>
  <si>
    <t>ORD-1271</t>
  </si>
  <si>
    <t>ORD-1548</t>
  </si>
  <si>
    <t>ORD-1668</t>
  </si>
  <si>
    <t>ORD-2718</t>
  </si>
  <si>
    <t>18/04/2024</t>
  </si>
  <si>
    <t>ORD-1453</t>
  </si>
  <si>
    <t>ORD-1606</t>
  </si>
  <si>
    <t>ORD-2552</t>
  </si>
  <si>
    <t>ORD-2491</t>
  </si>
  <si>
    <t>24/11/2024</t>
  </si>
  <si>
    <t>ORD-1598</t>
  </si>
  <si>
    <t>ORD-1956</t>
  </si>
  <si>
    <t>ORD-2564</t>
  </si>
  <si>
    <t>ORD-1751</t>
  </si>
  <si>
    <t>ORD-1570</t>
  </si>
  <si>
    <t>ORD-2557</t>
  </si>
  <si>
    <t>ORD-1061</t>
  </si>
  <si>
    <t>ORD-2266</t>
  </si>
  <si>
    <t>ORD-1536</t>
  </si>
  <si>
    <t>ORD-2407</t>
  </si>
  <si>
    <t>ORD-2252</t>
  </si>
  <si>
    <t>ORD-2122</t>
  </si>
  <si>
    <t>ORD-1957</t>
  </si>
  <si>
    <t>20/02/2024</t>
  </si>
  <si>
    <t>ORD-1244</t>
  </si>
  <si>
    <t>ORD-1025</t>
  </si>
  <si>
    <t>21/07/2024</t>
  </si>
  <si>
    <t>ORD-2295</t>
  </si>
  <si>
    <t>ORD-1882</t>
  </si>
  <si>
    <t>ORD-1222</t>
  </si>
  <si>
    <t>ORD-2599</t>
  </si>
  <si>
    <t>ORD-1105</t>
  </si>
  <si>
    <t>ORD-1673</t>
  </si>
  <si>
    <t>ORD-1642</t>
  </si>
  <si>
    <t>ORD-2164</t>
  </si>
  <si>
    <t>ORD-1665</t>
  </si>
  <si>
    <t>ORD-1509</t>
  </si>
  <si>
    <t>ORD-1131</t>
  </si>
  <si>
    <t>ORD-2242</t>
  </si>
  <si>
    <t>ORD-1444</t>
  </si>
  <si>
    <t>ORD-1961</t>
  </si>
  <si>
    <t>ORD-1508</t>
  </si>
  <si>
    <t>ORD-1866</t>
  </si>
  <si>
    <t>ORD-1992</t>
  </si>
  <si>
    <t>ORD-2543</t>
  </si>
  <si>
    <t>ORD-1075</t>
  </si>
  <si>
    <t>ORD-1036</t>
  </si>
  <si>
    <t>ORD-2619</t>
  </si>
  <si>
    <t>29/07/2024</t>
  </si>
  <si>
    <t>ORD-1057</t>
  </si>
  <si>
    <t>28/12/2024</t>
  </si>
  <si>
    <t>ORD-1196</t>
  </si>
  <si>
    <t>ORD-2558</t>
  </si>
  <si>
    <t>ORD-1967</t>
  </si>
  <si>
    <t>ORD-2360</t>
  </si>
  <si>
    <t>ORD-1321</t>
  </si>
  <si>
    <t>ORD-2476</t>
  </si>
  <si>
    <t>ORD-1984</t>
  </si>
  <si>
    <t>ORD-1477</t>
  </si>
  <si>
    <t>ORD-1086</t>
  </si>
  <si>
    <t>ORD-2686</t>
  </si>
  <si>
    <t>ORD-1561</t>
  </si>
  <si>
    <t>ORD-1771</t>
  </si>
  <si>
    <t>ORD-1334</t>
  </si>
  <si>
    <t>ORD-2561</t>
  </si>
  <si>
    <t>ORD-2490</t>
  </si>
  <si>
    <t>ORD-2659</t>
  </si>
  <si>
    <t>ORD-2109</t>
  </si>
  <si>
    <t>ORD-1708</t>
  </si>
  <si>
    <t>ORD-2177</t>
  </si>
  <si>
    <t>ORD-2419</t>
  </si>
  <si>
    <t>ORD-2221</t>
  </si>
  <si>
    <t>ORD-2228</t>
  </si>
  <si>
    <t>ORD-2520</t>
  </si>
  <si>
    <t>ORD-1538</t>
  </si>
  <si>
    <t>ORD-2082</t>
  </si>
  <si>
    <t>21/09/2024</t>
  </si>
  <si>
    <t>ORD-2776</t>
  </si>
  <si>
    <t>ORD-2240</t>
  </si>
  <si>
    <t>ORD-2764</t>
  </si>
  <si>
    <t>ORD-2568</t>
  </si>
  <si>
    <t>ORD-1418</t>
  </si>
  <si>
    <t>ORD-2206</t>
  </si>
  <si>
    <t>ORD-2708</t>
  </si>
  <si>
    <t>ORD-2681</t>
  </si>
  <si>
    <t>ORD-1573</t>
  </si>
  <si>
    <t>ORD-1943</t>
  </si>
  <si>
    <t>ORD-2553</t>
  </si>
  <si>
    <t>ORD-1332</t>
  </si>
  <si>
    <t>ORD-1851</t>
  </si>
  <si>
    <t>ORD-1810</t>
  </si>
  <si>
    <t>ORD-1735</t>
  </si>
  <si>
    <t>ORD-1901</t>
  </si>
  <si>
    <t>ORD-2645</t>
  </si>
  <si>
    <t>ORD-1574</t>
  </si>
  <si>
    <t>ORD-2571</t>
  </si>
  <si>
    <t>ORD-2342</t>
  </si>
  <si>
    <t>ORD-2535</t>
  </si>
  <si>
    <t>ORD-2666</t>
  </si>
  <si>
    <t>ORD-2477</t>
  </si>
  <si>
    <t>ORD-2056</t>
  </si>
  <si>
    <t>ORD-2364</t>
  </si>
  <si>
    <t>ORD-2432</t>
  </si>
  <si>
    <t>ORD-1008</t>
  </si>
  <si>
    <t>ORD-2046</t>
  </si>
  <si>
    <t>ORD-2691</t>
  </si>
  <si>
    <t>ORD-2574</t>
  </si>
  <si>
    <t>ORD-2233</t>
  </si>
  <si>
    <t>ORD-2636</t>
  </si>
  <si>
    <t>ORD-1304</t>
  </si>
  <si>
    <t>ORD-2381</t>
  </si>
  <si>
    <t>ORD-2585</t>
  </si>
  <si>
    <t>ORD-1074</t>
  </si>
  <si>
    <t>ORD-2285</t>
  </si>
  <si>
    <t>ORD-1522</t>
  </si>
  <si>
    <t>ORD-1335</t>
  </si>
  <si>
    <t>ORD-1569</t>
  </si>
  <si>
    <t>ORD-1590</t>
  </si>
  <si>
    <t>ORD-1088</t>
  </si>
  <si>
    <t>ORD-1874</t>
  </si>
  <si>
    <t>ORD-1809</t>
  </si>
  <si>
    <t>ORD-2333</t>
  </si>
  <si>
    <t>ORD-1217</t>
  </si>
  <si>
    <t>30/07/2024</t>
  </si>
  <si>
    <t>ORD-1888</t>
  </si>
  <si>
    <t>ORD-2015</t>
  </si>
  <si>
    <t>ORD-1712</t>
  </si>
  <si>
    <t>ORD-2257</t>
  </si>
  <si>
    <t>23/02/2024</t>
  </si>
  <si>
    <t>ORD-1856</t>
  </si>
  <si>
    <t>ORD-1173</t>
  </si>
  <si>
    <t>ORD-2683</t>
  </si>
  <si>
    <t>ORD-2345</t>
  </si>
  <si>
    <t>ORD-1221</t>
  </si>
  <si>
    <t>ORD-1319</t>
  </si>
  <si>
    <t>ORD-2597</t>
  </si>
  <si>
    <t>ORD-2620</t>
  </si>
  <si>
    <t>ORD-1878</t>
  </si>
  <si>
    <t>ORD-2671</t>
  </si>
  <si>
    <t>ORD-2070</t>
  </si>
  <si>
    <t>ORD-1825</t>
  </si>
  <si>
    <t>ORD-2375</t>
  </si>
  <si>
    <t>ORD-1266</t>
  </si>
  <si>
    <t>ORD-1006</t>
  </si>
  <si>
    <t>ORD-2232</t>
  </si>
  <si>
    <t>ORD-2338</t>
  </si>
  <si>
    <t>ORD-1738</t>
  </si>
  <si>
    <t>ORD-1138</t>
  </si>
  <si>
    <t>ORD-1163</t>
  </si>
  <si>
    <t>ORD-2783</t>
  </si>
  <si>
    <t>22/05/2024</t>
  </si>
  <si>
    <t>ORD-1594</t>
  </si>
  <si>
    <t>ORD-2726</t>
  </si>
  <si>
    <t>ORD-2622</t>
  </si>
  <si>
    <t>ORD-2331</t>
  </si>
  <si>
    <t>ORD-2157</t>
  </si>
  <si>
    <t>ORD-2738</t>
  </si>
  <si>
    <t>ORD-1960</t>
  </si>
  <si>
    <t>ORD-2316</t>
  </si>
  <si>
    <t>ORD-2688</t>
  </si>
  <si>
    <t>ORD-1523</t>
  </si>
  <si>
    <t>ORD-2256</t>
  </si>
  <si>
    <t>ORD-1806</t>
  </si>
  <si>
    <t>ORD-1744</t>
  </si>
  <si>
    <t>ORD-2114</t>
  </si>
  <si>
    <t>ORD-1578</t>
  </si>
  <si>
    <t>ORD-1845</t>
  </si>
  <si>
    <t>ORD-2293</t>
  </si>
  <si>
    <t>ORD-1019</t>
  </si>
  <si>
    <t>ORD-2190</t>
  </si>
  <si>
    <t>ORD-2709</t>
  </si>
  <si>
    <t>ORD-1633</t>
  </si>
  <si>
    <t>ORD-2077</t>
  </si>
  <si>
    <t>ORD-1618</t>
  </si>
  <si>
    <t>ORD-2087</t>
  </si>
  <si>
    <t>ORD-1655</t>
  </si>
  <si>
    <t>19/05/2024</t>
  </si>
  <si>
    <t>ORD-1016</t>
  </si>
  <si>
    <t>ORD-2788</t>
  </si>
  <si>
    <t>ORD-2632</t>
  </si>
  <si>
    <t>ORD-1137</t>
  </si>
  <si>
    <t>ORD-2124</t>
  </si>
  <si>
    <t>ORD-2385</t>
  </si>
  <si>
    <t>ORD-1557</t>
  </si>
  <si>
    <t>ORD-1697</t>
  </si>
  <si>
    <t>28/11/2024</t>
  </si>
  <si>
    <t>ORD-2500</t>
  </si>
  <si>
    <t>ORD-1158</t>
  </si>
  <si>
    <t>ORD-1861</t>
  </si>
  <si>
    <t>ORD-2473</t>
  </si>
  <si>
    <t>ORD-1448</t>
  </si>
  <si>
    <t>ORD-1368</t>
  </si>
  <si>
    <t>ORD-2745</t>
  </si>
  <si>
    <t>30/10/2024</t>
  </si>
  <si>
    <t>ORD-1327</t>
  </si>
  <si>
    <t>ORD-1317</t>
  </si>
  <si>
    <t>ORD-2391</t>
  </si>
  <si>
    <t>ORD-1526</t>
  </si>
  <si>
    <t>ORD-1087</t>
  </si>
  <si>
    <t>ORD-2167</t>
  </si>
  <si>
    <t>ORD-1148</t>
  </si>
  <si>
    <t>ORD-2480</t>
  </si>
  <si>
    <t>ORD-2740</t>
  </si>
  <si>
    <t>ORD-1365</t>
  </si>
  <si>
    <t>ORD-1589</t>
  </si>
  <si>
    <t>ORD-2377</t>
  </si>
  <si>
    <t>ORD-1198</t>
  </si>
  <si>
    <t>ORD-2722</t>
  </si>
  <si>
    <t>ORD-1192</t>
  </si>
  <si>
    <t>ORD-1404</t>
  </si>
  <si>
    <t>ORD-2545</t>
  </si>
  <si>
    <t>16/07/2024</t>
  </si>
  <si>
    <t>ORD-2322</t>
  </si>
  <si>
    <t>ORD-1483</t>
  </si>
  <si>
    <t>ORD-2332</t>
  </si>
  <si>
    <t>ORD-1791</t>
  </si>
  <si>
    <t>ORD-1799</t>
  </si>
  <si>
    <t>ORD-1384</t>
  </si>
  <si>
    <t>ORD-1750</t>
  </si>
  <si>
    <t>ORD-1422</t>
  </si>
  <si>
    <t>ORD-1314</t>
  </si>
  <si>
    <t>ORD-2021</t>
  </si>
  <si>
    <t>ORD-1543</t>
  </si>
  <si>
    <t>ORD-1913</t>
  </si>
  <si>
    <t>ORD-1662</t>
  </si>
  <si>
    <t>ORD-1902</t>
  </si>
  <si>
    <t>23/08/2024</t>
  </si>
  <si>
    <t>ORD-2280</t>
  </si>
  <si>
    <t>ORD-1685</t>
  </si>
  <si>
    <t>ORD-2532</t>
  </si>
  <si>
    <t>ORD-1159</t>
  </si>
  <si>
    <t>ORD-1999</t>
  </si>
  <si>
    <t>ORD-2427</t>
  </si>
  <si>
    <t>ORD-2618</t>
  </si>
  <si>
    <t>21/04/2024</t>
  </si>
  <si>
    <t>ORD-1202</t>
  </si>
  <si>
    <t>ORD-2023</t>
  </si>
  <si>
    <t>ORD-2395</t>
  </si>
  <si>
    <t>ORD-2088</t>
  </si>
  <si>
    <t>ORD-1112</t>
  </si>
  <si>
    <t>ORD-2647</t>
  </si>
  <si>
    <t>ORD-1980</t>
  </si>
  <si>
    <t>ORD-1922</t>
  </si>
  <si>
    <t>ORD-2355</t>
  </si>
  <si>
    <t>ORD-2448</t>
  </si>
  <si>
    <t>ORD-2471</t>
  </si>
  <si>
    <t>29/02/2024</t>
  </si>
  <si>
    <t>ORD-2139</t>
  </si>
  <si>
    <t>ORD-1815</t>
  </si>
  <si>
    <t>Adjoa Darko</t>
  </si>
  <si>
    <t>ORD-2455</t>
  </si>
  <si>
    <t>ORD-2183</t>
  </si>
  <si>
    <t>ORD-1679</t>
  </si>
  <si>
    <t>ORD-1080</t>
  </si>
  <si>
    <t>ORD-2602</t>
  </si>
  <si>
    <t>ORD-2231</t>
  </si>
  <si>
    <t>ORD-2493</t>
  </si>
  <si>
    <t>ORD-1752</t>
  </si>
  <si>
    <t>ORD-2054</t>
  </si>
  <si>
    <t>ORD-1242</t>
  </si>
  <si>
    <t>ORD-2229</t>
  </si>
  <si>
    <t>ORD-1641</t>
  </si>
  <si>
    <t>ORD-1696</t>
  </si>
  <si>
    <t>ORD-1209</t>
  </si>
  <si>
    <t>ORD-1770</t>
  </si>
  <si>
    <t>ORD-2596</t>
  </si>
  <si>
    <t>ORD-1435</t>
  </si>
  <si>
    <t>ORD-2063</t>
  </si>
  <si>
    <t>ORD-1974</t>
  </si>
  <si>
    <t>ORD-1551</t>
  </si>
  <si>
    <t>ORD-2277</t>
  </si>
  <si>
    <t>ORD-2286</t>
  </si>
  <si>
    <t>ORD-2013</t>
  </si>
  <si>
    <t>ORD-2715</t>
  </si>
  <si>
    <t>ORD-1466</t>
  </si>
  <si>
    <t>ORD-2347</t>
  </si>
  <si>
    <t>ORD-2196</t>
  </si>
  <si>
    <t>ORD-1277</t>
  </si>
  <si>
    <t>ORD-2069</t>
  </si>
  <si>
    <t>ORD-2017</t>
  </si>
  <si>
    <t>ORD-2336</t>
  </si>
  <si>
    <t>ORD-1722</t>
  </si>
  <si>
    <t>ORD-2774</t>
  </si>
  <si>
    <t>ORD-1786</t>
  </si>
  <si>
    <t>ORD-2406</t>
  </si>
  <si>
    <t>ORD-2199</t>
  </si>
  <si>
    <t>ORD-2650</t>
  </si>
  <si>
    <t>ORD-2304</t>
  </si>
  <si>
    <t>ORD-1906</t>
  </si>
  <si>
    <t>ORD-1563</t>
  </si>
  <si>
    <t>ORD-1388</t>
  </si>
  <si>
    <t>ORD-1022</t>
  </si>
  <si>
    <t>ORD-2121</t>
  </si>
  <si>
    <t>ORD-1124</t>
  </si>
  <si>
    <t>ORD-2369</t>
  </si>
  <si>
    <t>21/12/2024</t>
  </si>
  <si>
    <t>ORD-1773</t>
  </si>
  <si>
    <t>ORD-1880</t>
  </si>
  <si>
    <t>ORD-1050</t>
  </si>
  <si>
    <t>ORD-2278</t>
  </si>
  <si>
    <t>22/08/2024</t>
  </si>
  <si>
    <t>ORD-2330</t>
  </si>
  <si>
    <t>ORD-2105</t>
  </si>
  <si>
    <t>ORD-1703</t>
  </si>
  <si>
    <t>ORD-1482</t>
  </si>
  <si>
    <t>ORD-2735</t>
  </si>
  <si>
    <t>ORD-1066</t>
  </si>
  <si>
    <t>ORD-2566</t>
  </si>
  <si>
    <t>ORD-1733</t>
  </si>
  <si>
    <t>ORD-2625</t>
  </si>
  <si>
    <t>ORD-1801</t>
  </si>
  <si>
    <t>ORD-2435</t>
  </si>
  <si>
    <t>ORD-2765</t>
  </si>
  <si>
    <t>ORD-1907</t>
  </si>
  <si>
    <t>ORD-1031</t>
  </si>
  <si>
    <t>ORD-1417</t>
  </si>
  <si>
    <t>ORD-1881</t>
  </si>
  <si>
    <t>ORD-1632</t>
  </si>
  <si>
    <t>ORD-2213</t>
  </si>
  <si>
    <t>ORD-2315</t>
  </si>
  <si>
    <t>ORD-1064</t>
  </si>
  <si>
    <t>ORD-2465</t>
  </si>
  <si>
    <t>ORD-1077</t>
  </si>
  <si>
    <t>ORD-1491</t>
  </si>
  <si>
    <t>ORD-2575</t>
  </si>
  <si>
    <t>22/02/2024</t>
  </si>
  <si>
    <t>ORD-1532</t>
  </si>
  <si>
    <t>ORD-1065</t>
  </si>
  <si>
    <t>ORD-2542</t>
  </si>
  <si>
    <t>ORD-1296</t>
  </si>
  <si>
    <t>ORD-1591</t>
  </si>
  <si>
    <t>ORD-1767</t>
  </si>
  <si>
    <t>ORD-1724</t>
  </si>
  <si>
    <t>ORD-1626</t>
  </si>
  <si>
    <t>ORD-2609</t>
  </si>
  <si>
    <t>ORD-2768</t>
  </si>
  <si>
    <t>ORD-2469</t>
  </si>
  <si>
    <t>ORD-1251</t>
  </si>
  <si>
    <t>ORD-2656</t>
  </si>
  <si>
    <t>ORD-2216</t>
  </si>
  <si>
    <t>ORD-2778</t>
  </si>
  <si>
    <t>ORD-1982</t>
  </si>
  <si>
    <t>ORD-2614</t>
  </si>
  <si>
    <t>ORD-1706</t>
  </si>
  <si>
    <t>ORD-1487</t>
  </si>
  <si>
    <t>ORD-1273</t>
  </si>
  <si>
    <t>ORD-2598</t>
  </si>
  <si>
    <t>24/10/2024</t>
  </si>
  <si>
    <t>ORD-2523</t>
  </si>
  <si>
    <t>ORD-1963</t>
  </si>
  <si>
    <t>ORD-1877</t>
  </si>
  <si>
    <t>ORD-2665</t>
  </si>
  <si>
    <t>ORD-2651</t>
  </si>
  <si>
    <t>ORD-1411</t>
  </si>
  <si>
    <t>ORD-1667</t>
  </si>
  <si>
    <t>ORD-1149</t>
  </si>
  <si>
    <t>ORD-1644</t>
  </si>
  <si>
    <t>ORD-2463</t>
  </si>
  <si>
    <t>ORD-1218</t>
  </si>
  <si>
    <t>ORD-1239</t>
  </si>
  <si>
    <t>ORD-2131</t>
  </si>
  <si>
    <t>ORD-1792</t>
  </si>
  <si>
    <t>ORD-1191</t>
  </si>
  <si>
    <t>ORD-1333</t>
  </si>
  <si>
    <t>ORD-2792</t>
  </si>
  <si>
    <t>ORD-1962</t>
  </si>
  <si>
    <t>ORD-2210</t>
  </si>
  <si>
    <t>ORD-2772</t>
  </si>
  <si>
    <t>ORD-2506</t>
  </si>
  <si>
    <t>ORD-2513</t>
  </si>
  <si>
    <t>ORD-1582</t>
  </si>
  <si>
    <t>ORD-2733</t>
  </si>
  <si>
    <t>ORD-2312</t>
  </si>
  <si>
    <t>ORD-1839</t>
  </si>
  <si>
    <t>ORD-1627</t>
  </si>
  <si>
    <t>13/09/2024</t>
  </si>
  <si>
    <t>ORD-1323</t>
  </si>
  <si>
    <t>ORD-2497</t>
  </si>
  <si>
    <t>ORD-2160</t>
  </si>
  <si>
    <t>ORD-1778</t>
  </si>
  <si>
    <t>ORD-2076</t>
  </si>
  <si>
    <t>ORD-1939</t>
  </si>
  <si>
    <t>ORD-1437</t>
  </si>
  <si>
    <t>ORD-1119</t>
  </si>
  <si>
    <t>ORD-2244</t>
  </si>
  <si>
    <t>ORD-2423</t>
  </si>
  <si>
    <t>ORD-2026</t>
  </si>
  <si>
    <t>ORD-2262</t>
  </si>
  <si>
    <t>ORD-1076</t>
  </si>
  <si>
    <t>ORD-2053</t>
  </si>
  <si>
    <t>ORD-1900</t>
  </si>
  <si>
    <t>ORD-1371</t>
  </si>
  <si>
    <t>ORD-2694</t>
  </si>
  <si>
    <t>ORD-2317</t>
  </si>
  <si>
    <t>ORD-2795</t>
  </si>
  <si>
    <t>ORD-1941</t>
  </si>
  <si>
    <t>ORD-1577</t>
  </si>
  <si>
    <t>ORD-1819</t>
  </si>
  <si>
    <t>ORD-2648</t>
  </si>
  <si>
    <t>ORD-2413</t>
  </si>
  <si>
    <t>ORD-2576</t>
  </si>
  <si>
    <t>ORD-2263</t>
  </si>
  <si>
    <t>ORD-1886</t>
  </si>
  <si>
    <t>ORD-1968</t>
  </si>
  <si>
    <t>ORD-1785</t>
  </si>
  <si>
    <t>ORD-2401</t>
  </si>
  <si>
    <t>ORD-2466</t>
  </si>
  <si>
    <t>ORD-1301</t>
  </si>
  <si>
    <t>ORD-1689</t>
  </si>
  <si>
    <t>ORD-1812</t>
  </si>
  <si>
    <t>ORD-2061</t>
  </si>
  <si>
    <t>ORD-1236</t>
  </si>
  <si>
    <t>ORD-2115</t>
  </si>
  <si>
    <t>19/04/2024</t>
  </si>
  <si>
    <t>ORD-2241</t>
  </si>
  <si>
    <t>ORD-1499</t>
  </si>
  <si>
    <t>ORD-2511</t>
  </si>
  <si>
    <t>ORD-2079</t>
  </si>
  <si>
    <t>ORD-1794</t>
  </si>
  <si>
    <t>ORD-2392</t>
  </si>
  <si>
    <t>ORD-2754</t>
  </si>
  <si>
    <t>ORD-1990</t>
  </si>
  <si>
    <t>ORD-2593</t>
  </si>
  <si>
    <t>ORD-1934</t>
  </si>
  <si>
    <t>ORD-1387</t>
  </si>
  <si>
    <t>30/08/2024</t>
  </si>
  <si>
    <t>ORD-1390</t>
  </si>
  <si>
    <t>28/02/2024</t>
  </si>
  <si>
    <t>ORD-1743</t>
  </si>
  <si>
    <t>ORD-1352</t>
  </si>
  <si>
    <t>ORD-2217</t>
  </si>
  <si>
    <t>30/03/2024</t>
  </si>
  <si>
    <t>ORD-1235</t>
  </si>
  <si>
    <t>ORD-2555</t>
  </si>
  <si>
    <t>ORD-1480</t>
  </si>
  <si>
    <t>ORD-1567</t>
  </si>
  <si>
    <t>ORD-2140</t>
  </si>
  <si>
    <t>ORD-2716</t>
  </si>
  <si>
    <t>ORD-2695</t>
  </si>
  <si>
    <t>ORD-2426</t>
  </si>
  <si>
    <t>ORD-1120</t>
  </si>
  <si>
    <t>ORD-2577</t>
  </si>
  <si>
    <t>ORD-2024</t>
  </si>
  <si>
    <t>ORD-2086</t>
  </si>
  <si>
    <t>ORD-1926</t>
  </si>
  <si>
    <t>ORD-1515</t>
  </si>
  <si>
    <t>ORD-1223</t>
  </si>
  <si>
    <t>27/04/2024</t>
  </si>
  <si>
    <t>ORD-2348</t>
  </si>
  <si>
    <t>ORD-1613</t>
  </si>
  <si>
    <t>ORD-1843</t>
  </si>
  <si>
    <t>ORD-2245</t>
  </si>
  <si>
    <t>ORD-1052</t>
  </si>
  <si>
    <t>ORD-2677</t>
  </si>
  <si>
    <t>ORD-1485</t>
  </si>
  <si>
    <t>ORD-2739</t>
  </si>
  <si>
    <t>ORD-1818</t>
  </si>
  <si>
    <t>ORD-1155</t>
  </si>
  <si>
    <t>ORD-1600</t>
  </si>
  <si>
    <t>ORD-2461</t>
  </si>
  <si>
    <t>ORD-1248</t>
  </si>
  <si>
    <t>ORD-1761</t>
  </si>
  <si>
    <t>ORD-2663</t>
  </si>
  <si>
    <t>ORD-2130</t>
  </si>
  <si>
    <t>ORD-1542</t>
  </si>
  <si>
    <t>ORD-1793</t>
  </si>
  <si>
    <t>ORD-2141</t>
  </si>
  <si>
    <t>ORD-2340</t>
  </si>
  <si>
    <t>ORD-1628</t>
  </si>
  <si>
    <t>ORD-1150</t>
  </si>
  <si>
    <t>ORD-2496</t>
  </si>
  <si>
    <t>ORD-1291</t>
  </si>
  <si>
    <t>ORD-1381</t>
  </si>
  <si>
    <t>ORD-1686</t>
  </si>
  <si>
    <t>ORD-2224</t>
  </si>
  <si>
    <t>ORD-1897</t>
  </si>
  <si>
    <t>ORD-1854</t>
  </si>
  <si>
    <t>ORD-2071</t>
  </si>
  <si>
    <t>ORD-2389</t>
  </si>
  <si>
    <t>ORD-2583</t>
  </si>
  <si>
    <t>ORD-1891</t>
  </si>
  <si>
    <t>ORD-1615</t>
  </si>
  <si>
    <t>ORD-1154</t>
  </si>
  <si>
    <t>ORD-2193</t>
  </si>
  <si>
    <t>ORD-2560</t>
  </si>
  <si>
    <t>ORD-1322</t>
  </si>
  <si>
    <t>ORD-2408</t>
  </si>
  <si>
    <t>ORD-2282</t>
  </si>
  <si>
    <t>ORD-1082</t>
  </si>
  <si>
    <t>ORD-1512</t>
  </si>
  <si>
    <t>ORD-2388</t>
  </si>
  <si>
    <t>ORD-1929</t>
  </si>
  <si>
    <t>ORD-2487</t>
  </si>
  <si>
    <t>ORD-1010</t>
  </si>
  <si>
    <t>ORD-1831</t>
  </si>
  <si>
    <t>ORD-1032</t>
  </si>
  <si>
    <t>ORD-2380</t>
  </si>
  <si>
    <t>ORD-1413</t>
  </si>
  <si>
    <t>ORD-1580</t>
  </si>
  <si>
    <t>ORD-2411</t>
  </si>
  <si>
    <t>13/01/2024</t>
  </si>
  <si>
    <t>ORD-2730</t>
  </si>
  <si>
    <t>ORD-1614</t>
  </si>
  <si>
    <t>ORD-2045</t>
  </si>
  <si>
    <t>ORD-2014</t>
  </si>
  <si>
    <t>ORD-1089</t>
  </si>
  <si>
    <t>25/10/2024</t>
  </si>
  <si>
    <t>ORD-2550</t>
  </si>
  <si>
    <t>ORD-1601</t>
  </si>
  <si>
    <t>ORD-2237</t>
  </si>
  <si>
    <t>ORD-1133</t>
  </si>
  <si>
    <t>ORD-1555</t>
  </si>
  <si>
    <t>ORD-2031</t>
  </si>
  <si>
    <t>ORD-1320</t>
  </si>
  <si>
    <t>ORD-2643</t>
  </si>
  <si>
    <t>ORD-2211</t>
  </si>
  <si>
    <t>23/07/2024</t>
  </si>
  <si>
    <t>ORD-2582</t>
  </si>
  <si>
    <t>ORD-1634</t>
  </si>
  <si>
    <t>ORD-1552</t>
  </si>
  <si>
    <t>ORD-2328</t>
  </si>
  <si>
    <t>ORD-2055</t>
  </si>
  <si>
    <t>ORD-2420</t>
  </si>
  <si>
    <t>ORD-1796</t>
  </si>
  <si>
    <t>ORD-2517</t>
  </si>
  <si>
    <t>ORD-2264</t>
  </si>
  <si>
    <t>ORD-2559</t>
  </si>
  <si>
    <t>ORD-1174</t>
  </si>
  <si>
    <t>ORD-1766</t>
  </si>
  <si>
    <t>ORD-1245</t>
  </si>
  <si>
    <t>ORD-2080</t>
  </si>
  <si>
    <t>ORD-2581</t>
  </si>
  <si>
    <t>19/10/2024</t>
  </si>
  <si>
    <t>ORD-1145</t>
  </si>
  <si>
    <t>ORD-1090</t>
  </si>
  <si>
    <t>ORD-1682</t>
  </si>
  <si>
    <t>26/09/2024</t>
  </si>
  <si>
    <t>ORD-1310</t>
  </si>
  <si>
    <t>ORD-1093</t>
  </si>
  <si>
    <t>ORD-2429</t>
  </si>
  <si>
    <t>ORD-1924</t>
  </si>
  <si>
    <t>ORD-2750</t>
  </si>
  <si>
    <t>ORD-2035</t>
  </si>
  <si>
    <t>ORD-1243</t>
  </si>
  <si>
    <t>ORD-2111</t>
  </si>
  <si>
    <t>ORD-1214</t>
  </si>
  <si>
    <t>ORD-2197</t>
  </si>
  <si>
    <t>ORD-1998</t>
  </si>
  <si>
    <t>ORD-1853</t>
  </si>
  <si>
    <t>ORD-1425</t>
  </si>
  <si>
    <t>ORD-2605</t>
  </si>
  <si>
    <t>ORD-2142</t>
  </si>
  <si>
    <t>ORD-2143</t>
  </si>
  <si>
    <t>ORD-1226</t>
  </si>
  <si>
    <t>ORD-2484</t>
  </si>
  <si>
    <t>ORD-1000</t>
  </si>
  <si>
    <t>ORD-1401</t>
  </si>
  <si>
    <t>ORD-2103</t>
  </si>
  <si>
    <t>ORD-1084</t>
  </si>
  <si>
    <t>ORD-1162</t>
  </si>
  <si>
    <t>ORD-1114</t>
  </si>
  <si>
    <t>ORD-1670</t>
  </si>
  <si>
    <t>ORD-2174</t>
  </si>
  <si>
    <t>ORD-2390</t>
  </si>
  <si>
    <t>ORD-1889</t>
  </si>
  <si>
    <t>ORD-1625</t>
  </si>
  <si>
    <t>ORD-2781</t>
  </si>
  <si>
    <t>20/09/2024</t>
  </si>
  <si>
    <t>ORD-1952</t>
  </si>
  <si>
    <t>ORD-1807</t>
  </si>
  <si>
    <t>ORD-1258</t>
  </si>
  <si>
    <t>ORD-1624</t>
  </si>
  <si>
    <t>ORD-1826</t>
  </si>
  <si>
    <t>ORD-1234</t>
  </si>
  <si>
    <t>ORD-1135</t>
  </si>
  <si>
    <t>ORD-1616</t>
  </si>
  <si>
    <t>ORD-2782</t>
  </si>
  <si>
    <t>ORD-1836</t>
  </si>
  <si>
    <t>ORD-1842</t>
  </si>
  <si>
    <t>ORD-1959</t>
  </si>
  <si>
    <t>ORD-1592</t>
  </si>
  <si>
    <t>ORD-2314</t>
  </si>
  <si>
    <t>ORD-2291</t>
  </si>
  <si>
    <t>ORD-1343</t>
  </si>
  <si>
    <t>ORD-2736</t>
  </si>
  <si>
    <t>ORD-2436</t>
  </si>
  <si>
    <t>ORD-1293</t>
  </si>
  <si>
    <t>ORD-1364</t>
  </si>
  <si>
    <t>ORD-1178</t>
  </si>
  <si>
    <t>ORD-1659</t>
  </si>
  <si>
    <t>ORD-1996</t>
  </si>
  <si>
    <t>ORD-1014</t>
  </si>
  <si>
    <t>ORD-2110</t>
  </si>
  <si>
    <t>ORD-2394</t>
  </si>
  <si>
    <t>ORD-1165</t>
  </si>
  <si>
    <t>ORD-2710</t>
  </si>
  <si>
    <t>ORD-2359</t>
  </si>
  <si>
    <t>ORD-1059</t>
  </si>
  <si>
    <t>15/06/2024</t>
  </si>
  <si>
    <t>ORD-1709</t>
  </si>
  <si>
    <t>ORD-1676</t>
  </si>
  <si>
    <t>ORD-2378</t>
  </si>
  <si>
    <t>ORD-1780</t>
  </si>
  <si>
    <t>ORD-1424</t>
  </si>
  <si>
    <t>ORD-1292</t>
  </si>
  <si>
    <t>ORD-2065</t>
  </si>
  <si>
    <t>ORD-2633</t>
  </si>
  <si>
    <t>ORD-1329</t>
  </si>
  <si>
    <t>ORD-1429</t>
  </si>
  <si>
    <t>ORD-2012</t>
  </si>
  <si>
    <t>ORD-1079</t>
  </si>
  <si>
    <t>27/11/2024</t>
  </si>
  <si>
    <t>ORD-2052</t>
  </si>
  <si>
    <t>ORD-1937</t>
  </si>
  <si>
    <t>ORD-1834</t>
  </si>
  <si>
    <t>ORD-1749</t>
  </si>
  <si>
    <t>ORD-1890</t>
  </si>
  <si>
    <t>ORD-1254</t>
  </si>
  <si>
    <t>ORD-2780</t>
  </si>
  <si>
    <t>ORD-2337</t>
  </si>
  <si>
    <t>ORD-2108</t>
  </si>
  <si>
    <t>ORD-1136</t>
  </si>
  <si>
    <t>ORD-2135</t>
  </si>
  <si>
    <t>ORD-2218</t>
  </si>
  <si>
    <t>ORD-1852</t>
  </si>
  <si>
    <t>ORD-2202</t>
  </si>
  <si>
    <t>ORD-1723</t>
  </si>
  <si>
    <t>ORD-1859</t>
  </si>
  <si>
    <t>ORD-1969</t>
  </si>
  <si>
    <t>ORD-1496</t>
  </si>
  <si>
    <t>ORD-1950</t>
  </si>
  <si>
    <t>ORD-1805</t>
  </si>
  <si>
    <t>ORD-1129</t>
  </si>
  <si>
    <t>ORD-1337</t>
  </si>
  <si>
    <t>ORD-1608</t>
  </si>
  <si>
    <t>ORD-2148</t>
  </si>
  <si>
    <t>ORD-1195</t>
  </si>
  <si>
    <t>ORD-2250</t>
  </si>
  <si>
    <t>ORD-2292</t>
  </si>
  <si>
    <t>ORD-2797</t>
  </si>
  <si>
    <t>ORD-1909</t>
  </si>
  <si>
    <t>ORD-1584</t>
  </si>
  <si>
    <t>ORD-1103</t>
  </si>
  <si>
    <t>ORD-2684</t>
  </si>
  <si>
    <t>ORD-2699</t>
  </si>
  <si>
    <t>ORD-1719</t>
  </si>
  <si>
    <t>ORD-1884</t>
  </si>
  <si>
    <t>ORD-1776</t>
  </si>
  <si>
    <t>ORD-1849</t>
  </si>
  <si>
    <t>ORD-1894</t>
  </si>
  <si>
    <t>ORD-1227</t>
  </si>
  <si>
    <t>ORD-2712</t>
  </si>
  <si>
    <t>ORD-2325</t>
  </si>
  <si>
    <t>ORD-2299</t>
  </si>
  <si>
    <t>21/06/2024</t>
  </si>
  <si>
    <t>ORD-1126</t>
  </si>
  <si>
    <t>ORD-1405</t>
  </si>
  <si>
    <t>ORD-1775</t>
  </si>
  <si>
    <t>ORD-1821</t>
  </si>
  <si>
    <t>ORD-1711</t>
  </si>
  <si>
    <t>ORD-2719</t>
  </si>
  <si>
    <t>ORD-2060</t>
  </si>
  <si>
    <t>ORD-2163</t>
  </si>
  <si>
    <t>ORD-1303</t>
  </si>
  <si>
    <t>ORD-1267</t>
  </si>
  <si>
    <t>ORD-1545</t>
  </si>
  <si>
    <t>ORD-1212</t>
  </si>
  <si>
    <t>ORD-1896</t>
  </si>
  <si>
    <t>ORD-2222</t>
  </si>
  <si>
    <t>ORD-1916</t>
  </si>
  <si>
    <t>ORD-1675</t>
  </si>
  <si>
    <t>ORD-2289</t>
  </si>
  <si>
    <t>ORD-1814</t>
  </si>
  <si>
    <t>ORD-2265</t>
  </si>
  <si>
    <t>ORD-1342</t>
  </si>
  <si>
    <t>ORD-1549</t>
  </si>
  <si>
    <t>ORD-2214</t>
  </si>
  <si>
    <t>ORD-1966</t>
  </si>
  <si>
    <t>ORD-2230</t>
  </si>
  <si>
    <t>ORD-1295</t>
  </si>
  <si>
    <t>ORD-1695</t>
  </si>
  <si>
    <t>ORD-2452</t>
  </si>
  <si>
    <t>18/08/2024</t>
  </si>
  <si>
    <t>ORD-1073</t>
  </si>
  <si>
    <t>ORD-1605</t>
  </si>
  <si>
    <t>ORD-1104</t>
  </si>
  <si>
    <t>ORD-1645</t>
  </si>
  <si>
    <t>ORD-2404</t>
  </si>
  <si>
    <t>ORD-2785</t>
  </si>
  <si>
    <t>22/12/2024</t>
  </si>
  <si>
    <t>ORD-2040</t>
  </si>
  <si>
    <t>ORD-1439</t>
  </si>
  <si>
    <t>ORD-2019</t>
  </si>
  <si>
    <t>ORD-1091</t>
  </si>
  <si>
    <t>ORD-2112</t>
  </si>
  <si>
    <t>ORD-2600</t>
  </si>
  <si>
    <t>ORD-1908</t>
  </si>
  <si>
    <t>ORD-2474</t>
  </si>
  <si>
    <t>16/06/2024</t>
  </si>
  <si>
    <t>ORD-1102</t>
  </si>
  <si>
    <t>ORD-1238</t>
  </si>
  <si>
    <t>ORD-2554</t>
  </si>
  <si>
    <t>ORD-1942</t>
  </si>
  <si>
    <t>ORD-2270</t>
  </si>
  <si>
    <t>27/06/2024</t>
  </si>
  <si>
    <t>ORD-1938</t>
  </si>
  <si>
    <t>ORD-2547</t>
  </si>
  <si>
    <t>14/11/2024</t>
  </si>
  <si>
    <t>ORD-2181</t>
  </si>
  <si>
    <t>ORD-2503</t>
  </si>
  <si>
    <t>ORD-1005</t>
  </si>
  <si>
    <t>ORD-2737</t>
  </si>
  <si>
    <t>ORD-1965</t>
  </si>
  <si>
    <t>ORD-1018</t>
  </si>
  <si>
    <t>ORD-2430</t>
  </si>
  <si>
    <t>ORD-1121</t>
  </si>
  <si>
    <t>ORD-1661</t>
  </si>
  <si>
    <t>ORD-2539</t>
  </si>
  <si>
    <t>ORD-1274</t>
  </si>
  <si>
    <t>ORD-1433</t>
  </si>
  <si>
    <t>ORD-1811</t>
  </si>
  <si>
    <t>ORD-2300</t>
  </si>
  <si>
    <t>ORD-2335</t>
  </si>
  <si>
    <t>ORD-2700</t>
  </si>
  <si>
    <t>ORD-2720</t>
  </si>
  <si>
    <t>ORD-1181</t>
  </si>
  <si>
    <t>ORD-1184</t>
  </si>
  <si>
    <t>ORD-1406</t>
  </si>
  <si>
    <t>ORD-1865</t>
  </si>
  <si>
    <t>ORD-1520</t>
  </si>
  <si>
    <t>ORD-2003</t>
  </si>
  <si>
    <t>ORD-1380</t>
  </si>
  <si>
    <t>ORD-2434</t>
  </si>
  <si>
    <t>ORD-2393</t>
  </si>
  <si>
    <t>ORD-2424</t>
  </si>
  <si>
    <t>ORD-1427</t>
  </si>
  <si>
    <t>ORD-1078</t>
  </si>
  <si>
    <t>18/11/2024</t>
  </si>
  <si>
    <t>ORD-2009</t>
  </si>
  <si>
    <t>ORD-2793</t>
  </si>
  <si>
    <t>ORD-1607</t>
  </si>
  <si>
    <t>ORD-2661</t>
  </si>
  <si>
    <t>ORD-2057</t>
  </si>
  <si>
    <t>ORD-2440</t>
  </si>
  <si>
    <t>ORD-2514</t>
  </si>
  <si>
    <t>ORD-2091</t>
  </si>
  <si>
    <t>ORD-2101</t>
  </si>
  <si>
    <t>ORD-2129</t>
  </si>
  <si>
    <t>ORD-2235</t>
  </si>
  <si>
    <t>ORD-2610</t>
  </si>
  <si>
    <t>19/12/2024</t>
  </si>
  <si>
    <t>ORD-1958</t>
  </si>
  <si>
    <t>ORD-1559</t>
  </si>
  <si>
    <t>ORD-1846</t>
  </si>
  <si>
    <t>ORD-1690</t>
  </si>
  <si>
    <t>ORD-2519</t>
  </si>
  <si>
    <t>ORD-2762</t>
  </si>
  <si>
    <t>ORD-2698</t>
  </si>
  <si>
    <t>ORD-1436</t>
  </si>
  <si>
    <t>ORD-1490</t>
  </si>
  <si>
    <t>ORD-2674</t>
  </si>
  <si>
    <t>ORD-2387</t>
  </si>
  <si>
    <t>ORD-1069</t>
  </si>
  <si>
    <t>ORD-2572</t>
  </si>
  <si>
    <t>ORD-1808</t>
  </si>
  <si>
    <t>ORD-2184</t>
  </si>
  <si>
    <t>ORD-1011</t>
  </si>
  <si>
    <t>ORD-1144</t>
  </si>
  <si>
    <t>ORD-1917</t>
  </si>
  <si>
    <t>ORD-2541</t>
  </si>
  <si>
    <t>ORD-2451</t>
  </si>
  <si>
    <t>ORD-1639</t>
  </si>
  <si>
    <t>ORD-1176</t>
  </si>
  <si>
    <t>ORD-1994</t>
  </si>
  <si>
    <t>ORD-1440</t>
  </si>
  <si>
    <t>ORD-1521</t>
  </si>
  <si>
    <t>ORD-2462</t>
  </si>
  <si>
    <t>17/06/2024</t>
  </si>
  <si>
    <t>ORD-2766</t>
  </si>
  <si>
    <t>ORD-2004</t>
  </si>
  <si>
    <t>ORD-2255</t>
  </si>
  <si>
    <t>ORD-2234</t>
  </si>
  <si>
    <t>ORD-1143</t>
  </si>
  <si>
    <t>ORD-1753</t>
  </si>
  <si>
    <t>ORD-1519</t>
  </si>
  <si>
    <t>ORD-1822</t>
  </si>
  <si>
    <t>ORD-1428</t>
  </si>
  <si>
    <t>ORD-2505</t>
  </si>
  <si>
    <t>ORD-2032</t>
  </si>
  <si>
    <t>ORD-1156</t>
  </si>
  <si>
    <t>ORD-1539</t>
  </si>
  <si>
    <t>ORD-2530</t>
  </si>
  <si>
    <t>ORD-2460</t>
  </si>
  <si>
    <t>ORD-2290</t>
  </si>
  <si>
    <t>ORD-1461</t>
  </si>
  <si>
    <t>ORD-1576</t>
  </si>
  <si>
    <t>ORD-2362</t>
  </si>
  <si>
    <t>ORD-1255</t>
  </si>
  <si>
    <t>30/11/2024</t>
  </si>
  <si>
    <t>ORD-1979</t>
  </si>
  <si>
    <t>ORD-2185</t>
  </si>
  <si>
    <t>ORD-2006</t>
  </si>
  <si>
    <t>ORD-2521</t>
  </si>
  <si>
    <t>ORD-1560</t>
  </si>
  <si>
    <t>31/10/2024</t>
  </si>
  <si>
    <t>ORD-1208</t>
  </si>
  <si>
    <t>ORD-1910</t>
  </si>
  <si>
    <t>ORD-2311</t>
  </si>
  <si>
    <t>ORD-1001</t>
  </si>
  <si>
    <t>ORD-2365</t>
  </si>
  <si>
    <t>ORD-1269</t>
  </si>
  <si>
    <t>ORD-1265</t>
  </si>
  <si>
    <t>ORD-1914</t>
  </si>
  <si>
    <t>ORD-1230</t>
  </si>
  <si>
    <t>ORD-2796</t>
  </si>
  <si>
    <t>ORD-2119</t>
  </si>
  <si>
    <t>ORD-2791</t>
  </si>
  <si>
    <t>ORD-1864</t>
  </si>
  <si>
    <t>ORD-2066</t>
  </si>
  <si>
    <t>ORD-1873</t>
  </si>
  <si>
    <t>ORD-2637</t>
  </si>
  <si>
    <t>ORD-1398</t>
  </si>
  <si>
    <t>ORD-2664</t>
  </si>
  <si>
    <t>ORD-1045</t>
  </si>
  <si>
    <t>ORD-1161</t>
  </si>
  <si>
    <t>ORD-1991</t>
  </si>
  <si>
    <t>ORD-1727</t>
  </si>
  <si>
    <t>ORD-1629</t>
  </si>
  <si>
    <t>ORD-1288</t>
  </si>
  <si>
    <t>ORD-2613</t>
  </si>
  <si>
    <t>ORD-2777</t>
  </si>
  <si>
    <t>ORD-1575</t>
  </si>
  <si>
    <t>ORD-1850</t>
  </si>
  <si>
    <t>ORD-2339</t>
  </si>
  <si>
    <t>ORD-1911</t>
  </si>
  <si>
    <t>ORD-2254</t>
  </si>
  <si>
    <t>ORD-2657</t>
  </si>
  <si>
    <t>ORD-1932</t>
  </si>
  <si>
    <t>ORD-2100</t>
  </si>
  <si>
    <t>ORD-2207</t>
  </si>
  <si>
    <t>ORD-1247</t>
  </si>
  <si>
    <t>ORD-1476</t>
  </si>
  <si>
    <t>ORD-1085</t>
  </si>
  <si>
    <t>ORD-1469</t>
  </si>
  <si>
    <t>ORD-1225</t>
  </si>
  <si>
    <t>15/10/2024</t>
  </si>
  <si>
    <t>ORD-1774</t>
  </si>
  <si>
    <t>ORD-1331</t>
  </si>
  <si>
    <t>ORD-1233</t>
  </si>
  <si>
    <t>ORD-1588</t>
  </si>
  <si>
    <t>ORD-1475</t>
  </si>
  <si>
    <t>ORD-2284</t>
  </si>
  <si>
    <t>ORD-1599</t>
  </si>
  <si>
    <t>18/03/2024</t>
  </si>
  <si>
    <t>ORD-1421</t>
  </si>
  <si>
    <t>ORD-1182</t>
  </si>
  <si>
    <t>ORD-1988</t>
  </si>
  <si>
    <t>ORD-2000</t>
  </si>
  <si>
    <t>ORD-2641</t>
  </si>
  <si>
    <t>ORD-2356</t>
  </si>
  <si>
    <t>ORD-1049</t>
  </si>
  <si>
    <t>ORD-2029</t>
  </si>
  <si>
    <t>ORD-1529</t>
  </si>
  <si>
    <t>ORD-2258</t>
  </si>
  <si>
    <t>ORD-1486</t>
  </si>
  <si>
    <t>ORD-2775</t>
  </si>
  <si>
    <t>ORD-1497</t>
  </si>
  <si>
    <t>ORD-2646</t>
  </si>
  <si>
    <t>ORD-1106</t>
  </si>
  <si>
    <t>ORD-1443</t>
  </si>
  <si>
    <t>ORD-2512</t>
  </si>
  <si>
    <t>ORD-1646</t>
  </si>
  <si>
    <t>ORD-2036</t>
  </si>
  <si>
    <t>ORD-1726</t>
  </si>
  <si>
    <t>ORD-1282</t>
  </si>
  <si>
    <t>ORD-1029</t>
  </si>
  <si>
    <t>ORD-1169</t>
  </si>
  <si>
    <t>ORD-2001</t>
  </si>
  <si>
    <t>ORD-2204</t>
  </si>
  <si>
    <t>ORD-1100</t>
  </si>
  <si>
    <t>ORD-1197</t>
  </si>
  <si>
    <t>ORD-1495</t>
  </si>
  <si>
    <t>ORD-1647</t>
  </si>
  <si>
    <t>ORD-1987</t>
  </si>
  <si>
    <t>ORD-1044</t>
  </si>
  <si>
    <t>ORD-2759</t>
  </si>
  <si>
    <t>ORD-1710</t>
  </si>
  <si>
    <t>20/06/2024</t>
  </si>
  <si>
    <t>ORD-1373</t>
  </si>
  <si>
    <t>ORD-1678</t>
  </si>
  <si>
    <t>ORD-1566</t>
  </si>
  <si>
    <t>ORD-2672</t>
  </si>
  <si>
    <t>ORD-1847</t>
  </si>
  <si>
    <t>ORD-1460</t>
  </si>
  <si>
    <t>ORD-2437</t>
  </si>
  <si>
    <t>ORD-2155</t>
  </si>
  <si>
    <t>ORD-1039</t>
  </si>
  <si>
    <t>ORD-1434</t>
  </si>
  <si>
    <t>ORD-1973</t>
  </si>
  <si>
    <t>ORD-2239</t>
  </si>
  <si>
    <t>ORD-2007</t>
  </si>
  <si>
    <t>ORD-2579</t>
  </si>
  <si>
    <t>ORD-2590</t>
  </si>
  <si>
    <t>ORD-2498</t>
  </si>
  <si>
    <t>ORD-1456</t>
  </si>
  <si>
    <t>ORD-1260</t>
  </si>
  <si>
    <t>ORD-1035</t>
  </si>
  <si>
    <t>ORD-1827</t>
  </si>
  <si>
    <t>ORD-1309</t>
  </si>
  <si>
    <t>ORD-1276</t>
  </si>
  <si>
    <t>ORD-1636</t>
  </si>
  <si>
    <t>ORD-1654</t>
  </si>
  <si>
    <t>15/01/2024</t>
  </si>
  <si>
    <t>ORD-1622</t>
  </si>
  <si>
    <t>ORD-1844</t>
  </si>
  <si>
    <t>ORD-1393</t>
  </si>
  <si>
    <t>ORD-1107</t>
  </si>
  <si>
    <t>ORD-1349</t>
  </si>
  <si>
    <t>ORD-1524</t>
  </si>
  <si>
    <t>ORD-1784</t>
  </si>
  <si>
    <t>ORD-1203</t>
  </si>
  <si>
    <t>ORD-2655</t>
  </si>
  <si>
    <t>ORD-1021</t>
  </si>
  <si>
    <t>ORD-1402</t>
  </si>
  <si>
    <t>ORD-2107</t>
  </si>
  <si>
    <t>ORD-2154</t>
  </si>
  <si>
    <t>ORD-2439</t>
  </si>
  <si>
    <t>ORD-1989</t>
  </si>
  <si>
    <t>ORD-1741</t>
  </si>
  <si>
    <t>19/11/2024</t>
  </si>
  <si>
    <t>ORD-2721</t>
  </si>
  <si>
    <t>ORD-2310</t>
  </si>
  <si>
    <t>ORD-2147</t>
  </si>
  <si>
    <t>ORD-1033</t>
  </si>
  <si>
    <t>ORD-1787</t>
  </si>
  <si>
    <t>ORD-2540</t>
  </si>
  <si>
    <t>ORD-1923</t>
  </si>
  <si>
    <t>ORD-2043</t>
  </si>
  <si>
    <t>ORD-2756</t>
  </si>
  <si>
    <t>ORD-2243</t>
  </si>
  <si>
    <t>ORD-1579</t>
  </si>
  <si>
    <t>ORD-1481</t>
  </si>
  <si>
    <t>29/11/2024</t>
  </si>
  <si>
    <t>ORD-1931</t>
  </si>
  <si>
    <t>ORD-1356</t>
  </si>
  <si>
    <t>ORD-2685</t>
  </si>
  <si>
    <t>ORD-2248</t>
  </si>
  <si>
    <t>ORD-1759</t>
  </si>
  <si>
    <t>ORD-1092</t>
  </si>
  <si>
    <t>ORD-2175</t>
  </si>
  <si>
    <t>ORD-2415</t>
  </si>
  <si>
    <t>ORD-2341</t>
  </si>
  <si>
    <t>ORD-2472</t>
  </si>
  <si>
    <t>ORD-1803</t>
  </si>
  <si>
    <t>ORD-1745</t>
  </si>
  <si>
    <t>ORD-2546</t>
  </si>
  <si>
    <t>ORD-1279</t>
  </si>
  <si>
    <t>ORD-2607</t>
  </si>
  <si>
    <t>ORD-1764</t>
  </si>
  <si>
    <t>ORD-1604</t>
  </si>
  <si>
    <t>ORD-2373</t>
  </si>
  <si>
    <t>ORD-2398</t>
  </si>
  <si>
    <t>ORD-1400</t>
  </si>
  <si>
    <t>ORD-2728</t>
  </si>
  <si>
    <t>27/09/2024</t>
  </si>
  <si>
    <t>ORD-1257</t>
  </si>
  <si>
    <t>ORD-1944</t>
  </si>
  <si>
    <t>ORD-2096</t>
  </si>
  <si>
    <t>ORD-2219</t>
  </si>
  <si>
    <t>ORD-2507</t>
  </si>
  <si>
    <t>ORD-2161</t>
  </si>
  <si>
    <t>ORD-1494</t>
  </si>
  <si>
    <t>ORD-1772</t>
  </si>
  <si>
    <t>ORD-1550</t>
  </si>
  <si>
    <t>ORD-2486</t>
  </si>
  <si>
    <t>15/08/2024</t>
  </si>
  <si>
    <t>ORD-1201</t>
  </si>
  <si>
    <t>15/12/2024</t>
  </si>
  <si>
    <t>ORD-1312</t>
  </si>
  <si>
    <t>ORD-1290</t>
  </si>
  <si>
    <t>ORD-1763</t>
  </si>
  <si>
    <t>30/01/2024</t>
  </si>
  <si>
    <t>ORD-2136</t>
  </si>
  <si>
    <t>ORD-1949</t>
  </si>
  <si>
    <t>ORD-1183</t>
  </si>
  <si>
    <t>ORD-2176</t>
  </si>
  <si>
    <t>ORD-2349</t>
  </si>
  <si>
    <t>ORD-2727</t>
  </si>
  <si>
    <t>ORD-2068</t>
  </si>
  <si>
    <t>ORD-2468</t>
  </si>
  <si>
    <t>ORD-2030</t>
  </si>
  <si>
    <t>ORD-1250</t>
  </si>
  <si>
    <t>ORD-1823</t>
  </si>
  <si>
    <t>ORD-2099</t>
  </si>
  <si>
    <t>ORD-2536</t>
  </si>
  <si>
    <t>ORD-1940</t>
  </si>
  <si>
    <t>15/03/2024</t>
  </si>
  <si>
    <t>ORD-1391</t>
  </si>
  <si>
    <t>ORD-2456</t>
  </si>
  <si>
    <t>ORD-2092</t>
  </si>
  <si>
    <t>ORD-2191</t>
  </si>
  <si>
    <t>ORD-1904</t>
  </si>
  <si>
    <t>ORD-1730</t>
  </si>
  <si>
    <t>ORD-1554</t>
  </si>
  <si>
    <t>ORD-1366</t>
  </si>
  <si>
    <t>ORD-1345</t>
  </si>
  <si>
    <t>ORD-2608</t>
  </si>
  <si>
    <t>ORD-1535</t>
  </si>
  <si>
    <t>ORD-2422</t>
  </si>
  <si>
    <t>ORD-2209</t>
  </si>
  <si>
    <t>ORD-2372</t>
  </si>
  <si>
    <t>ORD-2639</t>
  </si>
  <si>
    <t>ORD-1919</t>
  </si>
  <si>
    <t>ORD-1211</t>
  </si>
  <si>
    <t>ORD-2603</t>
  </si>
  <si>
    <t>ORD-1502</t>
  </si>
  <si>
    <t>ORD-2220</t>
  </si>
  <si>
    <t>ORD-1175</t>
  </si>
  <si>
    <t>Unassigned</t>
  </si>
  <si>
    <t>Unknown Customer</t>
  </si>
  <si>
    <t>Month</t>
  </si>
  <si>
    <t>Month Number</t>
  </si>
  <si>
    <t>Revenue Check</t>
  </si>
  <si>
    <t>Sales Comparism</t>
  </si>
  <si>
    <t>Column1</t>
  </si>
  <si>
    <t>TOTAL SALES =</t>
  </si>
  <si>
    <t>Row Labels</t>
  </si>
  <si>
    <t>Grand Total</t>
  </si>
  <si>
    <t>Sum of Sales</t>
  </si>
  <si>
    <t>Order Count</t>
  </si>
  <si>
    <t>Jan</t>
  </si>
  <si>
    <t>Feb</t>
  </si>
  <si>
    <t>Mar</t>
  </si>
  <si>
    <t>Apr</t>
  </si>
  <si>
    <t>May</t>
  </si>
  <si>
    <t>Jun</t>
  </si>
  <si>
    <t>Jul</t>
  </si>
  <si>
    <t>Aug</t>
  </si>
  <si>
    <t>Sep</t>
  </si>
  <si>
    <t>Oct</t>
  </si>
  <si>
    <t>Nov</t>
  </si>
  <si>
    <t>Dec</t>
  </si>
  <si>
    <t>TOTAL SALES</t>
  </si>
  <si>
    <t>TOTAL ORDERS</t>
  </si>
  <si>
    <t>AVG ORDER VALUE</t>
  </si>
  <si>
    <t>TOP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</si>
</sst>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rgb="FF1F3864"/>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5"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165" fontId="18" fillId="33" borderId="0" xfId="0" applyNumberFormat="1" applyFont="1"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yyyy\-mm\-dd;@"/>
    </dxf>
  </dxfs>
  <tableStyles count="0" defaultTableStyle="TableStyleMedium2" defaultPivotStyle="PivotStyleLight16"/>
  <colors>
    <mruColors>
      <color rgb="FFF2F2F2"/>
      <color rgb="FF1F3864"/>
      <color rgb="FFD4A0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[retail_sales_project.xlsx]Pivot_Region!PivotTable1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rgbClr val="1F3864"/>
            </a:solidFill>
            <a:ln>
              <a:noFill/>
            </a:ln>
            <a:effectLst/>
          </c:spPr>
          <c:invertIfNegative val="0"/>
          <c:cat>
            <c:strRef>
              <c:f>Pivot_Region!$A$4:$A$9</c:f>
              <c:strCache>
                <c:ptCount val="5"/>
                <c:pt idx="0">
                  <c:v>Central</c:v>
                </c:pt>
                <c:pt idx="1">
                  <c:v>East</c:v>
                </c:pt>
                <c:pt idx="2">
                  <c:v>North</c:v>
                </c:pt>
                <c:pt idx="3">
                  <c:v>South</c:v>
                </c:pt>
                <c:pt idx="4">
                  <c:v>West</c:v>
                </c:pt>
              </c:strCache>
            </c:strRef>
          </c:cat>
          <c:val>
            <c:numRef>
              <c:f>Pivot_Region!$B$4:$B$9</c:f>
              <c:numCache>
                <c:formatCode>General</c:formatCode>
                <c:ptCount val="5"/>
                <c:pt idx="0">
                  <c:v>285736.13</c:v>
                </c:pt>
                <c:pt idx="1">
                  <c:v>259343.65000000002</c:v>
                </c:pt>
                <c:pt idx="2">
                  <c:v>293548.70999999996</c:v>
                </c:pt>
                <c:pt idx="3">
                  <c:v>323086.54000000015</c:v>
                </c:pt>
                <c:pt idx="4">
                  <c:v>307957.56</c:v>
                </c:pt>
              </c:numCache>
            </c:numRef>
          </c:val>
          <c:extLst>
            <c:ext xmlns:c16="http://schemas.microsoft.com/office/drawing/2014/chart" uri="{C3380CC4-5D6E-409C-BE32-E72D297353CC}">
              <c16:uniqueId val="{00000000-DCC4-4438-B3E3-1F6F86BA783D}"/>
            </c:ext>
          </c:extLst>
        </c:ser>
        <c:dLbls>
          <c:showLegendKey val="0"/>
          <c:showVal val="0"/>
          <c:showCatName val="0"/>
          <c:showSerName val="0"/>
          <c:showPercent val="0"/>
          <c:showBubbleSize val="0"/>
        </c:dLbls>
        <c:gapWidth val="219"/>
        <c:overlap val="-27"/>
        <c:axId val="620418520"/>
        <c:axId val="620421760"/>
      </c:barChart>
      <c:catAx>
        <c:axId val="62041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21760"/>
        <c:crosses val="autoZero"/>
        <c:auto val="1"/>
        <c:lblAlgn val="ctr"/>
        <c:lblOffset val="100"/>
        <c:noMultiLvlLbl val="0"/>
      </c:catAx>
      <c:valAx>
        <c:axId val="62042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18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[retail_sales_project.xlsx]Pivot_Category!PivotTable2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Sum of Sales</c:v>
                </c:pt>
              </c:strCache>
            </c:strRef>
          </c:tx>
          <c:spPr>
            <a:solidFill>
              <a:srgbClr val="1F3864"/>
            </a:solidFill>
            <a:ln>
              <a:noFill/>
            </a:ln>
            <a:effectLst/>
          </c:spPr>
          <c:invertIfNegative val="0"/>
          <c:cat>
            <c:strRef>
              <c:f>Pivot_Category!$A$4:$A$9</c:f>
              <c:strCache>
                <c:ptCount val="5"/>
                <c:pt idx="0">
                  <c:v>Beauty</c:v>
                </c:pt>
                <c:pt idx="1">
                  <c:v>Electronics</c:v>
                </c:pt>
                <c:pt idx="2">
                  <c:v>Fashion</c:v>
                </c:pt>
                <c:pt idx="3">
                  <c:v>Groceries</c:v>
                </c:pt>
                <c:pt idx="4">
                  <c:v>Home &amp; Kitchen</c:v>
                </c:pt>
              </c:strCache>
            </c:strRef>
          </c:cat>
          <c:val>
            <c:numRef>
              <c:f>Pivot_Category!$B$4:$B$9</c:f>
              <c:numCache>
                <c:formatCode>General</c:formatCode>
                <c:ptCount val="5"/>
                <c:pt idx="0">
                  <c:v>312067.54999999987</c:v>
                </c:pt>
                <c:pt idx="1">
                  <c:v>286356.47999999998</c:v>
                </c:pt>
                <c:pt idx="2">
                  <c:v>299297.51000000018</c:v>
                </c:pt>
                <c:pt idx="3">
                  <c:v>270018.15999999986</c:v>
                </c:pt>
                <c:pt idx="4">
                  <c:v>301932.89000000007</c:v>
                </c:pt>
              </c:numCache>
            </c:numRef>
          </c:val>
          <c:extLst>
            <c:ext xmlns:c16="http://schemas.microsoft.com/office/drawing/2014/chart" uri="{C3380CC4-5D6E-409C-BE32-E72D297353CC}">
              <c16:uniqueId val="{00000000-0298-4319-8E07-DC00DD8FE492}"/>
            </c:ext>
          </c:extLst>
        </c:ser>
        <c:dLbls>
          <c:showLegendKey val="0"/>
          <c:showVal val="0"/>
          <c:showCatName val="0"/>
          <c:showSerName val="0"/>
          <c:showPercent val="0"/>
          <c:showBubbleSize val="0"/>
        </c:dLbls>
        <c:gapWidth val="219"/>
        <c:overlap val="-27"/>
        <c:axId val="620424280"/>
        <c:axId val="620417440"/>
      </c:barChart>
      <c:lineChart>
        <c:grouping val="standard"/>
        <c:varyColors val="0"/>
        <c:ser>
          <c:idx val="1"/>
          <c:order val="1"/>
          <c:tx>
            <c:strRef>
              <c:f>Pivot_Category!$C$3</c:f>
              <c:strCache>
                <c:ptCount val="1"/>
                <c:pt idx="0">
                  <c:v>Order Count</c:v>
                </c:pt>
              </c:strCache>
            </c:strRef>
          </c:tx>
          <c:spPr>
            <a:ln w="28575" cap="rnd">
              <a:solidFill>
                <a:schemeClr val="accent2"/>
              </a:solidFill>
              <a:round/>
            </a:ln>
            <a:effectLst/>
          </c:spPr>
          <c:marker>
            <c:symbol val="none"/>
          </c:marker>
          <c:cat>
            <c:strRef>
              <c:f>Pivot_Category!$A$4:$A$9</c:f>
              <c:strCache>
                <c:ptCount val="5"/>
                <c:pt idx="0">
                  <c:v>Beauty</c:v>
                </c:pt>
                <c:pt idx="1">
                  <c:v>Electronics</c:v>
                </c:pt>
                <c:pt idx="2">
                  <c:v>Fashion</c:v>
                </c:pt>
                <c:pt idx="3">
                  <c:v>Groceries</c:v>
                </c:pt>
                <c:pt idx="4">
                  <c:v>Home &amp; Kitchen</c:v>
                </c:pt>
              </c:strCache>
            </c:strRef>
          </c:cat>
          <c:val>
            <c:numRef>
              <c:f>Pivot_Category!$C$4:$C$9</c:f>
              <c:numCache>
                <c:formatCode>General</c:formatCode>
                <c:ptCount val="5"/>
                <c:pt idx="0">
                  <c:v>385</c:v>
                </c:pt>
                <c:pt idx="1">
                  <c:v>353</c:v>
                </c:pt>
                <c:pt idx="2">
                  <c:v>354</c:v>
                </c:pt>
                <c:pt idx="3">
                  <c:v>344</c:v>
                </c:pt>
                <c:pt idx="4">
                  <c:v>371</c:v>
                </c:pt>
              </c:numCache>
            </c:numRef>
          </c:val>
          <c:smooth val="0"/>
          <c:extLst>
            <c:ext xmlns:c16="http://schemas.microsoft.com/office/drawing/2014/chart" uri="{C3380CC4-5D6E-409C-BE32-E72D297353CC}">
              <c16:uniqueId val="{00000001-0298-4319-8E07-DC00DD8FE492}"/>
            </c:ext>
          </c:extLst>
        </c:ser>
        <c:dLbls>
          <c:showLegendKey val="0"/>
          <c:showVal val="0"/>
          <c:showCatName val="0"/>
          <c:showSerName val="0"/>
          <c:showPercent val="0"/>
          <c:showBubbleSize val="0"/>
        </c:dLbls>
        <c:marker val="1"/>
        <c:smooth val="0"/>
        <c:axId val="567355704"/>
        <c:axId val="567362184"/>
      </c:lineChart>
      <c:catAx>
        <c:axId val="6204242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17440"/>
        <c:crosses val="autoZero"/>
        <c:auto val="1"/>
        <c:lblAlgn val="ctr"/>
        <c:lblOffset val="100"/>
        <c:noMultiLvlLbl val="0"/>
      </c:catAx>
      <c:valAx>
        <c:axId val="62041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24280"/>
        <c:crosses val="autoZero"/>
        <c:crossBetween val="between"/>
      </c:valAx>
      <c:valAx>
        <c:axId val="5673621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55704"/>
        <c:crosses val="max"/>
        <c:crossBetween val="between"/>
      </c:valAx>
      <c:catAx>
        <c:axId val="567355704"/>
        <c:scaling>
          <c:orientation val="minMax"/>
        </c:scaling>
        <c:delete val="1"/>
        <c:axPos val="b"/>
        <c:numFmt formatCode="General" sourceLinked="1"/>
        <c:majorTickMark val="out"/>
        <c:minorTickMark val="none"/>
        <c:tickLblPos val="nextTo"/>
        <c:crossAx val="5673621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[retail_sales_project.xlsx]Pivot_Monthly!PivotTable3</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Pivot_Monthly!$A$4:$A$28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Pivot_Monthly!$B$4:$B$28</c:f>
              <c:numCache>
                <c:formatCode>General</c:formatCode>
                <c:ptCount val="12"/>
                <c:pt idx="0">
                  <c:v>120843.15</c:v>
                </c:pt>
                <c:pt idx="1">
                  <c:v>111720.68999999997</c:v>
                </c:pt>
                <c:pt idx="2">
                  <c:v>117168.70000000004</c:v>
                </c:pt>
                <c:pt idx="3">
                  <c:v>125722.18000000001</c:v>
                </c:pt>
                <c:pt idx="4">
                  <c:v>96967.330000000016</c:v>
                </c:pt>
                <c:pt idx="5">
                  <c:v>129806.62000000007</c:v>
                </c:pt>
                <c:pt idx="6">
                  <c:v>133468.89999999997</c:v>
                </c:pt>
                <c:pt idx="7">
                  <c:v>141069.60999999993</c:v>
                </c:pt>
                <c:pt idx="8">
                  <c:v>108093.58999999998</c:v>
                </c:pt>
                <c:pt idx="9">
                  <c:v>134700.57000000004</c:v>
                </c:pt>
                <c:pt idx="10">
                  <c:v>131411.23000000004</c:v>
                </c:pt>
                <c:pt idx="11">
                  <c:v>118700.01999999999</c:v>
                </c:pt>
              </c:numCache>
            </c:numRef>
          </c:val>
          <c:smooth val="0"/>
          <c:extLst>
            <c:ext xmlns:c16="http://schemas.microsoft.com/office/drawing/2014/chart" uri="{C3380CC4-5D6E-409C-BE32-E72D297353CC}">
              <c16:uniqueId val="{00000000-294B-4722-B918-91C97F7BDF0E}"/>
            </c:ext>
          </c:extLst>
        </c:ser>
        <c:dLbls>
          <c:showLegendKey val="0"/>
          <c:showVal val="0"/>
          <c:showCatName val="0"/>
          <c:showSerName val="0"/>
          <c:showPercent val="0"/>
          <c:showBubbleSize val="0"/>
        </c:dLbls>
        <c:marker val="1"/>
        <c:smooth val="0"/>
        <c:axId val="620432200"/>
        <c:axId val="620446960"/>
      </c:lineChart>
      <c:catAx>
        <c:axId val="62043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20446960"/>
        <c:crosses val="autoZero"/>
        <c:auto val="1"/>
        <c:lblAlgn val="ctr"/>
        <c:lblOffset val="100"/>
        <c:noMultiLvlLbl val="0"/>
      </c:catAx>
      <c:valAx>
        <c:axId val="6204469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32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[retail_sales_project.xlsx]Pivot_TopCustomers!PivotTable4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Pivot_TopCustomers!$B$3</c:f>
              <c:strCache>
                <c:ptCount val="1"/>
                <c:pt idx="0">
                  <c:v>Total</c:v>
                </c:pt>
              </c:strCache>
            </c:strRef>
          </c:tx>
          <c:spPr>
            <a:solidFill>
              <a:srgbClr val="1F3864"/>
            </a:solidFill>
            <a:ln>
              <a:noFill/>
            </a:ln>
            <a:effectLst/>
          </c:spPr>
          <c:invertIfNegative val="0"/>
          <c:cat>
            <c:strRef>
              <c:f>Pivot_TopCustomers!$A$4:$A$205</c:f>
              <c:strCache>
                <c:ptCount val="201"/>
                <c:pt idx="0">
                  <c:v>Unknown Customer</c:v>
                </c:pt>
                <c:pt idx="1">
                  <c:v>Adjoa Asante</c:v>
                </c:pt>
                <c:pt idx="2">
                  <c:v>Esi Osei</c:v>
                </c:pt>
                <c:pt idx="3">
                  <c:v>Ama Asante</c:v>
                </c:pt>
                <c:pt idx="4">
                  <c:v>Yaw Owusu</c:v>
                </c:pt>
                <c:pt idx="5">
                  <c:v>Fiifi Agyeman</c:v>
                </c:pt>
                <c:pt idx="6">
                  <c:v>Akua Darko</c:v>
                </c:pt>
                <c:pt idx="7">
                  <c:v>Adwoa Danso</c:v>
                </c:pt>
                <c:pt idx="8">
                  <c:v>Nana Darko</c:v>
                </c:pt>
                <c:pt idx="9">
                  <c:v>Kwesi Boateng</c:v>
                </c:pt>
                <c:pt idx="10">
                  <c:v>Efua Mensah</c:v>
                </c:pt>
                <c:pt idx="11">
                  <c:v>Kwaku Boateng</c:v>
                </c:pt>
                <c:pt idx="12">
                  <c:v>Afia Owusu</c:v>
                </c:pt>
                <c:pt idx="13">
                  <c:v>Esi Asante</c:v>
                </c:pt>
                <c:pt idx="14">
                  <c:v>Abena Danso</c:v>
                </c:pt>
                <c:pt idx="15">
                  <c:v>Kojo Osei</c:v>
                </c:pt>
                <c:pt idx="16">
                  <c:v>Fiifi Adjei</c:v>
                </c:pt>
                <c:pt idx="17">
                  <c:v>Yaa Agyeman</c:v>
                </c:pt>
                <c:pt idx="18">
                  <c:v>Yaa Adjei</c:v>
                </c:pt>
                <c:pt idx="19">
                  <c:v>Adjoa Agyeman</c:v>
                </c:pt>
                <c:pt idx="20">
                  <c:v>Akosua Darko</c:v>
                </c:pt>
                <c:pt idx="21">
                  <c:v>Kweku Appiah</c:v>
                </c:pt>
                <c:pt idx="22">
                  <c:v>Kwaku Danso</c:v>
                </c:pt>
                <c:pt idx="23">
                  <c:v>Akua Osei</c:v>
                </c:pt>
                <c:pt idx="24">
                  <c:v>Kwaku Osei</c:v>
                </c:pt>
                <c:pt idx="25">
                  <c:v>Adwoa Darko</c:v>
                </c:pt>
                <c:pt idx="26">
                  <c:v>Adjoa Osei</c:v>
                </c:pt>
                <c:pt idx="27">
                  <c:v>Nana Asante</c:v>
                </c:pt>
                <c:pt idx="28">
                  <c:v>Kofi Agyeman</c:v>
                </c:pt>
                <c:pt idx="29">
                  <c:v>Abena Darko</c:v>
                </c:pt>
                <c:pt idx="30">
                  <c:v>Kweku Osei</c:v>
                </c:pt>
                <c:pt idx="31">
                  <c:v>Kwame Appiah</c:v>
                </c:pt>
                <c:pt idx="32">
                  <c:v>Kwame Darko</c:v>
                </c:pt>
                <c:pt idx="33">
                  <c:v>Kojo Boateng</c:v>
                </c:pt>
                <c:pt idx="34">
                  <c:v>Esi Boateng</c:v>
                </c:pt>
                <c:pt idx="35">
                  <c:v>Kojo Agyeman</c:v>
                </c:pt>
                <c:pt idx="36">
                  <c:v>Kwaku Asante</c:v>
                </c:pt>
                <c:pt idx="37">
                  <c:v>Ama Adjei</c:v>
                </c:pt>
                <c:pt idx="38">
                  <c:v>Fiifi Mensah</c:v>
                </c:pt>
                <c:pt idx="39">
                  <c:v>Kofi Darko</c:v>
                </c:pt>
                <c:pt idx="40">
                  <c:v>Adwoa Asante</c:v>
                </c:pt>
                <c:pt idx="41">
                  <c:v>Kweku Mensah</c:v>
                </c:pt>
                <c:pt idx="42">
                  <c:v>Nana Owusu</c:v>
                </c:pt>
                <c:pt idx="43">
                  <c:v>Kwesi Darko</c:v>
                </c:pt>
                <c:pt idx="44">
                  <c:v>Ama Owusu</c:v>
                </c:pt>
                <c:pt idx="45">
                  <c:v>Akua Appiah</c:v>
                </c:pt>
                <c:pt idx="46">
                  <c:v>Akosua Danso</c:v>
                </c:pt>
                <c:pt idx="47">
                  <c:v>Yaa Danso</c:v>
                </c:pt>
                <c:pt idx="48">
                  <c:v>Kofi Appiah</c:v>
                </c:pt>
                <c:pt idx="49">
                  <c:v>Kojo Darko</c:v>
                </c:pt>
                <c:pt idx="50">
                  <c:v>Esi Danso</c:v>
                </c:pt>
                <c:pt idx="51">
                  <c:v>Kwame Osei</c:v>
                </c:pt>
                <c:pt idx="52">
                  <c:v>Akosua Owusu</c:v>
                </c:pt>
                <c:pt idx="53">
                  <c:v>Afia Appiah</c:v>
                </c:pt>
                <c:pt idx="54">
                  <c:v>Yaw Mensah</c:v>
                </c:pt>
                <c:pt idx="55">
                  <c:v>Ama Mensah</c:v>
                </c:pt>
                <c:pt idx="56">
                  <c:v>Yaw Adjei</c:v>
                </c:pt>
                <c:pt idx="57">
                  <c:v>Efua Darko</c:v>
                </c:pt>
                <c:pt idx="58">
                  <c:v>Kwesi Osei</c:v>
                </c:pt>
                <c:pt idx="59">
                  <c:v>Efua Asante</c:v>
                </c:pt>
                <c:pt idx="60">
                  <c:v>Fiifi Owusu</c:v>
                </c:pt>
                <c:pt idx="61">
                  <c:v>Esi Owusu</c:v>
                </c:pt>
                <c:pt idx="62">
                  <c:v>Kojo Appiah</c:v>
                </c:pt>
                <c:pt idx="63">
                  <c:v>Kweku Agyeman</c:v>
                </c:pt>
                <c:pt idx="64">
                  <c:v>Nana Agyeman</c:v>
                </c:pt>
                <c:pt idx="65">
                  <c:v>Kojo Asante</c:v>
                </c:pt>
                <c:pt idx="66">
                  <c:v>Kofi Boateng</c:v>
                </c:pt>
                <c:pt idx="67">
                  <c:v>Akua Mensah</c:v>
                </c:pt>
                <c:pt idx="68">
                  <c:v>Kwesi Owusu</c:v>
                </c:pt>
                <c:pt idx="69">
                  <c:v>Kwame Mensah</c:v>
                </c:pt>
                <c:pt idx="70">
                  <c:v>Adwoa Osei</c:v>
                </c:pt>
                <c:pt idx="71">
                  <c:v>Fiifi Osei</c:v>
                </c:pt>
                <c:pt idx="72">
                  <c:v>Kwabena Owusu</c:v>
                </c:pt>
                <c:pt idx="73">
                  <c:v>Kofi Owusu</c:v>
                </c:pt>
                <c:pt idx="74">
                  <c:v>Esi Mensah</c:v>
                </c:pt>
                <c:pt idx="75">
                  <c:v>Kweku Adjei</c:v>
                </c:pt>
                <c:pt idx="76">
                  <c:v>Akosua Agyeman</c:v>
                </c:pt>
                <c:pt idx="77">
                  <c:v>Afia Adjei</c:v>
                </c:pt>
                <c:pt idx="78">
                  <c:v>Yaw Asante</c:v>
                </c:pt>
                <c:pt idx="79">
                  <c:v>Afia Mensah</c:v>
                </c:pt>
                <c:pt idx="80">
                  <c:v>Kwaku Darko</c:v>
                </c:pt>
                <c:pt idx="81">
                  <c:v>Kwabena Boateng</c:v>
                </c:pt>
                <c:pt idx="82">
                  <c:v>Esi Appiah</c:v>
                </c:pt>
                <c:pt idx="83">
                  <c:v>Abena Agyeman</c:v>
                </c:pt>
                <c:pt idx="84">
                  <c:v>Ama Darko</c:v>
                </c:pt>
                <c:pt idx="85">
                  <c:v>Yaa Owusu</c:v>
                </c:pt>
                <c:pt idx="86">
                  <c:v>Esi Agyeman</c:v>
                </c:pt>
                <c:pt idx="87">
                  <c:v>Esi Adjei</c:v>
                </c:pt>
                <c:pt idx="88">
                  <c:v>Kwabena Asante</c:v>
                </c:pt>
                <c:pt idx="89">
                  <c:v>Kweku Danso</c:v>
                </c:pt>
                <c:pt idx="90">
                  <c:v>Akosua Adjei</c:v>
                </c:pt>
                <c:pt idx="91">
                  <c:v>Kwame Danso</c:v>
                </c:pt>
                <c:pt idx="92">
                  <c:v>Kweku Darko</c:v>
                </c:pt>
                <c:pt idx="93">
                  <c:v>Yaw Darko</c:v>
                </c:pt>
                <c:pt idx="94">
                  <c:v>Adjoa Danso</c:v>
                </c:pt>
                <c:pt idx="95">
                  <c:v>Kwabena Appiah</c:v>
                </c:pt>
                <c:pt idx="96">
                  <c:v>Akosua Appiah</c:v>
                </c:pt>
                <c:pt idx="97">
                  <c:v>Yaw Boateng</c:v>
                </c:pt>
                <c:pt idx="98">
                  <c:v>Kojo Adjei</c:v>
                </c:pt>
                <c:pt idx="99">
                  <c:v>Efua Osei</c:v>
                </c:pt>
                <c:pt idx="100">
                  <c:v>Kwaku Mensah</c:v>
                </c:pt>
                <c:pt idx="101">
                  <c:v>Ama Appiah</c:v>
                </c:pt>
                <c:pt idx="102">
                  <c:v>Efua Appiah</c:v>
                </c:pt>
                <c:pt idx="103">
                  <c:v>Yaw Danso</c:v>
                </c:pt>
                <c:pt idx="104">
                  <c:v>Yaa Osei</c:v>
                </c:pt>
                <c:pt idx="105">
                  <c:v>Esi Darko</c:v>
                </c:pt>
                <c:pt idx="106">
                  <c:v>Akosua Asante</c:v>
                </c:pt>
                <c:pt idx="107">
                  <c:v>Akua Danso</c:v>
                </c:pt>
                <c:pt idx="108">
                  <c:v>Kofi Adjei</c:v>
                </c:pt>
                <c:pt idx="109">
                  <c:v>Efua Boateng</c:v>
                </c:pt>
                <c:pt idx="110">
                  <c:v>Yaw Agyeman</c:v>
                </c:pt>
                <c:pt idx="111">
                  <c:v>Kwame Adjei</c:v>
                </c:pt>
                <c:pt idx="112">
                  <c:v>Kweku Asante</c:v>
                </c:pt>
                <c:pt idx="113">
                  <c:v>Efua Owusu</c:v>
                </c:pt>
                <c:pt idx="114">
                  <c:v>Adjoa Appiah</c:v>
                </c:pt>
                <c:pt idx="115">
                  <c:v>Kwesi Appiah</c:v>
                </c:pt>
                <c:pt idx="116">
                  <c:v>Kwabena Adjei</c:v>
                </c:pt>
                <c:pt idx="117">
                  <c:v>Kwaku Agyeman</c:v>
                </c:pt>
                <c:pt idx="118">
                  <c:v>Kofi Asante</c:v>
                </c:pt>
                <c:pt idx="119">
                  <c:v>Abena Mensah</c:v>
                </c:pt>
                <c:pt idx="120">
                  <c:v>Kwesi Adjei</c:v>
                </c:pt>
                <c:pt idx="121">
                  <c:v>Afia Osei</c:v>
                </c:pt>
                <c:pt idx="122">
                  <c:v>Kwabena Osei</c:v>
                </c:pt>
                <c:pt idx="123">
                  <c:v>Yaw Osei</c:v>
                </c:pt>
                <c:pt idx="124">
                  <c:v>Kwesi Danso</c:v>
                </c:pt>
                <c:pt idx="125">
                  <c:v>Adwoa Mensah</c:v>
                </c:pt>
                <c:pt idx="126">
                  <c:v>Akua Agyeman</c:v>
                </c:pt>
                <c:pt idx="127">
                  <c:v>Ama Danso</c:v>
                </c:pt>
                <c:pt idx="128">
                  <c:v>Akua Adjei</c:v>
                </c:pt>
                <c:pt idx="129">
                  <c:v>Afia Asante</c:v>
                </c:pt>
                <c:pt idx="130">
                  <c:v>Adwoa Adjei</c:v>
                </c:pt>
                <c:pt idx="131">
                  <c:v>Kwaku Appiah</c:v>
                </c:pt>
                <c:pt idx="132">
                  <c:v>Kojo Owusu</c:v>
                </c:pt>
                <c:pt idx="133">
                  <c:v>Kweku Owusu</c:v>
                </c:pt>
                <c:pt idx="134">
                  <c:v>Kwame Asante</c:v>
                </c:pt>
                <c:pt idx="135">
                  <c:v>Akua Asante</c:v>
                </c:pt>
                <c:pt idx="136">
                  <c:v>Abena Osei</c:v>
                </c:pt>
                <c:pt idx="137">
                  <c:v>Afia Danso</c:v>
                </c:pt>
                <c:pt idx="138">
                  <c:v>Kwabena Agyeman</c:v>
                </c:pt>
                <c:pt idx="139">
                  <c:v>Ama Boateng</c:v>
                </c:pt>
                <c:pt idx="140">
                  <c:v>Akosua Mensah</c:v>
                </c:pt>
                <c:pt idx="141">
                  <c:v>Nana Adjei</c:v>
                </c:pt>
                <c:pt idx="142">
                  <c:v>Adwoa Owusu</c:v>
                </c:pt>
                <c:pt idx="143">
                  <c:v>Yaa Boateng</c:v>
                </c:pt>
                <c:pt idx="144">
                  <c:v>Efua Danso</c:v>
                </c:pt>
                <c:pt idx="145">
                  <c:v>Yaa Asante</c:v>
                </c:pt>
                <c:pt idx="146">
                  <c:v>Nana Appiah</c:v>
                </c:pt>
                <c:pt idx="147">
                  <c:v>Yaa Appiah</c:v>
                </c:pt>
                <c:pt idx="148">
                  <c:v>Kweku Boateng</c:v>
                </c:pt>
                <c:pt idx="149">
                  <c:v>Fiifi Darko</c:v>
                </c:pt>
                <c:pt idx="150">
                  <c:v>Adjoa Mensah</c:v>
                </c:pt>
                <c:pt idx="151">
                  <c:v>Afia Agyeman</c:v>
                </c:pt>
                <c:pt idx="152">
                  <c:v>Abena Owusu</c:v>
                </c:pt>
                <c:pt idx="153">
                  <c:v>Abena Boateng</c:v>
                </c:pt>
                <c:pt idx="154">
                  <c:v>Adjoa Owusu</c:v>
                </c:pt>
                <c:pt idx="155">
                  <c:v>Kwesi Asante</c:v>
                </c:pt>
                <c:pt idx="156">
                  <c:v>Abena Appiah</c:v>
                </c:pt>
                <c:pt idx="157">
                  <c:v>Adwoa Appiah</c:v>
                </c:pt>
                <c:pt idx="158">
                  <c:v>Fiifi Asante</c:v>
                </c:pt>
                <c:pt idx="159">
                  <c:v>Nana Boateng</c:v>
                </c:pt>
                <c:pt idx="160">
                  <c:v>Adjoa Adjei</c:v>
                </c:pt>
                <c:pt idx="161">
                  <c:v>Fiifi Appiah</c:v>
                </c:pt>
                <c:pt idx="162">
                  <c:v>Kojo Mensah</c:v>
                </c:pt>
                <c:pt idx="163">
                  <c:v>Nana Danso</c:v>
                </c:pt>
                <c:pt idx="164">
                  <c:v>Akua Boateng</c:v>
                </c:pt>
                <c:pt idx="165">
                  <c:v>Kwaku Owusu</c:v>
                </c:pt>
                <c:pt idx="166">
                  <c:v>Kofi Osei</c:v>
                </c:pt>
                <c:pt idx="167">
                  <c:v>Efua Agyeman</c:v>
                </c:pt>
                <c:pt idx="168">
                  <c:v>Ama Agyeman</c:v>
                </c:pt>
                <c:pt idx="169">
                  <c:v>Akua Owusu</c:v>
                </c:pt>
                <c:pt idx="170">
                  <c:v>Abena Asante</c:v>
                </c:pt>
                <c:pt idx="171">
                  <c:v>Akosua Boateng</c:v>
                </c:pt>
                <c:pt idx="172">
                  <c:v>Nana Mensah</c:v>
                </c:pt>
                <c:pt idx="173">
                  <c:v>Kofi Mensah</c:v>
                </c:pt>
                <c:pt idx="174">
                  <c:v>Adwoa Agyeman</c:v>
                </c:pt>
                <c:pt idx="175">
                  <c:v>Adwoa Boateng</c:v>
                </c:pt>
                <c:pt idx="176">
                  <c:v>Efua Adjei</c:v>
                </c:pt>
                <c:pt idx="177">
                  <c:v>Kwame Owusu</c:v>
                </c:pt>
                <c:pt idx="178">
                  <c:v>Kwesi Mensah</c:v>
                </c:pt>
                <c:pt idx="179">
                  <c:v>Afia Darko</c:v>
                </c:pt>
                <c:pt idx="180">
                  <c:v>Kwesi Agyeman</c:v>
                </c:pt>
                <c:pt idx="181">
                  <c:v>Kwabena Darko</c:v>
                </c:pt>
                <c:pt idx="182">
                  <c:v>Yaa Mensah</c:v>
                </c:pt>
                <c:pt idx="183">
                  <c:v>Fiifi Boateng</c:v>
                </c:pt>
                <c:pt idx="184">
                  <c:v>Kwame Boateng</c:v>
                </c:pt>
                <c:pt idx="185">
                  <c:v>Ama Osei</c:v>
                </c:pt>
                <c:pt idx="186">
                  <c:v>Fiifi Danso</c:v>
                </c:pt>
                <c:pt idx="187">
                  <c:v>Afia Boateng</c:v>
                </c:pt>
                <c:pt idx="188">
                  <c:v>Kofi Danso</c:v>
                </c:pt>
                <c:pt idx="189">
                  <c:v>Yaw Appiah</c:v>
                </c:pt>
                <c:pt idx="190">
                  <c:v>Akosua Osei</c:v>
                </c:pt>
                <c:pt idx="191">
                  <c:v>Kwaku Adjei</c:v>
                </c:pt>
                <c:pt idx="192">
                  <c:v>Kwabena Danso</c:v>
                </c:pt>
                <c:pt idx="193">
                  <c:v>Kwabena Mensah</c:v>
                </c:pt>
                <c:pt idx="194">
                  <c:v>Adjoa Boateng</c:v>
                </c:pt>
                <c:pt idx="195">
                  <c:v>Abena Adjei</c:v>
                </c:pt>
                <c:pt idx="196">
                  <c:v>Yaa Darko</c:v>
                </c:pt>
                <c:pt idx="197">
                  <c:v>Kojo Danso</c:v>
                </c:pt>
                <c:pt idx="198">
                  <c:v>Nana Osei</c:v>
                </c:pt>
                <c:pt idx="199">
                  <c:v>Adjoa Darko</c:v>
                </c:pt>
                <c:pt idx="200">
                  <c:v>Kwame Agyeman</c:v>
                </c:pt>
              </c:strCache>
            </c:strRef>
          </c:cat>
          <c:val>
            <c:numRef>
              <c:f>Pivot_TopCustomers!$B$4:$B$205</c:f>
              <c:numCache>
                <c:formatCode>General</c:formatCode>
                <c:ptCount val="201"/>
                <c:pt idx="0">
                  <c:v>19403.86</c:v>
                </c:pt>
                <c:pt idx="1">
                  <c:v>17184.709999999995</c:v>
                </c:pt>
                <c:pt idx="2">
                  <c:v>16878.380000000005</c:v>
                </c:pt>
                <c:pt idx="3">
                  <c:v>15132.619999999999</c:v>
                </c:pt>
                <c:pt idx="4">
                  <c:v>13887.010000000002</c:v>
                </c:pt>
                <c:pt idx="5">
                  <c:v>13687.64</c:v>
                </c:pt>
                <c:pt idx="6">
                  <c:v>13601.400000000001</c:v>
                </c:pt>
                <c:pt idx="7">
                  <c:v>13471.089999999998</c:v>
                </c:pt>
                <c:pt idx="8">
                  <c:v>13009.28</c:v>
                </c:pt>
                <c:pt idx="9">
                  <c:v>12701.03</c:v>
                </c:pt>
                <c:pt idx="10">
                  <c:v>12676.36</c:v>
                </c:pt>
                <c:pt idx="11">
                  <c:v>12425.210000000001</c:v>
                </c:pt>
                <c:pt idx="12">
                  <c:v>12365.31</c:v>
                </c:pt>
                <c:pt idx="13">
                  <c:v>12312.720000000001</c:v>
                </c:pt>
                <c:pt idx="14">
                  <c:v>12253.05</c:v>
                </c:pt>
                <c:pt idx="15">
                  <c:v>12120.060000000001</c:v>
                </c:pt>
                <c:pt idx="16">
                  <c:v>12054.579999999998</c:v>
                </c:pt>
                <c:pt idx="17">
                  <c:v>11972.539999999999</c:v>
                </c:pt>
                <c:pt idx="18">
                  <c:v>11932.54</c:v>
                </c:pt>
                <c:pt idx="19">
                  <c:v>11839.25</c:v>
                </c:pt>
                <c:pt idx="20">
                  <c:v>11575.269999999999</c:v>
                </c:pt>
                <c:pt idx="21">
                  <c:v>11478.130000000003</c:v>
                </c:pt>
                <c:pt idx="22">
                  <c:v>11440.039999999999</c:v>
                </c:pt>
                <c:pt idx="23">
                  <c:v>11428.400000000001</c:v>
                </c:pt>
                <c:pt idx="24">
                  <c:v>11425.179999999998</c:v>
                </c:pt>
                <c:pt idx="25">
                  <c:v>11401.239999999998</c:v>
                </c:pt>
                <c:pt idx="26">
                  <c:v>11205.27</c:v>
                </c:pt>
                <c:pt idx="27">
                  <c:v>11164.35</c:v>
                </c:pt>
                <c:pt idx="28">
                  <c:v>11025.01</c:v>
                </c:pt>
                <c:pt idx="29">
                  <c:v>10996.77</c:v>
                </c:pt>
                <c:pt idx="30">
                  <c:v>10784.530000000002</c:v>
                </c:pt>
                <c:pt idx="31">
                  <c:v>10660.800000000001</c:v>
                </c:pt>
                <c:pt idx="32">
                  <c:v>10592.67</c:v>
                </c:pt>
                <c:pt idx="33">
                  <c:v>10253.209999999999</c:v>
                </c:pt>
                <c:pt idx="34">
                  <c:v>10156.33</c:v>
                </c:pt>
                <c:pt idx="35">
                  <c:v>10142.68</c:v>
                </c:pt>
                <c:pt idx="36">
                  <c:v>10093.25</c:v>
                </c:pt>
                <c:pt idx="37">
                  <c:v>9831.18</c:v>
                </c:pt>
                <c:pt idx="38">
                  <c:v>9803.0800000000017</c:v>
                </c:pt>
                <c:pt idx="39">
                  <c:v>9792.1299999999992</c:v>
                </c:pt>
                <c:pt idx="40">
                  <c:v>9768.4799999999977</c:v>
                </c:pt>
                <c:pt idx="41">
                  <c:v>9724.3599999999988</c:v>
                </c:pt>
                <c:pt idx="42">
                  <c:v>9664.3799999999992</c:v>
                </c:pt>
                <c:pt idx="43">
                  <c:v>9581.34</c:v>
                </c:pt>
                <c:pt idx="44">
                  <c:v>9544.27</c:v>
                </c:pt>
                <c:pt idx="45">
                  <c:v>9540.91</c:v>
                </c:pt>
                <c:pt idx="46">
                  <c:v>9432.99</c:v>
                </c:pt>
                <c:pt idx="47">
                  <c:v>9422.9</c:v>
                </c:pt>
                <c:pt idx="48">
                  <c:v>9391.2900000000009</c:v>
                </c:pt>
                <c:pt idx="49">
                  <c:v>9380.0200000000023</c:v>
                </c:pt>
                <c:pt idx="50">
                  <c:v>9351.2199999999993</c:v>
                </c:pt>
                <c:pt idx="51">
                  <c:v>9202.15</c:v>
                </c:pt>
                <c:pt idx="52">
                  <c:v>9111.11</c:v>
                </c:pt>
                <c:pt idx="53">
                  <c:v>8876.5299999999988</c:v>
                </c:pt>
                <c:pt idx="54">
                  <c:v>8838.4500000000007</c:v>
                </c:pt>
                <c:pt idx="55">
                  <c:v>8821.86</c:v>
                </c:pt>
                <c:pt idx="56">
                  <c:v>8772.1999999999989</c:v>
                </c:pt>
                <c:pt idx="57">
                  <c:v>8754.35</c:v>
                </c:pt>
                <c:pt idx="58">
                  <c:v>8674.2100000000009</c:v>
                </c:pt>
                <c:pt idx="59">
                  <c:v>8638.81</c:v>
                </c:pt>
                <c:pt idx="60">
                  <c:v>8618.3500000000022</c:v>
                </c:pt>
                <c:pt idx="61">
                  <c:v>8462.08</c:v>
                </c:pt>
                <c:pt idx="62">
                  <c:v>8400.41</c:v>
                </c:pt>
                <c:pt idx="63">
                  <c:v>8361.4100000000017</c:v>
                </c:pt>
                <c:pt idx="64">
                  <c:v>8359.23</c:v>
                </c:pt>
                <c:pt idx="65">
                  <c:v>8304.1299999999992</c:v>
                </c:pt>
                <c:pt idx="66">
                  <c:v>8251.33</c:v>
                </c:pt>
                <c:pt idx="67">
                  <c:v>8251.33</c:v>
                </c:pt>
                <c:pt idx="68">
                  <c:v>8209.9699999999993</c:v>
                </c:pt>
                <c:pt idx="69">
                  <c:v>8196.4399999999987</c:v>
                </c:pt>
                <c:pt idx="70">
                  <c:v>8099.69</c:v>
                </c:pt>
                <c:pt idx="71">
                  <c:v>8087.82</c:v>
                </c:pt>
                <c:pt idx="72">
                  <c:v>8077.1799999999994</c:v>
                </c:pt>
                <c:pt idx="73">
                  <c:v>8022.91</c:v>
                </c:pt>
                <c:pt idx="74">
                  <c:v>8012.3599999999988</c:v>
                </c:pt>
                <c:pt idx="75">
                  <c:v>7997.07</c:v>
                </c:pt>
                <c:pt idx="76">
                  <c:v>7924.82</c:v>
                </c:pt>
                <c:pt idx="77">
                  <c:v>7892.06</c:v>
                </c:pt>
                <c:pt idx="78">
                  <c:v>7803.29</c:v>
                </c:pt>
                <c:pt idx="79">
                  <c:v>7783.7599999999993</c:v>
                </c:pt>
                <c:pt idx="80">
                  <c:v>7702.89</c:v>
                </c:pt>
                <c:pt idx="81">
                  <c:v>7644.0499999999984</c:v>
                </c:pt>
                <c:pt idx="82">
                  <c:v>7629.09</c:v>
                </c:pt>
                <c:pt idx="83">
                  <c:v>7574.4700000000012</c:v>
                </c:pt>
                <c:pt idx="84">
                  <c:v>7505.55</c:v>
                </c:pt>
                <c:pt idx="85">
                  <c:v>7503.3</c:v>
                </c:pt>
                <c:pt idx="86">
                  <c:v>7391.9000000000015</c:v>
                </c:pt>
                <c:pt idx="87">
                  <c:v>7338.85</c:v>
                </c:pt>
                <c:pt idx="88">
                  <c:v>7320.4600000000009</c:v>
                </c:pt>
                <c:pt idx="89">
                  <c:v>7319.96</c:v>
                </c:pt>
                <c:pt idx="90">
                  <c:v>7224.39</c:v>
                </c:pt>
                <c:pt idx="91">
                  <c:v>7213.24</c:v>
                </c:pt>
                <c:pt idx="92">
                  <c:v>7210.48</c:v>
                </c:pt>
                <c:pt idx="93">
                  <c:v>7162.28</c:v>
                </c:pt>
                <c:pt idx="94">
                  <c:v>7158.62</c:v>
                </c:pt>
                <c:pt idx="95">
                  <c:v>7135.329999999999</c:v>
                </c:pt>
                <c:pt idx="96">
                  <c:v>7124.4</c:v>
                </c:pt>
                <c:pt idx="97">
                  <c:v>7096.1399999999994</c:v>
                </c:pt>
                <c:pt idx="98">
                  <c:v>7081.4700000000012</c:v>
                </c:pt>
                <c:pt idx="99">
                  <c:v>7068.2699999999995</c:v>
                </c:pt>
                <c:pt idx="100">
                  <c:v>6993.3300000000008</c:v>
                </c:pt>
                <c:pt idx="101">
                  <c:v>6849.79</c:v>
                </c:pt>
                <c:pt idx="102">
                  <c:v>6847.38</c:v>
                </c:pt>
                <c:pt idx="103">
                  <c:v>6834.1799999999994</c:v>
                </c:pt>
                <c:pt idx="104">
                  <c:v>6830.83</c:v>
                </c:pt>
                <c:pt idx="105">
                  <c:v>6822.16</c:v>
                </c:pt>
                <c:pt idx="106">
                  <c:v>6790.71</c:v>
                </c:pt>
                <c:pt idx="107">
                  <c:v>6780.84</c:v>
                </c:pt>
                <c:pt idx="108">
                  <c:v>6759.0599999999986</c:v>
                </c:pt>
                <c:pt idx="109">
                  <c:v>6611.2000000000007</c:v>
                </c:pt>
                <c:pt idx="110">
                  <c:v>6589.8</c:v>
                </c:pt>
                <c:pt idx="111">
                  <c:v>6543.14</c:v>
                </c:pt>
                <c:pt idx="112">
                  <c:v>6531.2100000000009</c:v>
                </c:pt>
                <c:pt idx="113">
                  <c:v>6468.81</c:v>
                </c:pt>
                <c:pt idx="114">
                  <c:v>6463.5599999999995</c:v>
                </c:pt>
                <c:pt idx="115">
                  <c:v>6420.34</c:v>
                </c:pt>
                <c:pt idx="116">
                  <c:v>6388.57</c:v>
                </c:pt>
                <c:pt idx="117">
                  <c:v>6325.8900000000012</c:v>
                </c:pt>
                <c:pt idx="118">
                  <c:v>6298.7000000000007</c:v>
                </c:pt>
                <c:pt idx="119">
                  <c:v>6242.98</c:v>
                </c:pt>
                <c:pt idx="120">
                  <c:v>6228.2599999999993</c:v>
                </c:pt>
                <c:pt idx="121">
                  <c:v>6193.6900000000005</c:v>
                </c:pt>
                <c:pt idx="122">
                  <c:v>6166.9</c:v>
                </c:pt>
                <c:pt idx="123">
                  <c:v>6150.5899999999992</c:v>
                </c:pt>
                <c:pt idx="124">
                  <c:v>6130.68</c:v>
                </c:pt>
                <c:pt idx="125">
                  <c:v>6124.6400000000012</c:v>
                </c:pt>
                <c:pt idx="126">
                  <c:v>6099.8</c:v>
                </c:pt>
                <c:pt idx="127">
                  <c:v>6085.26</c:v>
                </c:pt>
                <c:pt idx="128">
                  <c:v>6083.26</c:v>
                </c:pt>
                <c:pt idx="129">
                  <c:v>6077.94</c:v>
                </c:pt>
                <c:pt idx="130">
                  <c:v>6071.25</c:v>
                </c:pt>
                <c:pt idx="131">
                  <c:v>5999</c:v>
                </c:pt>
                <c:pt idx="132">
                  <c:v>5912.46</c:v>
                </c:pt>
                <c:pt idx="133">
                  <c:v>5898.4899999999989</c:v>
                </c:pt>
                <c:pt idx="134">
                  <c:v>5892.78</c:v>
                </c:pt>
                <c:pt idx="135">
                  <c:v>5888.64</c:v>
                </c:pt>
                <c:pt idx="136">
                  <c:v>5706.3</c:v>
                </c:pt>
                <c:pt idx="137">
                  <c:v>5659.66</c:v>
                </c:pt>
                <c:pt idx="138">
                  <c:v>5586.74</c:v>
                </c:pt>
                <c:pt idx="139">
                  <c:v>5562.27</c:v>
                </c:pt>
                <c:pt idx="140">
                  <c:v>5546.7199999999993</c:v>
                </c:pt>
                <c:pt idx="141">
                  <c:v>5508.8899999999994</c:v>
                </c:pt>
                <c:pt idx="142">
                  <c:v>5496.19</c:v>
                </c:pt>
                <c:pt idx="143">
                  <c:v>5440.25</c:v>
                </c:pt>
                <c:pt idx="144">
                  <c:v>5412.07</c:v>
                </c:pt>
                <c:pt idx="145">
                  <c:v>5265.4500000000007</c:v>
                </c:pt>
                <c:pt idx="146">
                  <c:v>5219.8600000000006</c:v>
                </c:pt>
                <c:pt idx="147">
                  <c:v>5207.91</c:v>
                </c:pt>
                <c:pt idx="148">
                  <c:v>5096.0399999999991</c:v>
                </c:pt>
                <c:pt idx="149">
                  <c:v>5063.78</c:v>
                </c:pt>
                <c:pt idx="150">
                  <c:v>5021.8</c:v>
                </c:pt>
                <c:pt idx="151">
                  <c:v>4984.42</c:v>
                </c:pt>
                <c:pt idx="152">
                  <c:v>4784.1899999999996</c:v>
                </c:pt>
                <c:pt idx="153">
                  <c:v>4722.7800000000007</c:v>
                </c:pt>
                <c:pt idx="154">
                  <c:v>4691.7700000000004</c:v>
                </c:pt>
                <c:pt idx="155">
                  <c:v>4686.03</c:v>
                </c:pt>
                <c:pt idx="156">
                  <c:v>4685.4400000000005</c:v>
                </c:pt>
                <c:pt idx="157">
                  <c:v>4627.9100000000008</c:v>
                </c:pt>
                <c:pt idx="158">
                  <c:v>4612.2</c:v>
                </c:pt>
                <c:pt idx="159">
                  <c:v>4607.62</c:v>
                </c:pt>
                <c:pt idx="160">
                  <c:v>4575.7000000000007</c:v>
                </c:pt>
                <c:pt idx="161">
                  <c:v>4561.5499999999993</c:v>
                </c:pt>
                <c:pt idx="162">
                  <c:v>4561.1799999999994</c:v>
                </c:pt>
                <c:pt idx="163">
                  <c:v>4545.87</c:v>
                </c:pt>
                <c:pt idx="164">
                  <c:v>4544.6200000000008</c:v>
                </c:pt>
                <c:pt idx="165">
                  <c:v>4460.2</c:v>
                </c:pt>
                <c:pt idx="166">
                  <c:v>4234</c:v>
                </c:pt>
                <c:pt idx="167">
                  <c:v>4194.59</c:v>
                </c:pt>
                <c:pt idx="168">
                  <c:v>4168.6499999999996</c:v>
                </c:pt>
                <c:pt idx="169">
                  <c:v>4126.68</c:v>
                </c:pt>
                <c:pt idx="170">
                  <c:v>4116.5400000000009</c:v>
                </c:pt>
                <c:pt idx="171">
                  <c:v>4109.4499999999989</c:v>
                </c:pt>
                <c:pt idx="172">
                  <c:v>4073.9900000000002</c:v>
                </c:pt>
                <c:pt idx="173">
                  <c:v>4058.29</c:v>
                </c:pt>
                <c:pt idx="174">
                  <c:v>3994.9</c:v>
                </c:pt>
                <c:pt idx="175">
                  <c:v>3745.0300000000007</c:v>
                </c:pt>
                <c:pt idx="176">
                  <c:v>3737.71</c:v>
                </c:pt>
                <c:pt idx="177">
                  <c:v>3688.7299999999996</c:v>
                </c:pt>
                <c:pt idx="178">
                  <c:v>3648.44</c:v>
                </c:pt>
                <c:pt idx="179">
                  <c:v>3619.3199999999997</c:v>
                </c:pt>
                <c:pt idx="180">
                  <c:v>3531.3599999999997</c:v>
                </c:pt>
                <c:pt idx="181">
                  <c:v>3429.56</c:v>
                </c:pt>
                <c:pt idx="182">
                  <c:v>3388.1400000000003</c:v>
                </c:pt>
                <c:pt idx="183">
                  <c:v>3142.95</c:v>
                </c:pt>
                <c:pt idx="184">
                  <c:v>3109.9500000000003</c:v>
                </c:pt>
                <c:pt idx="185">
                  <c:v>3106.32</c:v>
                </c:pt>
                <c:pt idx="186">
                  <c:v>3045.05</c:v>
                </c:pt>
                <c:pt idx="187">
                  <c:v>2933.49</c:v>
                </c:pt>
                <c:pt idx="188">
                  <c:v>2930.9399999999996</c:v>
                </c:pt>
                <c:pt idx="189">
                  <c:v>2908.52</c:v>
                </c:pt>
                <c:pt idx="190">
                  <c:v>2877.3</c:v>
                </c:pt>
                <c:pt idx="191">
                  <c:v>2850.72</c:v>
                </c:pt>
                <c:pt idx="192">
                  <c:v>2737.8799999999997</c:v>
                </c:pt>
                <c:pt idx="193">
                  <c:v>2359.37</c:v>
                </c:pt>
                <c:pt idx="194">
                  <c:v>2284.11</c:v>
                </c:pt>
                <c:pt idx="195">
                  <c:v>2272.11</c:v>
                </c:pt>
                <c:pt idx="196">
                  <c:v>1916.71</c:v>
                </c:pt>
                <c:pt idx="197">
                  <c:v>1785.1999999999998</c:v>
                </c:pt>
                <c:pt idx="198">
                  <c:v>1649.44</c:v>
                </c:pt>
                <c:pt idx="199">
                  <c:v>1162.98</c:v>
                </c:pt>
                <c:pt idx="200">
                  <c:v>721.87</c:v>
                </c:pt>
              </c:numCache>
            </c:numRef>
          </c:val>
          <c:extLst>
            <c:ext xmlns:c16="http://schemas.microsoft.com/office/drawing/2014/chart" uri="{C3380CC4-5D6E-409C-BE32-E72D297353CC}">
              <c16:uniqueId val="{00000000-8033-4A1F-9FEF-ED38BD6D0FB8}"/>
            </c:ext>
          </c:extLst>
        </c:ser>
        <c:dLbls>
          <c:showLegendKey val="0"/>
          <c:showVal val="0"/>
          <c:showCatName val="0"/>
          <c:showSerName val="0"/>
          <c:showPercent val="0"/>
          <c:showBubbleSize val="0"/>
        </c:dLbls>
        <c:gapWidth val="182"/>
        <c:axId val="620419960"/>
        <c:axId val="620425360"/>
      </c:barChart>
      <c:catAx>
        <c:axId val="620419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25360"/>
        <c:crosses val="autoZero"/>
        <c:auto val="1"/>
        <c:lblAlgn val="ctr"/>
        <c:lblOffset val="100"/>
        <c:noMultiLvlLbl val="0"/>
      </c:catAx>
      <c:valAx>
        <c:axId val="62042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419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215900</xdr:colOff>
      <xdr:row>12</xdr:row>
      <xdr:rowOff>177800</xdr:rowOff>
    </xdr:from>
    <xdr:to>
      <xdr:col>9</xdr:col>
      <xdr:colOff>533400</xdr:colOff>
      <xdr:row>27</xdr:row>
      <xdr:rowOff>177800</xdr:rowOff>
    </xdr:to>
    <xdr:graphicFrame macro="">
      <xdr:nvGraphicFramePr>
        <xdr:cNvPr id="2" name="Regions">
          <a:extLst>
            <a:ext uri="{FF2B5EF4-FFF2-40B4-BE49-F238E27FC236}">
              <a16:creationId xmlns:a16="http://schemas.microsoft.com/office/drawing/2014/main" id="{E05EA305-A731-49A8-97CA-22E40C1CC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539750</xdr:colOff>
      <xdr:row>12</xdr:row>
      <xdr:rowOff>177800</xdr:rowOff>
    </xdr:from>
    <xdr:to>
      <xdr:col>17</xdr:col>
      <xdr:colOff>520700</xdr:colOff>
      <xdr:row>27</xdr:row>
      <xdr:rowOff>177800</xdr:rowOff>
    </xdr:to>
    <xdr:graphicFrame macro="">
      <xdr:nvGraphicFramePr>
        <xdr:cNvPr id="3" name="Category">
          <a:extLst>
            <a:ext uri="{FF2B5EF4-FFF2-40B4-BE49-F238E27FC236}">
              <a16:creationId xmlns:a16="http://schemas.microsoft.com/office/drawing/2014/main" id="{82C8F18B-178E-462E-8AFE-9A8508F59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215900</xdr:colOff>
      <xdr:row>27</xdr:row>
      <xdr:rowOff>177800</xdr:rowOff>
    </xdr:from>
    <xdr:to>
      <xdr:col>9</xdr:col>
      <xdr:colOff>533400</xdr:colOff>
      <xdr:row>43</xdr:row>
      <xdr:rowOff>165100</xdr:rowOff>
    </xdr:to>
    <xdr:graphicFrame macro="">
      <xdr:nvGraphicFramePr>
        <xdr:cNvPr id="4" name="Monthly Sales Trend">
          <a:extLst>
            <a:ext uri="{FF2B5EF4-FFF2-40B4-BE49-F238E27FC236}">
              <a16:creationId xmlns:a16="http://schemas.microsoft.com/office/drawing/2014/main" id="{86CC4E0F-0EDB-4A53-A440-C5980AFDD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539750</xdr:colOff>
      <xdr:row>28</xdr:row>
      <xdr:rowOff>6350</xdr:rowOff>
    </xdr:from>
    <xdr:to>
      <xdr:col>17</xdr:col>
      <xdr:colOff>539750</xdr:colOff>
      <xdr:row>43</xdr:row>
      <xdr:rowOff>171450</xdr:rowOff>
    </xdr:to>
    <xdr:graphicFrame macro="">
      <xdr:nvGraphicFramePr>
        <xdr:cNvPr id="5" name="Top Customers">
          <a:extLst>
            <a:ext uri="{FF2B5EF4-FFF2-40B4-BE49-F238E27FC236}">
              <a16:creationId xmlns:a16="http://schemas.microsoft.com/office/drawing/2014/main" id="{1C84AAFC-172E-4E8A-941E-5B8F3371D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215900</xdr:colOff>
      <xdr:row>6</xdr:row>
      <xdr:rowOff>177800</xdr:rowOff>
    </xdr:from>
    <xdr:to>
      <xdr:col>5</xdr:col>
      <xdr:colOff>365125</xdr:colOff>
      <xdr:row>12</xdr:row>
      <xdr:rowOff>165100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382B08E-BC41-406E-A2B3-E4397EBDB9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44700" y="1492250"/>
              <a:ext cx="2762250" cy="109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86094</xdr:colOff>
      <xdr:row>6</xdr:row>
      <xdr:rowOff>162443</xdr:rowOff>
    </xdr:from>
    <xdr:to>
      <xdr:col>8</xdr:col>
      <xdr:colOff>555108</xdr:colOff>
      <xdr:row>12</xdr:row>
      <xdr:rowOff>156683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5F7FD9C-81D7-4021-AB7E-8B0704946E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60261" y="1432443"/>
              <a:ext cx="2338736" cy="1052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139700</xdr:colOff>
      <xdr:row>7</xdr:row>
      <xdr:rowOff>0</xdr:rowOff>
    </xdr:from>
    <xdr:to>
      <xdr:col>12</xdr:col>
      <xdr:colOff>364017</xdr:colOff>
      <xdr:row>12</xdr:row>
      <xdr:rowOff>158750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9ED69DF2-B5DE-4488-8662-94E228E0A91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226300" y="1498600"/>
              <a:ext cx="3333750" cy="1079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63500</xdr:colOff>
      <xdr:row>0</xdr:row>
      <xdr:rowOff>38100</xdr:rowOff>
    </xdr:from>
    <xdr:to>
      <xdr:col>9</xdr:col>
      <xdr:colOff>1111250</xdr:colOff>
      <xdr:row>3</xdr:row>
      <xdr:rowOff>0</xdr:rowOff>
    </xdr:to>
    <xdr:sp macro="" textlink="">
      <xdr:nvSpPr>
        <xdr:cNvPr id="9" name="TextBox 8">
          <a:extLst>
            <a:ext uri="{FF2B5EF4-FFF2-40B4-BE49-F238E27FC236}">
              <a16:creationId xmlns:a16="http://schemas.microsoft.com/office/drawing/2014/main" id="{102D9B00-3A1F-9163-758B-33B717EBC50E}"/>
            </a:ext>
          </a:extLst>
        </xdr:cNvPr>
        <xdr:cNvSpPr txBox="1"/>
      </xdr:nvSpPr>
      <xdr:spPr>
        <a:xfrm>
          <a:off x="5003800" y="38100"/>
          <a:ext cx="3194050"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0" i="0">
              <a:solidFill>
                <a:schemeClr val="dk1"/>
              </a:solidFill>
              <a:effectLst/>
              <a:latin typeface="Times New Roman" panose="02020603050405020304" pitchFamily="18" charset="0"/>
              <a:ea typeface="+mn-ea"/>
              <a:cs typeface="Times New Roman" panose="02020603050405020304" pitchFamily="18" charset="0"/>
            </a:rPr>
            <a:t>Retail Sales Dashboard </a:t>
          </a:r>
          <a:endParaRPr lang="en-US" sz="2500">
            <a:latin typeface="Times New Roman" panose="02020603050405020304" pitchFamily="18" charset="0"/>
            <a:cs typeface="Times New Roman" panose="02020603050405020304" pitchFamily="18" charset="0"/>
          </a:endParaRPr>
        </a:p>
      </xdr:txBody>
    </xdr:sp>
    <xdr:clientData/>
  </xdr:twoCellAnchor>
  <xdr:twoCellAnchor>
    <xdr:from>
      <xdr:col>18</xdr:col>
      <xdr:colOff>413488</xdr:colOff>
      <xdr:row>17</xdr:row>
      <xdr:rowOff>185853</xdr:rowOff>
    </xdr:from>
    <xdr:to>
      <xdr:col>24</xdr:col>
      <xdr:colOff>531628</xdr:colOff>
      <xdr:row>33</xdr:row>
      <xdr:rowOff>108413</xdr:rowOff>
    </xdr:to>
    <xdr:sp macro="" textlink="">
      <xdr:nvSpPr>
        <xdr:cNvPr id="10" name="TextBox 9">
          <a:extLst>
            <a:ext uri="{FF2B5EF4-FFF2-40B4-BE49-F238E27FC236}">
              <a16:creationId xmlns:a16="http://schemas.microsoft.com/office/drawing/2014/main" id="{8F61718A-FC74-91D1-E4A8-B329E723C9EE}"/>
            </a:ext>
          </a:extLst>
        </xdr:cNvPr>
        <xdr:cNvSpPr txBox="1"/>
      </xdr:nvSpPr>
      <xdr:spPr>
        <a:xfrm>
          <a:off x="14574504" y="3551869"/>
          <a:ext cx="3773262" cy="2896219"/>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South region generated the highest total sales, exceeding West the next</a:t>
          </a:r>
          <a:r>
            <a:rPr lang="en-US" sz="1200" baseline="0"/>
            <a:t> </a:t>
          </a:r>
          <a:r>
            <a:rPr lang="en-US" sz="1200"/>
            <a:t>highest by $15128.98. Beauty led in total revenue ($312,067.55) and order volume(385), while Fashion had the highest average order value ($845.47 vs. Beauty's $810.57), suggesting different opportunities: Beauty drives volume, Fashion drives spend-per-order. Monthly sales fluctuated, dipping in January, May, and September, with recoveries between and a modest rise through year-end. Fiifi Adjei was the top identified spender; the second-highest total came from orders with missing customer names, retained as "Unknown Customer" during cleaning since the revenue itself was real. Marketing may be best focused on Beauty for overall volume, Fashion for upsell/bundling strategies, and the East region for targeted growth given its comparatively lower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efreshedDate="46283.596764236114" createdVersion="8" refreshedVersion="8" minRefreshableVersion="3" recordCount="1807" xr:uid="{F56B5F3B-7447-4115-A35C-56C49716DDC4}">
  <cacheSource type="worksheet">
    <worksheetSource name="SalesData"/>
  </cacheSource>
  <cacheFields count="16">
    <cacheField name="OrderID" numFmtId="0">
      <sharedItems/>
    </cacheField>
    <cacheField name="Order Date" numFmtId="164">
      <sharedItems containsSemiMixedTypes="0" containsNonDate="0" containsDate="1" containsString="0" minDate="2024-01-01T00:00:00" maxDate="2024-12-31T00:00:00" count="365">
        <d v="2024-02-07T00:00:00"/>
        <d v="2024-05-13T00:00:00"/>
        <d v="2024-06-02T00:00:00"/>
        <d v="2024-09-12T00:00:00"/>
        <d v="2024-12-14T00:00:00"/>
        <d v="2024-10-30T00:00:00"/>
        <d v="2024-01-31T00:00:00"/>
        <d v="2024-04-14T00:00:00"/>
        <d v="2024-10-03T00:00:00"/>
        <d v="2024-06-28T00:00:00"/>
        <d v="2024-06-23T00:00:00"/>
        <d v="2024-09-28T00:00:00"/>
        <d v="2024-12-25T00:00:00"/>
        <d v="2024-06-16T00:00:00"/>
        <d v="2024-10-21T00:00:00"/>
        <d v="2024-10-16T00:00:00"/>
        <d v="2024-10-27T00:00:00"/>
        <d v="2024-11-27T00:00:00"/>
        <d v="2024-07-29T00:00:00"/>
        <d v="2024-08-02T00:00:00"/>
        <d v="2024-08-15T00:00:00"/>
        <d v="2024-06-25T00:00:00"/>
        <d v="2024-11-09T00:00:00"/>
        <d v="2024-10-17T00:00:00"/>
        <d v="2024-10-04T00:00:00"/>
        <d v="2024-06-05T00:00:00"/>
        <d v="2024-09-07T00:00:00"/>
        <d v="2024-05-04T00:00:00"/>
        <d v="2024-04-02T00:00:00"/>
        <d v="2024-07-10T00:00:00"/>
        <d v="2024-02-13T00:00:00"/>
        <d v="2024-06-13T00:00:00"/>
        <d v="2024-06-21T00:00:00"/>
        <d v="2024-04-17T00:00:00"/>
        <d v="2024-01-21T00:00:00"/>
        <d v="2024-02-08T00:00:00"/>
        <d v="2024-05-25T00:00:00"/>
        <d v="2024-12-09T00:00:00"/>
        <d v="2024-09-23T00:00:00"/>
        <d v="2024-09-08T00:00:00"/>
        <d v="2024-08-31T00:00:00"/>
        <d v="2024-04-18T00:00:00"/>
        <d v="2024-01-01T00:00:00"/>
        <d v="2024-03-01T00:00:00"/>
        <d v="2024-08-07T00:00:00"/>
        <d v="2024-05-29T00:00:00"/>
        <d v="2024-09-30T00:00:00"/>
        <d v="2024-07-22T00:00:00"/>
        <d v="2024-04-13T00:00:00"/>
        <d v="2024-12-18T00:00:00"/>
        <d v="2024-07-02T00:00:00"/>
        <d v="2024-05-05T00:00:00"/>
        <d v="2024-12-10T00:00:00"/>
        <d v="2024-01-03T00:00:00"/>
        <d v="2024-04-06T00:00:00"/>
        <d v="2024-11-12T00:00:00"/>
        <d v="2024-03-22T00:00:00"/>
        <d v="2024-01-10T00:00:00"/>
        <d v="2024-11-30T00:00:00"/>
        <d v="2024-09-14T00:00:00"/>
        <d v="2024-10-29T00:00:00"/>
        <d v="2024-05-15T00:00:00"/>
        <d v="2024-08-30T00:00:00"/>
        <d v="2024-04-22T00:00:00"/>
        <d v="2024-07-17T00:00:00"/>
        <d v="2024-10-06T00:00:00"/>
        <d v="2024-03-20T00:00:00"/>
        <d v="2024-09-24T00:00:00"/>
        <d v="2024-07-12T00:00:00"/>
        <d v="2024-04-29T00:00:00"/>
        <d v="2024-05-06T00:00:00"/>
        <d v="2024-12-03T00:00:00"/>
        <d v="2024-11-08T00:00:00"/>
        <d v="2024-08-12T00:00:00"/>
        <d v="2024-04-03T00:00:00"/>
        <d v="2024-12-04T00:00:00"/>
        <d v="2024-11-02T00:00:00"/>
        <d v="2024-06-19T00:00:00"/>
        <d v="2024-03-07T00:00:00"/>
        <d v="2024-12-23T00:00:00"/>
        <d v="2024-06-27T00:00:00"/>
        <d v="2024-03-12T00:00:00"/>
        <d v="2024-10-12T00:00:00"/>
        <d v="2024-05-16T00:00:00"/>
        <d v="2024-01-24T00:00:00"/>
        <d v="2024-12-29T00:00:00"/>
        <d v="2024-08-04T00:00:00"/>
        <d v="2024-02-23T00:00:00"/>
        <d v="2024-04-28T00:00:00"/>
        <d v="2024-01-07T00:00:00"/>
        <d v="2024-07-07T00:00:00"/>
        <d v="2024-02-26T00:00:00"/>
        <d v="2024-02-18T00:00:00"/>
        <d v="2024-11-05T00:00:00"/>
        <d v="2024-12-24T00:00:00"/>
        <d v="2024-08-14T00:00:00"/>
        <d v="2024-02-21T00:00:00"/>
        <d v="2024-07-25T00:00:00"/>
        <d v="2024-08-11T00:00:00"/>
        <d v="2024-10-15T00:00:00"/>
        <d v="2024-07-18T00:00:00"/>
        <d v="2024-10-19T00:00:00"/>
        <d v="2024-08-21T00:00:00"/>
        <d v="2024-12-28T00:00:00"/>
        <d v="2024-09-29T00:00:00"/>
        <d v="2024-07-21T00:00:00"/>
        <d v="2024-08-01T00:00:00"/>
        <d v="2024-07-08T00:00:00"/>
        <d v="2024-04-01T00:00:00"/>
        <d v="2024-11-28T00:00:00"/>
        <d v="2024-01-08T00:00:00"/>
        <d v="2024-12-11T00:00:00"/>
        <d v="2024-05-26T00:00:00"/>
        <d v="2024-11-20T00:00:00"/>
        <d v="2024-06-10T00:00:00"/>
        <d v="2024-03-14T00:00:00"/>
        <d v="2024-10-10T00:00:00"/>
        <d v="2024-05-18T00:00:00"/>
        <d v="2024-01-14T00:00:00"/>
        <d v="2024-01-17T00:00:00"/>
        <d v="2024-12-15T00:00:00"/>
        <d v="2024-02-04T00:00:00"/>
        <d v="2024-07-20T00:00:00"/>
        <d v="2024-10-18T00:00:00"/>
        <d v="2024-11-18T00:00:00"/>
        <d v="2024-04-19T00:00:00"/>
        <d v="2024-09-02T00:00:00"/>
        <d v="2024-11-11T00:00:00"/>
        <d v="2024-10-22T00:00:00"/>
        <d v="2024-06-12T00:00:00"/>
        <d v="2024-04-07T00:00:00"/>
        <d v="2024-01-29T00:00:00"/>
        <d v="2024-02-19T00:00:00"/>
        <d v="2024-03-13T00:00:00"/>
        <d v="2024-08-09T00:00:00"/>
        <d v="2024-03-04T00:00:00"/>
        <d v="2024-03-23T00:00:00"/>
        <d v="2024-12-26T00:00:00"/>
        <d v="2024-07-19T00:00:00"/>
        <d v="2024-06-01T00:00:00"/>
        <d v="2024-01-02T00:00:00"/>
        <d v="2024-04-30T00:00:00"/>
        <d v="2024-07-31T00:00:00"/>
        <d v="2024-01-30T00:00:00"/>
        <d v="2024-03-25T00:00:00"/>
        <d v="2024-11-25T00:00:00"/>
        <d v="2024-12-17T00:00:00"/>
        <d v="2024-09-06T00:00:00"/>
        <d v="2024-06-17T00:00:00"/>
        <d v="2024-11-15T00:00:00"/>
        <d v="2024-01-15T00:00:00"/>
        <d v="2024-01-23T00:00:00"/>
        <d v="2024-05-30T00:00:00"/>
        <d v="2024-09-13T00:00:00"/>
        <d v="2024-07-15T00:00:00"/>
        <d v="2024-05-20T00:00:00"/>
        <d v="2024-01-26T00:00:00"/>
        <d v="2024-11-21T00:00:00"/>
        <d v="2024-11-19T00:00:00"/>
        <d v="2024-09-22T00:00:00"/>
        <d v="2024-05-31T00:00:00"/>
        <d v="2024-02-03T00:00:00"/>
        <d v="2024-08-29T00:00:00"/>
        <d v="2024-08-28T00:00:00"/>
        <d v="2024-10-14T00:00:00"/>
        <d v="2024-05-12T00:00:00"/>
        <d v="2024-09-25T00:00:00"/>
        <d v="2024-12-07T00:00:00"/>
        <d v="2024-05-08T00:00:00"/>
        <d v="2024-08-18T00:00:00"/>
        <d v="2024-11-10T00:00:00"/>
        <d v="2024-05-03T00:00:00"/>
        <d v="2024-04-11T00:00:00"/>
        <d v="2024-12-02T00:00:00"/>
        <d v="2024-07-13T00:00:00"/>
        <d v="2024-11-04T00:00:00"/>
        <d v="2024-08-16T00:00:00"/>
        <d v="2024-02-11T00:00:00"/>
        <d v="2024-01-05T00:00:00"/>
        <d v="2024-04-16T00:00:00"/>
        <d v="2024-11-29T00:00:00"/>
        <d v="2024-03-17T00:00:00"/>
        <d v="2024-11-26T00:00:00"/>
        <d v="2024-07-24T00:00:00"/>
        <d v="2024-11-24T00:00:00"/>
        <d v="2024-10-11T00:00:00"/>
        <d v="2024-04-04T00:00:00"/>
        <d v="2024-07-04T00:00:00"/>
        <d v="2024-03-21T00:00:00"/>
        <d v="2024-01-19T00:00:00"/>
        <d v="2024-03-06T00:00:00"/>
        <d v="2024-06-04T00:00:00"/>
        <d v="2024-07-14T00:00:00"/>
        <d v="2024-07-05T00:00:00"/>
        <d v="2024-06-18T00:00:00"/>
        <d v="2024-05-23T00:00:00"/>
        <d v="2024-03-19T00:00:00"/>
        <d v="2024-04-05T00:00:00"/>
        <d v="2024-11-22T00:00:00"/>
        <d v="2024-02-25T00:00:00"/>
        <d v="2024-06-29T00:00:00"/>
        <d v="2024-01-28T00:00:00"/>
        <d v="2024-01-06T00:00:00"/>
        <d v="2024-05-01T00:00:00"/>
        <d v="2024-07-01T00:00:00"/>
        <d v="2024-06-09T00:00:00"/>
        <d v="2024-11-07T00:00:00"/>
        <d v="2024-02-10T00:00:00"/>
        <d v="2024-04-15T00:00:00"/>
        <d v="2024-09-17T00:00:00"/>
        <d v="2024-05-02T00:00:00"/>
        <d v="2024-02-09T00:00:00"/>
        <d v="2024-05-28T00:00:00"/>
        <d v="2024-12-12T00:00:00"/>
        <d v="2024-03-03T00:00:00"/>
        <d v="2024-04-20T00:00:00"/>
        <d v="2024-06-30T00:00:00"/>
        <d v="2024-02-16T00:00:00"/>
        <d v="2024-08-24T00:00:00"/>
        <d v="2024-06-20T00:00:00"/>
        <d v="2024-12-05T00:00:00"/>
        <d v="2024-01-25T00:00:00"/>
        <d v="2024-03-08T00:00:00"/>
        <d v="2024-07-16T00:00:00"/>
        <d v="2024-10-23T00:00:00"/>
        <d v="2024-02-17T00:00:00"/>
        <d v="2024-04-25T00:00:00"/>
        <d v="2024-08-25T00:00:00"/>
        <d v="2024-03-31T00:00:00"/>
        <d v="2024-04-23T00:00:00"/>
        <d v="2024-08-06T00:00:00"/>
        <d v="2024-07-27T00:00:00"/>
        <d v="2024-01-22T00:00:00"/>
        <d v="2024-02-28T00:00:00"/>
        <d v="2024-08-17T00:00:00"/>
        <d v="2024-11-06T00:00:00"/>
        <d v="2024-08-10T00:00:00"/>
        <d v="2024-01-27T00:00:00"/>
        <d v="2024-10-26T00:00:00"/>
        <d v="2024-10-31T00:00:00"/>
        <d v="2024-09-18T00:00:00"/>
        <d v="2024-09-01T00:00:00"/>
        <d v="2024-10-05T00:00:00"/>
        <d v="2024-09-16T00:00:00"/>
        <d v="2024-02-24T00:00:00"/>
        <d v="2024-03-26T00:00:00"/>
        <d v="2024-08-27T00:00:00"/>
        <d v="2024-06-22T00:00:00"/>
        <d v="2024-04-26T00:00:00"/>
        <d v="2024-07-23T00:00:00"/>
        <d v="2024-06-06T00:00:00"/>
        <d v="2024-09-15T00:00:00"/>
        <d v="2024-02-15T00:00:00"/>
        <d v="2024-08-03T00:00:00"/>
        <d v="2024-10-07T00:00:00"/>
        <d v="2024-02-27T00:00:00"/>
        <d v="2024-09-10T00:00:00"/>
        <d v="2024-08-20T00:00:00"/>
        <d v="2024-09-26T00:00:00"/>
        <d v="2024-09-20T00:00:00"/>
        <d v="2024-04-10T00:00:00"/>
        <d v="2024-03-11T00:00:00"/>
        <d v="2024-02-02T00:00:00"/>
        <d v="2024-02-14T00:00:00"/>
        <d v="2024-10-25T00:00:00"/>
        <d v="2024-04-09T00:00:00"/>
        <d v="2024-11-23T00:00:00"/>
        <d v="2024-05-19T00:00:00"/>
        <d v="2024-03-24T00:00:00"/>
        <d v="2024-05-24T00:00:00"/>
        <d v="2024-03-09T00:00:00"/>
        <d v="2024-01-11T00:00:00"/>
        <d v="2024-06-26T00:00:00"/>
        <d v="2024-03-02T00:00:00"/>
        <d v="2024-06-07T00:00:00"/>
        <d v="2024-06-15T00:00:00"/>
        <d v="2024-01-12T00:00:00"/>
        <d v="2024-11-03T00:00:00"/>
        <d v="2024-06-08T00:00:00"/>
        <d v="2024-05-10T00:00:00"/>
        <d v="2024-06-11T00:00:00"/>
        <d v="2024-05-07T00:00:00"/>
        <d v="2024-07-06T00:00:00"/>
        <d v="2024-10-02T00:00:00"/>
        <d v="2024-11-01T00:00:00"/>
        <d v="2024-02-29T00:00:00"/>
        <d v="2024-02-06T00:00:00"/>
        <d v="2024-07-30T00:00:00"/>
        <d v="2024-02-01T00:00:00"/>
        <d v="2024-10-01T00:00:00"/>
        <d v="2024-07-03T00:00:00"/>
        <d v="2024-03-28T00:00:00"/>
        <d v="2024-04-21T00:00:00"/>
        <d v="2024-01-04T00:00:00"/>
        <d v="2024-03-27T00:00:00"/>
        <d v="2024-02-22T00:00:00"/>
        <d v="2024-11-16T00:00:00"/>
        <d v="2024-03-05T00:00:00"/>
        <d v="2024-01-16T00:00:00"/>
        <d v="2024-04-12T00:00:00"/>
        <d v="2024-09-04T00:00:00"/>
        <d v="2024-07-26T00:00:00"/>
        <d v="2024-11-17T00:00:00"/>
        <d v="2024-01-18T00:00:00"/>
        <d v="2024-03-15T00:00:00"/>
        <d v="2024-11-13T00:00:00"/>
        <d v="2024-08-13T00:00:00"/>
        <d v="2024-02-12T00:00:00"/>
        <d v="2024-07-28T00:00:00"/>
        <d v="2024-05-27T00:00:00"/>
        <d v="2024-10-28T00:00:00"/>
        <d v="2024-12-01T00:00:00"/>
        <d v="2024-12-08T00:00:00"/>
        <d v="2024-12-13T00:00:00"/>
        <d v="2024-04-08T00:00:00"/>
        <d v="2024-09-05T00:00:00"/>
        <d v="2024-05-14T00:00:00"/>
        <d v="2024-03-18T00:00:00"/>
        <d v="2024-03-10T00:00:00"/>
        <d v="2024-08-23T00:00:00"/>
        <d v="2024-04-27T00:00:00"/>
        <d v="2024-10-13T00:00:00"/>
        <d v="2024-03-16T00:00:00"/>
        <d v="2024-08-05T00:00:00"/>
        <d v="2024-12-27T00:00:00"/>
        <d v="2024-04-24T00:00:00"/>
        <d v="2024-10-09T00:00:00"/>
        <d v="2024-01-09T00:00:00"/>
        <d v="2024-10-08T00:00:00"/>
        <d v="2024-02-20T00:00:00"/>
        <d v="2024-10-20T00:00:00"/>
        <d v="2024-09-09T00:00:00"/>
        <d v="2024-12-16T00:00:00"/>
        <d v="2024-12-22T00:00:00"/>
        <d v="2024-01-20T00:00:00"/>
        <d v="2024-06-14T00:00:00"/>
        <d v="2024-08-22T00:00:00"/>
        <d v="2024-03-29T00:00:00"/>
        <d v="2024-06-24T00:00:00"/>
        <d v="2024-09-27T00:00:00"/>
        <d v="2024-09-19T00:00:00"/>
        <d v="2024-09-21T00:00:00"/>
        <d v="2024-08-26T00:00:00"/>
        <d v="2024-10-24T00:00:00"/>
        <d v="2024-11-14T00:00:00"/>
        <d v="2024-07-11T00:00:00"/>
        <d v="2024-05-17T00:00:00"/>
        <d v="2024-05-21T00:00:00"/>
        <d v="2024-05-22T00:00:00"/>
        <d v="2024-07-09T00:00:00"/>
        <d v="2024-09-03T00:00:00"/>
        <d v="2024-12-21T00:00:00"/>
        <d v="2024-06-03T00:00:00"/>
        <d v="2024-12-19T00:00:00"/>
        <d v="2024-05-09T00:00:00"/>
        <d v="2024-09-11T00:00:00"/>
        <d v="2024-08-19T00:00:00"/>
        <d v="2024-02-05T00:00:00"/>
        <d v="2024-05-11T00:00:00"/>
        <d v="2024-03-30T00:00:00"/>
        <d v="2024-08-08T00:00:00"/>
        <d v="2024-01-13T00:00:00"/>
        <d v="2024-12-30T00:00:00"/>
        <d v="2024-12-20T00:00:00"/>
        <d v="2024-12-06T00:00:00"/>
      </sharedItems>
    </cacheField>
    <cacheField name="Region" numFmtId="0">
      <sharedItems count="5">
        <s v="West"/>
        <s v="East"/>
        <s v="North"/>
        <s v="South"/>
        <s v="Central"/>
      </sharedItems>
    </cacheField>
    <cacheField name="Sales Rep" numFmtId="0">
      <sharedItems/>
    </cacheField>
    <cacheField name="Customer Name" numFmtId="0">
      <sharedItems count="201">
        <s v="Fiifi Adjei"/>
        <s v="Adwoa Osei"/>
        <s v="Akua Boateng"/>
        <s v="Efua Osei"/>
        <s v="Kojo Asante"/>
        <s v="Akua Danso"/>
        <s v="Kwame Osei"/>
        <s v="Kweku Owusu"/>
        <s v="Efua Mensah"/>
        <s v="Kwabena Asante"/>
        <s v="Kwame Darko"/>
        <s v="Kwesi Owusu"/>
        <s v="Kwaku Asante"/>
        <s v="Akosua Appiah"/>
        <s v="Afia Asante"/>
        <s v="Yaa Osei"/>
        <s v="Akua Appiah"/>
        <s v="Efua Appiah"/>
        <s v="Yaa Adjei"/>
        <s v="Unknown Customer"/>
        <s v="Nana Adjei"/>
        <s v="Efua Asante"/>
        <s v="Kojo Adjei"/>
        <s v="Nana Appiah"/>
        <s v="Nana Owusu"/>
        <s v="Adwoa Danso"/>
        <s v="Yaa Agyeman"/>
        <s v="Kweku Boateng"/>
        <s v="Adjoa Agyeman"/>
        <s v="Kwaku Osei"/>
        <s v="Adwoa Owusu"/>
        <s v="Kwabena Appiah"/>
        <s v="Ama Owusu"/>
        <s v="Nana Agyeman"/>
        <s v="Yaw Asante"/>
        <s v="Adwoa Darko"/>
        <s v="Yaw Owusu"/>
        <s v="Kwaku Mensah"/>
        <s v="Adjoa Boateng"/>
        <s v="Yaa Appiah"/>
        <s v="Ama Darko"/>
        <s v="Efua Darko"/>
        <s v="Fiifi Agyeman"/>
        <s v="Yaw Danso"/>
        <s v="Yaw Adjei"/>
        <s v="Esi Mensah"/>
        <s v="Nana Darko"/>
        <s v="Kweku Danso"/>
        <s v="Kwaku Adjei"/>
        <s v="Efua Owusu"/>
        <s v="Yaa Darko"/>
        <s v="Akua Asante"/>
        <s v="Afia Osei"/>
        <s v="Fiifi Owusu"/>
        <s v="Kwaku Danso"/>
        <s v="Esi Darko"/>
        <s v="Yaa Owusu"/>
        <s v="Kwabena Osei"/>
        <s v="Afia Danso"/>
        <s v="Kojo Darko"/>
        <s v="Kofi Darko"/>
        <s v="Abena Adjei"/>
        <s v="Kofi Boateng"/>
        <s v="Akua Adjei"/>
        <s v="Afia Mensah"/>
        <s v="Adjoa Osei"/>
        <s v="Kwame Asante"/>
        <s v="Afia Appiah"/>
        <s v="Yaw Boateng"/>
        <s v="Yaw Osei"/>
        <s v="Kwaku Darko"/>
        <s v="Yaa Asante"/>
        <s v="Akosua Asante"/>
        <s v="Ama Danso"/>
        <s v="Abena Owusu"/>
        <s v="Adjoa Adjei"/>
        <s v="Kwesi Osei"/>
        <s v="Nana Boateng"/>
        <s v="Yaa Danso"/>
        <s v="Abena Boateng"/>
        <s v="Kofi Asante"/>
        <s v="Kojo Appiah"/>
        <s v="Kwabena Adjei"/>
        <s v="Akosua Mensah"/>
        <s v="Adjoa Asante"/>
        <s v="Akosua Boateng"/>
        <s v="Kweku Adjei"/>
        <s v="Ama Adjei"/>
        <s v="Fiifi Osei"/>
        <s v="Adjoa Appiah"/>
        <s v="Kwabena Danso"/>
        <s v="Kojo Agyeman"/>
        <s v="Kojo Danso"/>
        <s v="Kweku Asante"/>
        <s v="Akosua Danso"/>
        <s v="Akosua Agyeman"/>
        <s v="Fiifi Appiah"/>
        <s v="Fiifi Danso"/>
        <s v="Kweku Agyeman"/>
        <s v="Adjoa Owusu"/>
        <s v="Abena Asante"/>
        <s v="Kwesi Asante"/>
        <s v="Kofi Owusu"/>
        <s v="Afia Adjei"/>
        <s v="Kojo Osei"/>
        <s v="Esi Appiah"/>
        <s v="Kwabena Owusu"/>
        <s v="Yaw Mensah"/>
        <s v="Kweku Appiah"/>
        <s v="Efua Boateng"/>
        <s v="Kofi Appiah"/>
        <s v="Kwesi Appiah"/>
        <s v="Abena Darko"/>
        <s v="Ama Appiah"/>
        <s v="Kojo Boateng"/>
        <s v="Ama Mensah"/>
        <s v="Kwesi Agyeman"/>
        <s v="Afia Agyeman"/>
        <s v="Fiifi Asante"/>
        <s v="Esi Asante"/>
        <s v="Nana Asante"/>
        <s v="Kwame Adjei"/>
        <s v="Esi Boateng"/>
        <s v="Ama Osei"/>
        <s v="Kofi Danso"/>
        <s v="Kwaku Boateng"/>
        <s v="Yaa Mensah"/>
        <s v="Kwabena Darko"/>
        <s v="Nana Osei"/>
        <s v="Abena Appiah"/>
        <s v="Kweku Darko"/>
        <s v="Kwabena Boateng"/>
        <s v="Abena Agyeman"/>
        <s v="Akosua Darko"/>
        <s v="Akua Darko"/>
        <s v="Kwesi Mensah"/>
        <s v="Kweku Mensah"/>
        <s v="Adwoa Boateng"/>
        <s v="Kwaku Agyeman"/>
        <s v="Kwesi Danso"/>
        <s v="Kweku Osei"/>
        <s v="Nana Mensah"/>
        <s v="Kofi Agyeman"/>
        <s v="Akua Mensah"/>
        <s v="Esi Danso"/>
        <s v="Ama Agyeman"/>
        <s v="Adwoa Appiah"/>
        <s v="Esi Owusu"/>
        <s v="Kwesi Darko"/>
        <s v="Adwoa Mensah"/>
        <s v="Adjoa Danso"/>
        <s v="Abena Mensah"/>
        <s v="Afia Owusu"/>
        <s v="Yaa Boateng"/>
        <s v="Yaw Agyeman"/>
        <s v="Nana Danso"/>
        <s v="Abena Danso"/>
        <s v="Ama Asante"/>
        <s v="Adjoa Mensah"/>
        <s v="Kwabena Agyeman"/>
        <s v="Akosua Adjei"/>
        <s v="Kwesi Boateng"/>
        <s v="Kojo Mensah"/>
        <s v="Akua Osei"/>
        <s v="Yaw Darko"/>
        <s v="Adwoa Asante"/>
        <s v="Akosua Owusu"/>
        <s v="Yaw Appiah"/>
        <s v="Kwesi Adjei"/>
        <s v="Fiifi Darko"/>
        <s v="Kwame Danso"/>
        <s v="Afia Boateng"/>
        <s v="Fiifi Mensah"/>
        <s v="Kwaku Appiah"/>
        <s v="Adwoa Adjei"/>
        <s v="Akua Owusu"/>
        <s v="Abena Osei"/>
        <s v="Kwame Mensah"/>
        <s v="Kwaku Owusu"/>
        <s v="Kofi Osei"/>
        <s v="Afia Darko"/>
        <s v="Kwabena Mensah"/>
        <s v="Efua Danso"/>
        <s v="Esi Osei"/>
        <s v="Fiifi Boateng"/>
        <s v="Efua Adjei"/>
        <s v="Esi Adjei"/>
        <s v="Kojo Owusu"/>
        <s v="Ama Boateng"/>
        <s v="Esi Agyeman"/>
        <s v="Adwoa Agyeman"/>
        <s v="Kwame Appiah"/>
        <s v="Kwame Owusu"/>
        <s v="Kofi Adjei"/>
        <s v="Kofi Mensah"/>
        <s v="Kwame Boateng"/>
        <s v="Akua Agyeman"/>
        <s v="Kwame Agyeman"/>
        <s v="Akosua Osei"/>
        <s v="Efua Agyeman"/>
        <s v="Adjoa Darko"/>
      </sharedItems>
    </cacheField>
    <cacheField name="Category" numFmtId="0">
      <sharedItems count="5">
        <s v="Fashion"/>
        <s v="Home &amp; Kitchen"/>
        <s v="Groceries"/>
        <s v="Beauty"/>
        <s v="Electronics"/>
      </sharedItems>
    </cacheField>
    <cacheField name="Product" numFmtId="0">
      <sharedItems/>
    </cacheField>
    <cacheField name="Quantity" numFmtId="0">
      <sharedItems containsSemiMixedTypes="0" containsString="0" containsNumber="1" containsInteger="1" minValue="1" maxValue="12"/>
    </cacheField>
    <cacheField name="Unit Price" numFmtId="0">
      <sharedItems containsSemiMixedTypes="0" containsString="0" containsNumber="1" minValue="5.17" maxValue="249.98"/>
    </cacheField>
    <cacheField name="Discount" numFmtId="0">
      <sharedItems containsSemiMixedTypes="0" containsString="0" containsNumber="1" minValue="0" maxValue="0.15"/>
    </cacheField>
    <cacheField name="Sales" numFmtId="0">
      <sharedItems containsSemiMixedTypes="0" containsString="0" containsNumber="1" minValue="9.59" maxValue="2987.52"/>
    </cacheField>
    <cacheField name="Column1" numFmtId="0">
      <sharedItems containsNonDate="0" containsString="0" containsBlank="1"/>
    </cacheField>
    <cacheField name="Month" numFmtId="0">
      <sharedItems count="12">
        <s v="Feb"/>
        <s v="May"/>
        <s v="Jun"/>
        <s v="Sep"/>
        <s v="Dec"/>
        <s v="Oct"/>
        <s v="Jan"/>
        <s v="Apr"/>
        <s v="Nov"/>
        <s v="Jul"/>
        <s v="Aug"/>
        <s v="Mar"/>
      </sharedItems>
    </cacheField>
    <cacheField name="Month Number" numFmtId="0">
      <sharedItems containsSemiMixedTypes="0" containsString="0" containsNumber="1" containsInteger="1" minValue="1" maxValue="12" count="12">
        <n v="2"/>
        <n v="5"/>
        <n v="6"/>
        <n v="9"/>
        <n v="12"/>
        <n v="10"/>
        <n v="1"/>
        <n v="4"/>
        <n v="11"/>
        <n v="7"/>
        <n v="8"/>
        <n v="3"/>
      </sharedItems>
    </cacheField>
    <cacheField name="Revenue Check" numFmtId="0">
      <sharedItems containsSemiMixedTypes="0" containsString="0" containsNumber="1" minValue="9.5879999999999992" maxValue="2987.52"/>
    </cacheField>
    <cacheField name="Sales Comparism" numFmtId="0">
      <sharedItems/>
    </cacheField>
  </cacheFields>
  <extLst>
    <ext xmlns:x14="http://schemas.microsoft.com/office/spreadsheetml/2009/9/main" uri="{725AE2AE-9491-48be-B2B4-4EB974FC3084}">
      <x14:pivotCacheDefinition pivotCacheId="881075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7">
  <r>
    <s v="ORD-1562"/>
    <x v="0"/>
    <x v="0"/>
    <s v="M. Ansah"/>
    <x v="0"/>
    <x v="0"/>
    <s v="Sneakers"/>
    <n v="7"/>
    <n v="195.39"/>
    <n v="0.05"/>
    <n v="1299.3399999999999"/>
    <m/>
    <x v="0"/>
    <x v="0"/>
    <n v="1299.3434999999999"/>
    <s v="OK"/>
  </r>
  <r>
    <s v="ORD-2615"/>
    <x v="1"/>
    <x v="1"/>
    <s v="S. Addo"/>
    <x v="1"/>
    <x v="1"/>
    <s v="Non-stick Pan"/>
    <n v="5"/>
    <n v="142.69999999999999"/>
    <n v="0.05"/>
    <n v="677.82"/>
    <m/>
    <x v="1"/>
    <x v="1"/>
    <n v="677.82499999999993"/>
    <s v="MISMATCH"/>
  </r>
  <r>
    <s v="ORD-2308"/>
    <x v="2"/>
    <x v="2"/>
    <s v="P. Amoah"/>
    <x v="2"/>
    <x v="0"/>
    <s v="Cotton T-Shirt"/>
    <n v="2"/>
    <n v="229.61"/>
    <n v="0.15"/>
    <n v="390.34"/>
    <m/>
    <x v="2"/>
    <x v="2"/>
    <n v="390.33699999999999"/>
    <s v="OK"/>
  </r>
  <r>
    <s v="ORD-2324"/>
    <x v="3"/>
    <x v="3"/>
    <s v="S. Addo"/>
    <x v="3"/>
    <x v="0"/>
    <s v="Sneakers"/>
    <n v="6"/>
    <n v="192.04"/>
    <n v="0.1"/>
    <n v="1037.02"/>
    <m/>
    <x v="3"/>
    <x v="3"/>
    <n v="1037.0160000000001"/>
    <s v="OK"/>
  </r>
  <r>
    <s v="ORD-1930"/>
    <x v="4"/>
    <x v="3"/>
    <s v="M. Ansah"/>
    <x v="4"/>
    <x v="2"/>
    <s v="Rice 5kg"/>
    <n v="3"/>
    <n v="193.36"/>
    <n v="0.1"/>
    <n v="522.07000000000005"/>
    <m/>
    <x v="4"/>
    <x v="4"/>
    <n v="522.072"/>
    <s v="OK"/>
  </r>
  <r>
    <s v="ORD-2442"/>
    <x v="5"/>
    <x v="4"/>
    <s v="S. Addo"/>
    <x v="5"/>
    <x v="1"/>
    <s v="Non-stick Pan"/>
    <n v="2"/>
    <n v="214.03"/>
    <n v="0"/>
    <n v="428.06"/>
    <m/>
    <x v="5"/>
    <x v="5"/>
    <n v="428.06"/>
    <s v="OK"/>
  </r>
  <r>
    <s v="ORD-2171"/>
    <x v="6"/>
    <x v="3"/>
    <s v="R. Ofori"/>
    <x v="6"/>
    <x v="3"/>
    <s v="Lip Balm Set"/>
    <n v="12"/>
    <n v="203.86"/>
    <n v="0"/>
    <n v="2446.3200000000002"/>
    <m/>
    <x v="6"/>
    <x v="6"/>
    <n v="2446.3200000000002"/>
    <s v="OK"/>
  </r>
  <r>
    <s v="ORD-1739"/>
    <x v="7"/>
    <x v="1"/>
    <s v="P. Amoah"/>
    <x v="7"/>
    <x v="3"/>
    <s v="Hair Oil"/>
    <n v="3"/>
    <n v="96.46"/>
    <n v="0"/>
    <n v="289.38"/>
    <m/>
    <x v="7"/>
    <x v="7"/>
    <n v="289.38"/>
    <s v="OK"/>
  </r>
  <r>
    <s v="ORD-2580"/>
    <x v="8"/>
    <x v="1"/>
    <s v="S. Addo"/>
    <x v="8"/>
    <x v="4"/>
    <s v="USB-C Cable"/>
    <n v="11"/>
    <n v="234.58"/>
    <n v="0"/>
    <n v="2580.38"/>
    <m/>
    <x v="5"/>
    <x v="5"/>
    <n v="2580.38"/>
    <s v="OK"/>
  </r>
  <r>
    <s v="ORD-1308"/>
    <x v="9"/>
    <x v="3"/>
    <s v="J. Tetteh"/>
    <x v="9"/>
    <x v="4"/>
    <s v="Smartphone Case"/>
    <n v="12"/>
    <n v="197.82"/>
    <n v="0"/>
    <n v="2373.84"/>
    <m/>
    <x v="2"/>
    <x v="2"/>
    <n v="2373.84"/>
    <s v="OK"/>
  </r>
  <r>
    <s v="ORD-2485"/>
    <x v="10"/>
    <x v="2"/>
    <s v="J. Tetteh"/>
    <x v="10"/>
    <x v="4"/>
    <s v="Laptop Stand"/>
    <n v="3"/>
    <n v="114.53"/>
    <n v="0.15"/>
    <n v="292.05"/>
    <m/>
    <x v="2"/>
    <x v="2"/>
    <n v="292.05150000000003"/>
    <s v="OK"/>
  </r>
  <r>
    <s v="ORD-1339"/>
    <x v="11"/>
    <x v="3"/>
    <s v="R. Ofori"/>
    <x v="11"/>
    <x v="2"/>
    <s v="Cooking Oil 1L"/>
    <n v="3"/>
    <n v="106.21"/>
    <n v="0"/>
    <n v="318.63"/>
    <m/>
    <x v="3"/>
    <x v="3"/>
    <n v="318.63"/>
    <s v="OK"/>
  </r>
  <r>
    <s v="ORD-2320"/>
    <x v="12"/>
    <x v="2"/>
    <s v="J. Tetteh"/>
    <x v="12"/>
    <x v="1"/>
    <s v="Table Lamp"/>
    <n v="6"/>
    <n v="51.11"/>
    <n v="0"/>
    <n v="306.66000000000003"/>
    <m/>
    <x v="4"/>
    <x v="4"/>
    <n v="306.65999999999997"/>
    <s v="OK"/>
  </r>
  <r>
    <s v="ORD-2640"/>
    <x v="13"/>
    <x v="2"/>
    <s v="P. Amoah"/>
    <x v="13"/>
    <x v="0"/>
    <s v="Denim Jeans"/>
    <n v="3"/>
    <n v="99.91"/>
    <n v="0"/>
    <n v="299.73"/>
    <m/>
    <x v="2"/>
    <x v="2"/>
    <n v="299.73"/>
    <s v="OK"/>
  </r>
  <r>
    <s v="ORD-1438"/>
    <x v="14"/>
    <x v="0"/>
    <s v="P. Amoah"/>
    <x v="14"/>
    <x v="4"/>
    <s v="Smartphone Case"/>
    <n v="5"/>
    <n v="244.95"/>
    <n v="0"/>
    <n v="1224.75"/>
    <m/>
    <x v="5"/>
    <x v="5"/>
    <n v="1224.75"/>
    <s v="OK"/>
  </r>
  <r>
    <s v="ORD-1298"/>
    <x v="15"/>
    <x v="1"/>
    <s v="S. Addo"/>
    <x v="15"/>
    <x v="0"/>
    <s v="Sneakers"/>
    <n v="3"/>
    <n v="100.15"/>
    <n v="0"/>
    <n v="300.45"/>
    <m/>
    <x v="5"/>
    <x v="5"/>
    <n v="300.45000000000005"/>
    <s v="OK"/>
  </r>
  <r>
    <s v="ORD-2178"/>
    <x v="16"/>
    <x v="1"/>
    <s v="M. Ansah"/>
    <x v="16"/>
    <x v="2"/>
    <s v="Pasta Pack"/>
    <n v="7"/>
    <n v="133.22"/>
    <n v="0.05"/>
    <n v="885.91"/>
    <m/>
    <x v="5"/>
    <x v="5"/>
    <n v="885.9129999999999"/>
    <s v="OK"/>
  </r>
  <r>
    <s v="ORD-1595"/>
    <x v="17"/>
    <x v="2"/>
    <s v="M. Ansah"/>
    <x v="17"/>
    <x v="3"/>
    <s v="Shea Butter Lotion"/>
    <n v="4"/>
    <n v="142.38999999999999"/>
    <n v="0"/>
    <n v="569.55999999999995"/>
    <m/>
    <x v="8"/>
    <x v="8"/>
    <n v="569.55999999999995"/>
    <s v="OK"/>
  </r>
  <r>
    <s v="ORD-2660"/>
    <x v="18"/>
    <x v="4"/>
    <s v="J. Tetteh"/>
    <x v="18"/>
    <x v="2"/>
    <s v="Pasta Pack"/>
    <n v="3"/>
    <n v="239.09"/>
    <n v="0"/>
    <n v="717.27"/>
    <m/>
    <x v="9"/>
    <x v="9"/>
    <n v="717.27"/>
    <s v="OK"/>
  </r>
  <r>
    <s v="ORD-2039"/>
    <x v="12"/>
    <x v="2"/>
    <s v="R. Ofori"/>
    <x v="19"/>
    <x v="4"/>
    <s v="USB-C Cable"/>
    <n v="2"/>
    <n v="139.63999999999999"/>
    <n v="0.05"/>
    <n v="265.32"/>
    <m/>
    <x v="4"/>
    <x v="4"/>
    <n v="265.31599999999997"/>
    <s v="OK"/>
  </r>
  <r>
    <s v="ORD-2459"/>
    <x v="11"/>
    <x v="4"/>
    <s v="J. Tetteh"/>
    <x v="20"/>
    <x v="3"/>
    <s v="Face Wash"/>
    <n v="8"/>
    <n v="14.93"/>
    <n v="0"/>
    <n v="119.44"/>
    <m/>
    <x v="3"/>
    <x v="3"/>
    <n v="119.44"/>
    <s v="OK"/>
  </r>
  <r>
    <s v="ORD-1868"/>
    <x v="19"/>
    <x v="2"/>
    <s v="P. Amoah"/>
    <x v="21"/>
    <x v="4"/>
    <s v="Laptop Stand"/>
    <n v="6"/>
    <n v="49.86"/>
    <n v="0.05"/>
    <n v="284.2"/>
    <m/>
    <x v="10"/>
    <x v="10"/>
    <n v="284.20199999999994"/>
    <s v="OK"/>
  </r>
  <r>
    <s v="ORD-1732"/>
    <x v="20"/>
    <x v="4"/>
    <s v="P. Amoah"/>
    <x v="9"/>
    <x v="4"/>
    <s v="Smartphone Case"/>
    <n v="10"/>
    <n v="202.7"/>
    <n v="0"/>
    <n v="2027"/>
    <m/>
    <x v="10"/>
    <x v="10"/>
    <n v="2027"/>
    <s v="OK"/>
  </r>
  <r>
    <s v="ORD-1389"/>
    <x v="21"/>
    <x v="0"/>
    <s v="M. Ansah"/>
    <x v="22"/>
    <x v="3"/>
    <s v="Lip Balm Set"/>
    <n v="11"/>
    <n v="106.1"/>
    <n v="0.1"/>
    <n v="1050.3900000000001"/>
    <m/>
    <x v="2"/>
    <x v="2"/>
    <n v="1050.3899999999999"/>
    <s v="OK"/>
  </r>
  <r>
    <s v="ORD-1500"/>
    <x v="22"/>
    <x v="2"/>
    <s v="R. Ofori"/>
    <x v="23"/>
    <x v="4"/>
    <s v="Power Bank"/>
    <n v="8"/>
    <n v="132.56"/>
    <n v="0.05"/>
    <n v="1007.46"/>
    <m/>
    <x v="8"/>
    <x v="8"/>
    <n v="1007.456"/>
    <s v="OK"/>
  </r>
  <r>
    <s v="ORD-1287"/>
    <x v="23"/>
    <x v="2"/>
    <s v="P. Amoah"/>
    <x v="24"/>
    <x v="3"/>
    <s v="Shampoo 400ml"/>
    <n v="3"/>
    <n v="111.57"/>
    <n v="0"/>
    <n v="334.71"/>
    <m/>
    <x v="5"/>
    <x v="5"/>
    <n v="334.71"/>
    <s v="OK"/>
  </r>
  <r>
    <s v="ORD-1528"/>
    <x v="24"/>
    <x v="0"/>
    <s v="M. Ansah"/>
    <x v="11"/>
    <x v="3"/>
    <s v="Lip Balm Set"/>
    <n v="5"/>
    <n v="139.59"/>
    <n v="0"/>
    <n v="697.95"/>
    <m/>
    <x v="5"/>
    <x v="5"/>
    <n v="697.95"/>
    <s v="OK"/>
  </r>
  <r>
    <s v="ORD-2275"/>
    <x v="25"/>
    <x v="0"/>
    <s v="R. Ofori"/>
    <x v="25"/>
    <x v="0"/>
    <s v="Sunglasses"/>
    <n v="5"/>
    <n v="248.11"/>
    <n v="0.15"/>
    <n v="1054.47"/>
    <m/>
    <x v="2"/>
    <x v="2"/>
    <n v="1054.4675000000002"/>
    <s v="OK"/>
  </r>
  <r>
    <s v="ORD-1855"/>
    <x v="26"/>
    <x v="1"/>
    <s v="P. Amoah"/>
    <x v="26"/>
    <x v="4"/>
    <s v="USB-C Cable"/>
    <n v="10"/>
    <n v="132.13"/>
    <n v="0.1"/>
    <n v="1189.17"/>
    <m/>
    <x v="3"/>
    <x v="3"/>
    <n v="1189.17"/>
    <s v="OK"/>
  </r>
  <r>
    <s v="ORD-1375"/>
    <x v="27"/>
    <x v="4"/>
    <s v="J. Tetteh"/>
    <x v="27"/>
    <x v="1"/>
    <s v="Non-stick Pan"/>
    <n v="2"/>
    <n v="185.09"/>
    <n v="0.05"/>
    <n v="351.67"/>
    <m/>
    <x v="1"/>
    <x v="1"/>
    <n v="351.67099999999999"/>
    <s v="OK"/>
  </r>
  <r>
    <s v="ORD-1546"/>
    <x v="18"/>
    <x v="3"/>
    <s v="S. Addo"/>
    <x v="28"/>
    <x v="3"/>
    <s v="Hair Oil"/>
    <n v="1"/>
    <n v="13.2"/>
    <n v="0.1"/>
    <n v="11.88"/>
    <m/>
    <x v="9"/>
    <x v="9"/>
    <n v="11.879999999999999"/>
    <s v="OK"/>
  </r>
  <r>
    <s v="ORD-1340"/>
    <x v="28"/>
    <x v="3"/>
    <s v="S. Addo"/>
    <x v="27"/>
    <x v="2"/>
    <s v="Pasta Pack"/>
    <n v="11"/>
    <n v="124.46"/>
    <n v="0"/>
    <n v="1369.06"/>
    <m/>
    <x v="7"/>
    <x v="7"/>
    <n v="1369.06"/>
    <s v="OK"/>
  </r>
  <r>
    <s v="ORD-2226"/>
    <x v="21"/>
    <x v="1"/>
    <s v="R. Ofori"/>
    <x v="29"/>
    <x v="0"/>
    <s v="Cotton T-Shirt"/>
    <n v="10"/>
    <n v="159.03"/>
    <n v="0.05"/>
    <n v="1510.78"/>
    <m/>
    <x v="2"/>
    <x v="2"/>
    <n v="1510.7849999999999"/>
    <s v="MISMATCH"/>
  </r>
  <r>
    <s v="ORD-2368"/>
    <x v="29"/>
    <x v="3"/>
    <s v="S. Addo"/>
    <x v="30"/>
    <x v="1"/>
    <s v="Non-stick Pan"/>
    <n v="7"/>
    <n v="133.16"/>
    <n v="0"/>
    <n v="932.12"/>
    <m/>
    <x v="9"/>
    <x v="9"/>
    <n v="932.12"/>
    <s v="OK"/>
  </r>
  <r>
    <s v="ORD-1484"/>
    <x v="30"/>
    <x v="0"/>
    <s v="M. Ansah"/>
    <x v="31"/>
    <x v="4"/>
    <s v="Bluetooth Speaker"/>
    <n v="4"/>
    <n v="186.2"/>
    <n v="0.1"/>
    <n v="670.32"/>
    <m/>
    <x v="0"/>
    <x v="0"/>
    <n v="670.31999999999994"/>
    <s v="OK"/>
  </r>
  <r>
    <s v="ORD-2318"/>
    <x v="31"/>
    <x v="2"/>
    <s v="R. Ofori"/>
    <x v="32"/>
    <x v="1"/>
    <s v="Electric Kettle"/>
    <n v="4"/>
    <n v="121.63"/>
    <n v="0.15"/>
    <n v="413.54"/>
    <m/>
    <x v="2"/>
    <x v="2"/>
    <n v="413.54199999999997"/>
    <s v="OK"/>
  </r>
  <r>
    <s v="ORD-2152"/>
    <x v="32"/>
    <x v="3"/>
    <s v="J. Tetteh"/>
    <x v="33"/>
    <x v="3"/>
    <s v="Shea Butter Lotion"/>
    <n v="1"/>
    <n v="108.52"/>
    <n v="0"/>
    <n v="108.52"/>
    <m/>
    <x v="2"/>
    <x v="2"/>
    <n v="108.52"/>
    <s v="OK"/>
  </r>
  <r>
    <s v="ORD-2173"/>
    <x v="33"/>
    <x v="1"/>
    <s v="R. Ofori"/>
    <x v="34"/>
    <x v="2"/>
    <s v="Sugar 1kg"/>
    <n v="11"/>
    <n v="28.8"/>
    <n v="0.15"/>
    <n v="269.27999999999997"/>
    <m/>
    <x v="7"/>
    <x v="7"/>
    <n v="269.28000000000003"/>
    <s v="OK"/>
  </r>
  <r>
    <s v="ORD-2133"/>
    <x v="34"/>
    <x v="2"/>
    <s v="S. Addo"/>
    <x v="35"/>
    <x v="3"/>
    <s v="Face Wash"/>
    <n v="9"/>
    <n v="191.98"/>
    <n v="0"/>
    <n v="1727.82"/>
    <m/>
    <x v="6"/>
    <x v="6"/>
    <n v="1727.82"/>
    <s v="OK"/>
  </r>
  <r>
    <s v="ORD-1351"/>
    <x v="35"/>
    <x v="2"/>
    <s v="P. Amoah"/>
    <x v="36"/>
    <x v="3"/>
    <s v="Hair Oil"/>
    <n v="11"/>
    <n v="226.67"/>
    <n v="0"/>
    <n v="2493.37"/>
    <m/>
    <x v="0"/>
    <x v="0"/>
    <n v="2493.37"/>
    <s v="OK"/>
  </r>
  <r>
    <s v="ORD-1976"/>
    <x v="36"/>
    <x v="1"/>
    <s v="R. Ofori"/>
    <x v="37"/>
    <x v="4"/>
    <s v="Laptop Stand"/>
    <n v="7"/>
    <n v="211.2"/>
    <n v="0"/>
    <n v="1478.4"/>
    <m/>
    <x v="1"/>
    <x v="1"/>
    <n v="1478.3999999999999"/>
    <s v="OK"/>
  </r>
  <r>
    <s v="ORD-1378"/>
    <x v="28"/>
    <x v="3"/>
    <s v="P. Amoah"/>
    <x v="38"/>
    <x v="0"/>
    <s v="Sunglasses"/>
    <n v="9"/>
    <n v="106.9"/>
    <n v="0.05"/>
    <n v="914"/>
    <m/>
    <x v="7"/>
    <x v="7"/>
    <n v="913.995"/>
    <s v="OK"/>
  </r>
  <r>
    <s v="ORD-1527"/>
    <x v="37"/>
    <x v="0"/>
    <s v="R. Ofori"/>
    <x v="39"/>
    <x v="0"/>
    <s v="Leather Wallet"/>
    <n v="3"/>
    <n v="71.8"/>
    <n v="0"/>
    <n v="215.4"/>
    <m/>
    <x v="4"/>
    <x v="4"/>
    <n v="215.39999999999998"/>
    <s v="OK"/>
  </r>
  <r>
    <s v="ORD-1037"/>
    <x v="38"/>
    <x v="2"/>
    <s v="J. Tetteh"/>
    <x v="40"/>
    <x v="1"/>
    <s v="Non-stick Pan"/>
    <n v="2"/>
    <n v="94.23"/>
    <n v="0.15"/>
    <n v="160.19"/>
    <m/>
    <x v="3"/>
    <x v="3"/>
    <n v="160.191"/>
    <s v="OK"/>
  </r>
  <r>
    <s v="ORD-2412"/>
    <x v="39"/>
    <x v="0"/>
    <s v="J. Tetteh"/>
    <x v="41"/>
    <x v="3"/>
    <s v="Face Wash"/>
    <n v="7"/>
    <n v="182.42"/>
    <n v="0"/>
    <n v="1276.94"/>
    <m/>
    <x v="3"/>
    <x v="3"/>
    <n v="1276.9399999999998"/>
    <s v="OK"/>
  </r>
  <r>
    <s v="ORD-1660"/>
    <x v="40"/>
    <x v="2"/>
    <s v="Unassigned"/>
    <x v="42"/>
    <x v="0"/>
    <s v="Cotton T-Shirt"/>
    <n v="3"/>
    <n v="241.01"/>
    <n v="0"/>
    <n v="723.03"/>
    <m/>
    <x v="10"/>
    <x v="10"/>
    <n v="723.03"/>
    <s v="OK"/>
  </r>
  <r>
    <s v="ORD-1830"/>
    <x v="41"/>
    <x v="2"/>
    <s v="J. Tetteh"/>
    <x v="37"/>
    <x v="0"/>
    <s v="Cotton T-Shirt"/>
    <n v="9"/>
    <n v="97.04"/>
    <n v="0"/>
    <n v="873.36"/>
    <m/>
    <x v="7"/>
    <x v="7"/>
    <n v="873.36"/>
    <s v="OK"/>
  </r>
  <r>
    <s v="ORD-1410"/>
    <x v="42"/>
    <x v="1"/>
    <s v="P. Amoah"/>
    <x v="43"/>
    <x v="4"/>
    <s v="USB-C Cable"/>
    <n v="6"/>
    <n v="132.9"/>
    <n v="0"/>
    <n v="797.4"/>
    <m/>
    <x v="6"/>
    <x v="6"/>
    <n v="797.40000000000009"/>
    <s v="OK"/>
  </r>
  <r>
    <s v="ORD-2606"/>
    <x v="43"/>
    <x v="2"/>
    <s v="P. Amoah"/>
    <x v="44"/>
    <x v="1"/>
    <s v="Table Lamp"/>
    <n v="7"/>
    <n v="204.04"/>
    <n v="0"/>
    <n v="1428.28"/>
    <m/>
    <x v="11"/>
    <x v="11"/>
    <n v="1428.28"/>
    <s v="OK"/>
  </r>
  <r>
    <s v="ORD-2678"/>
    <x v="16"/>
    <x v="3"/>
    <s v="J. Tetteh"/>
    <x v="4"/>
    <x v="4"/>
    <s v="Smartphone Case"/>
    <n v="10"/>
    <n v="92.65"/>
    <n v="0.15"/>
    <n v="787.52"/>
    <m/>
    <x v="5"/>
    <x v="5"/>
    <n v="787.52499999999998"/>
    <s v="MISMATCH"/>
  </r>
  <r>
    <s v="ORD-1278"/>
    <x v="44"/>
    <x v="1"/>
    <s v="S. Addo"/>
    <x v="45"/>
    <x v="1"/>
    <s v="Non-stick Pan"/>
    <n v="5"/>
    <n v="133.34"/>
    <n v="0.15"/>
    <n v="566.70000000000005"/>
    <m/>
    <x v="10"/>
    <x v="10"/>
    <n v="566.69500000000005"/>
    <s v="OK"/>
  </r>
  <r>
    <s v="ORD-2288"/>
    <x v="45"/>
    <x v="4"/>
    <s v="M. Ansah"/>
    <x v="46"/>
    <x v="1"/>
    <s v="Blender"/>
    <n v="11"/>
    <n v="60.18"/>
    <n v="0"/>
    <n v="661.98"/>
    <m/>
    <x v="1"/>
    <x v="1"/>
    <n v="661.98"/>
    <s v="OK"/>
  </r>
  <r>
    <s v="ORD-2676"/>
    <x v="46"/>
    <x v="3"/>
    <s v="S. Addo"/>
    <x v="12"/>
    <x v="4"/>
    <s v="Power Bank"/>
    <n v="9"/>
    <n v="135.51"/>
    <n v="0"/>
    <n v="1219.5899999999999"/>
    <m/>
    <x v="3"/>
    <x v="3"/>
    <n v="1219.5899999999999"/>
    <s v="OK"/>
  </r>
  <r>
    <s v="ORD-1442"/>
    <x v="47"/>
    <x v="0"/>
    <s v="M. Ansah"/>
    <x v="4"/>
    <x v="1"/>
    <s v="Non-stick Pan"/>
    <n v="8"/>
    <n v="28.41"/>
    <n v="0.1"/>
    <n v="204.55"/>
    <m/>
    <x v="9"/>
    <x v="9"/>
    <n v="204.55199999999999"/>
    <s v="OK"/>
  </r>
  <r>
    <s v="ORD-1699"/>
    <x v="48"/>
    <x v="1"/>
    <s v="M. Ansah"/>
    <x v="47"/>
    <x v="2"/>
    <s v="Rice 5kg"/>
    <n v="7"/>
    <n v="144.51"/>
    <n v="0"/>
    <n v="1011.57"/>
    <m/>
    <x v="7"/>
    <x v="7"/>
    <n v="1011.5699999999999"/>
    <s v="OK"/>
  </r>
  <r>
    <s v="ORD-1972"/>
    <x v="49"/>
    <x v="4"/>
    <s v="S. Addo"/>
    <x v="45"/>
    <x v="1"/>
    <s v="Non-stick Pan"/>
    <n v="4"/>
    <n v="180.62"/>
    <n v="0.05"/>
    <n v="686.36"/>
    <m/>
    <x v="4"/>
    <x v="4"/>
    <n v="686.35599999999999"/>
    <s v="OK"/>
  </r>
  <r>
    <s v="ORD-1386"/>
    <x v="50"/>
    <x v="2"/>
    <s v="J. Tetteh"/>
    <x v="37"/>
    <x v="3"/>
    <s v="Shea Butter Lotion"/>
    <n v="11"/>
    <n v="76.010000000000005"/>
    <n v="0"/>
    <n v="836.11"/>
    <m/>
    <x v="9"/>
    <x v="9"/>
    <n v="836.11"/>
    <s v="OK"/>
  </r>
  <r>
    <s v="ORD-1058"/>
    <x v="51"/>
    <x v="2"/>
    <s v="S. Addo"/>
    <x v="48"/>
    <x v="2"/>
    <s v="Canned Tomatoes"/>
    <n v="8"/>
    <n v="73.34"/>
    <n v="0"/>
    <n v="586.72"/>
    <m/>
    <x v="1"/>
    <x v="1"/>
    <n v="586.72"/>
    <s v="OK"/>
  </r>
  <r>
    <s v="ORD-1241"/>
    <x v="52"/>
    <x v="3"/>
    <s v="P. Amoah"/>
    <x v="28"/>
    <x v="4"/>
    <s v="Smartphone Case"/>
    <n v="7"/>
    <n v="114.22"/>
    <n v="0.05"/>
    <n v="759.56"/>
    <m/>
    <x v="4"/>
    <x v="4"/>
    <n v="759.56299999999987"/>
    <s v="OK"/>
  </r>
  <r>
    <s v="ORD-1229"/>
    <x v="53"/>
    <x v="0"/>
    <s v="J. Tetteh"/>
    <x v="49"/>
    <x v="2"/>
    <s v="Sugar 1kg"/>
    <n v="5"/>
    <n v="113.96"/>
    <n v="0"/>
    <n v="569.79999999999995"/>
    <m/>
    <x v="6"/>
    <x v="6"/>
    <n v="569.79999999999995"/>
    <s v="OK"/>
  </r>
  <r>
    <s v="ORD-1947"/>
    <x v="54"/>
    <x v="3"/>
    <s v="M. Ansah"/>
    <x v="45"/>
    <x v="2"/>
    <s v="Pasta Pack"/>
    <n v="3"/>
    <n v="175.63"/>
    <n v="0.1"/>
    <n v="474.2"/>
    <m/>
    <x v="7"/>
    <x v="7"/>
    <n v="474.20100000000002"/>
    <s v="OK"/>
  </r>
  <r>
    <s v="ORD-1412"/>
    <x v="54"/>
    <x v="1"/>
    <s v="S. Addo"/>
    <x v="50"/>
    <x v="0"/>
    <s v="Sunglasses"/>
    <n v="1"/>
    <n v="178.74"/>
    <n v="0.1"/>
    <n v="160.87"/>
    <m/>
    <x v="7"/>
    <x v="7"/>
    <n v="160.86600000000001"/>
    <s v="OK"/>
  </r>
  <r>
    <s v="ORD-1800"/>
    <x v="55"/>
    <x v="3"/>
    <s v="J. Tetteh"/>
    <x v="51"/>
    <x v="2"/>
    <s v="Sugar 1kg"/>
    <n v="1"/>
    <n v="113.3"/>
    <n v="0.15"/>
    <n v="96.3"/>
    <m/>
    <x v="8"/>
    <x v="8"/>
    <n v="96.304999999999993"/>
    <s v="MISMATCH"/>
  </r>
  <r>
    <s v="ORD-2329"/>
    <x v="56"/>
    <x v="0"/>
    <s v="R. Ofori"/>
    <x v="35"/>
    <x v="2"/>
    <s v="Pasta Pack"/>
    <n v="1"/>
    <n v="242.43"/>
    <n v="0"/>
    <n v="242.43"/>
    <m/>
    <x v="11"/>
    <x v="11"/>
    <n v="242.43"/>
    <s v="OK"/>
  </r>
  <r>
    <s v="ORD-2794"/>
    <x v="23"/>
    <x v="1"/>
    <s v="M. Ansah"/>
    <x v="14"/>
    <x v="1"/>
    <s v="Non-stick Pan"/>
    <n v="5"/>
    <n v="89.23"/>
    <n v="0.15"/>
    <n v="379.23"/>
    <m/>
    <x v="5"/>
    <x v="5"/>
    <n v="379.22750000000002"/>
    <s v="OK"/>
  </r>
  <r>
    <s v="ORD-2268"/>
    <x v="57"/>
    <x v="3"/>
    <s v="M. Ansah"/>
    <x v="52"/>
    <x v="1"/>
    <s v="Electric Kettle"/>
    <n v="2"/>
    <n v="244.06"/>
    <n v="0.15"/>
    <n v="414.9"/>
    <m/>
    <x v="6"/>
    <x v="6"/>
    <n v="414.90199999999999"/>
    <s v="OK"/>
  </r>
  <r>
    <s v="ORD-2281"/>
    <x v="58"/>
    <x v="2"/>
    <s v="M. Ansah"/>
    <x v="48"/>
    <x v="0"/>
    <s v="Sneakers"/>
    <n v="1"/>
    <n v="105.25"/>
    <n v="0.05"/>
    <n v="99.99"/>
    <m/>
    <x v="8"/>
    <x v="8"/>
    <n v="99.987499999999997"/>
    <s v="OK"/>
  </r>
  <r>
    <s v="ORD-2501"/>
    <x v="59"/>
    <x v="2"/>
    <s v="J. Tetteh"/>
    <x v="53"/>
    <x v="1"/>
    <s v="Storage Containers"/>
    <n v="5"/>
    <n v="231.58"/>
    <n v="0"/>
    <n v="1157.9000000000001"/>
    <m/>
    <x v="3"/>
    <x v="3"/>
    <n v="1157.9000000000001"/>
    <s v="OK"/>
  </r>
  <r>
    <s v="ORD-1396"/>
    <x v="60"/>
    <x v="0"/>
    <s v="R. Ofori"/>
    <x v="54"/>
    <x v="3"/>
    <s v="Shea Butter Lotion"/>
    <n v="9"/>
    <n v="227.04"/>
    <n v="0"/>
    <n v="2043.36"/>
    <m/>
    <x v="5"/>
    <x v="5"/>
    <n v="2043.36"/>
    <s v="OK"/>
  </r>
  <r>
    <s v="ORD-1172"/>
    <x v="61"/>
    <x v="0"/>
    <s v="M. Ansah"/>
    <x v="55"/>
    <x v="3"/>
    <s v="Shea Butter Lotion"/>
    <n v="6"/>
    <n v="192.14"/>
    <n v="0"/>
    <n v="1152.8399999999999"/>
    <m/>
    <x v="1"/>
    <x v="1"/>
    <n v="1152.8399999999999"/>
    <s v="OK"/>
  </r>
  <r>
    <s v="ORD-2382"/>
    <x v="62"/>
    <x v="1"/>
    <s v="R. Ofori"/>
    <x v="56"/>
    <x v="3"/>
    <s v="Face Wash"/>
    <n v="9"/>
    <n v="73.33"/>
    <n v="0.15"/>
    <n v="560.97"/>
    <m/>
    <x v="10"/>
    <x v="10"/>
    <n v="560.97450000000003"/>
    <s v="OK"/>
  </r>
  <r>
    <s v="ORD-1993"/>
    <x v="63"/>
    <x v="1"/>
    <s v="J. Tetteh"/>
    <x v="46"/>
    <x v="3"/>
    <s v="Hair Oil"/>
    <n v="3"/>
    <n v="126.32"/>
    <n v="0"/>
    <n v="378.96"/>
    <m/>
    <x v="7"/>
    <x v="7"/>
    <n v="378.96"/>
    <s v="OK"/>
  </r>
  <r>
    <s v="ORD-1688"/>
    <x v="64"/>
    <x v="2"/>
    <s v="R. Ofori"/>
    <x v="57"/>
    <x v="0"/>
    <s v="Sunglasses"/>
    <n v="10"/>
    <n v="70.78"/>
    <n v="0.05"/>
    <n v="672.41"/>
    <m/>
    <x v="9"/>
    <x v="9"/>
    <n v="672.41"/>
    <s v="OK"/>
  </r>
  <r>
    <s v="ORD-2458"/>
    <x v="65"/>
    <x v="2"/>
    <s v="M. Ansah"/>
    <x v="58"/>
    <x v="2"/>
    <s v="Canned Tomatoes"/>
    <n v="5"/>
    <n v="115.07"/>
    <n v="0.15"/>
    <n v="489.05"/>
    <m/>
    <x v="5"/>
    <x v="5"/>
    <n v="489.0474999999999"/>
    <s v="OK"/>
  </r>
  <r>
    <s v="ORD-2464"/>
    <x v="66"/>
    <x v="0"/>
    <s v="J. Tetteh"/>
    <x v="56"/>
    <x v="0"/>
    <s v="Sunglasses"/>
    <n v="1"/>
    <n v="213.99"/>
    <n v="0"/>
    <n v="213.99"/>
    <m/>
    <x v="11"/>
    <x v="11"/>
    <n v="213.99"/>
    <s v="OK"/>
  </r>
  <r>
    <s v="ORD-1725"/>
    <x v="67"/>
    <x v="3"/>
    <s v="J. Tetteh"/>
    <x v="48"/>
    <x v="4"/>
    <s v="Smartphone Case"/>
    <n v="5"/>
    <n v="33.85"/>
    <n v="0"/>
    <n v="169.25"/>
    <m/>
    <x v="3"/>
    <x v="3"/>
    <n v="169.25"/>
    <s v="OK"/>
  </r>
  <r>
    <s v="ORD-1918"/>
    <x v="68"/>
    <x v="1"/>
    <s v="M. Ansah"/>
    <x v="36"/>
    <x v="1"/>
    <s v="Blender"/>
    <n v="7"/>
    <n v="175.55"/>
    <n v="0"/>
    <n v="1228.8499999999999"/>
    <m/>
    <x v="9"/>
    <x v="9"/>
    <n v="1228.8500000000001"/>
    <s v="OK"/>
  </r>
  <r>
    <s v="ORD-1593"/>
    <x v="11"/>
    <x v="2"/>
    <s v="S. Addo"/>
    <x v="59"/>
    <x v="4"/>
    <s v="Laptop Stand"/>
    <n v="5"/>
    <n v="77.66"/>
    <n v="0.15"/>
    <n v="330.05"/>
    <m/>
    <x v="3"/>
    <x v="3"/>
    <n v="330.05499999999995"/>
    <s v="MISMATCH"/>
  </r>
  <r>
    <s v="ORD-1788"/>
    <x v="69"/>
    <x v="3"/>
    <s v="M. Ansah"/>
    <x v="20"/>
    <x v="1"/>
    <s v="Blender"/>
    <n v="2"/>
    <n v="166.59"/>
    <n v="0.05"/>
    <n v="316.52"/>
    <m/>
    <x v="7"/>
    <x v="7"/>
    <n v="316.52100000000002"/>
    <s v="OK"/>
  </r>
  <r>
    <s v="ORD-2790"/>
    <x v="70"/>
    <x v="2"/>
    <s v="S. Addo"/>
    <x v="45"/>
    <x v="3"/>
    <s v="Shampoo 400ml"/>
    <n v="7"/>
    <n v="21.39"/>
    <n v="0.05"/>
    <n v="142.24"/>
    <m/>
    <x v="1"/>
    <x v="1"/>
    <n v="142.24350000000001"/>
    <s v="OK"/>
  </r>
  <r>
    <s v="ORD-2384"/>
    <x v="71"/>
    <x v="4"/>
    <s v="R. Ofori"/>
    <x v="51"/>
    <x v="4"/>
    <s v="Power Bank"/>
    <n v="8"/>
    <n v="141.56"/>
    <n v="0"/>
    <n v="1132.48"/>
    <m/>
    <x v="4"/>
    <x v="4"/>
    <n v="1132.48"/>
    <s v="OK"/>
  </r>
  <r>
    <s v="ORD-2654"/>
    <x v="72"/>
    <x v="2"/>
    <s v="R. Ofori"/>
    <x v="60"/>
    <x v="1"/>
    <s v="Storage Containers"/>
    <n v="10"/>
    <n v="24.34"/>
    <n v="0"/>
    <n v="243.4"/>
    <m/>
    <x v="8"/>
    <x v="8"/>
    <n v="243.4"/>
    <s v="OK"/>
  </r>
  <r>
    <s v="ORD-1452"/>
    <x v="73"/>
    <x v="2"/>
    <s v="M. Ansah"/>
    <x v="61"/>
    <x v="1"/>
    <s v="Blender"/>
    <n v="3"/>
    <n v="62.04"/>
    <n v="0"/>
    <n v="186.12"/>
    <m/>
    <x v="10"/>
    <x v="10"/>
    <n v="186.12"/>
    <s v="OK"/>
  </r>
  <r>
    <s v="ORD-1002"/>
    <x v="32"/>
    <x v="1"/>
    <s v="M. Ansah"/>
    <x v="62"/>
    <x v="2"/>
    <s v="Sugar 1kg"/>
    <n v="2"/>
    <n v="27.72"/>
    <n v="0"/>
    <n v="55.44"/>
    <m/>
    <x v="2"/>
    <x v="2"/>
    <n v="55.44"/>
    <s v="OK"/>
  </r>
  <r>
    <s v="ORD-1993"/>
    <x v="63"/>
    <x v="3"/>
    <s v="J. Tetteh"/>
    <x v="46"/>
    <x v="3"/>
    <s v="Hair Oil"/>
    <n v="3"/>
    <n v="126.32"/>
    <n v="0"/>
    <n v="378.96"/>
    <m/>
    <x v="7"/>
    <x v="7"/>
    <n v="378.96"/>
    <s v="OK"/>
  </r>
  <r>
    <s v="ORD-2703"/>
    <x v="74"/>
    <x v="3"/>
    <s v="M. Ansah"/>
    <x v="63"/>
    <x v="0"/>
    <s v="Sunglasses"/>
    <n v="5"/>
    <n v="128.35"/>
    <n v="0"/>
    <n v="641.75"/>
    <m/>
    <x v="7"/>
    <x v="7"/>
    <n v="641.75"/>
    <s v="OK"/>
  </r>
  <r>
    <s v="ORD-1377"/>
    <x v="75"/>
    <x v="3"/>
    <s v="P. Amoah"/>
    <x v="64"/>
    <x v="1"/>
    <s v="Non-stick Pan"/>
    <n v="10"/>
    <n v="125.18"/>
    <n v="0.1"/>
    <n v="1126.6199999999999"/>
    <m/>
    <x v="4"/>
    <x v="4"/>
    <n v="1126.6200000000001"/>
    <s v="OK"/>
  </r>
  <r>
    <s v="ORD-2084"/>
    <x v="76"/>
    <x v="3"/>
    <s v="R. Ofori"/>
    <x v="1"/>
    <x v="1"/>
    <s v="Non-stick Pan"/>
    <n v="5"/>
    <n v="138.13999999999999"/>
    <n v="0"/>
    <n v="690.7"/>
    <m/>
    <x v="8"/>
    <x v="8"/>
    <n v="690.69999999999993"/>
    <s v="OK"/>
  </r>
  <r>
    <s v="ORD-2201"/>
    <x v="77"/>
    <x v="1"/>
    <s v="S. Addo"/>
    <x v="65"/>
    <x v="0"/>
    <s v="Sneakers"/>
    <n v="12"/>
    <n v="171.03"/>
    <n v="0"/>
    <n v="2052.36"/>
    <m/>
    <x v="2"/>
    <x v="2"/>
    <n v="2052.36"/>
    <s v="OK"/>
  </r>
  <r>
    <s v="ORD-2526"/>
    <x v="78"/>
    <x v="0"/>
    <s v="R. Ofori"/>
    <x v="66"/>
    <x v="0"/>
    <s v="Denim Jeans"/>
    <n v="9"/>
    <n v="181.95"/>
    <n v="0.05"/>
    <n v="1555.67"/>
    <m/>
    <x v="11"/>
    <x v="11"/>
    <n v="1555.6724999999999"/>
    <s v="OK"/>
  </r>
  <r>
    <s v="ORD-1702"/>
    <x v="79"/>
    <x v="0"/>
    <s v="R. Ofori"/>
    <x v="67"/>
    <x v="4"/>
    <s v="USB-C Cable"/>
    <n v="5"/>
    <n v="10.1"/>
    <n v="0.15"/>
    <n v="42.92"/>
    <m/>
    <x v="4"/>
    <x v="4"/>
    <n v="42.924999999999997"/>
    <s v="MISMATCH"/>
  </r>
  <r>
    <s v="ORD-1140"/>
    <x v="80"/>
    <x v="3"/>
    <s v="R. Ofori"/>
    <x v="4"/>
    <x v="1"/>
    <s v="Storage Containers"/>
    <n v="7"/>
    <n v="106.65"/>
    <n v="0.1"/>
    <n v="671.9"/>
    <m/>
    <x v="2"/>
    <x v="2"/>
    <n v="671.8950000000001"/>
    <s v="OK"/>
  </r>
  <r>
    <s v="ORD-1729"/>
    <x v="64"/>
    <x v="2"/>
    <s v="R. Ofori"/>
    <x v="58"/>
    <x v="0"/>
    <s v="Cotton T-Shirt"/>
    <n v="6"/>
    <n v="225.56"/>
    <n v="0.1"/>
    <n v="1218.02"/>
    <m/>
    <x v="9"/>
    <x v="9"/>
    <n v="1218.0240000000001"/>
    <s v="OK"/>
  </r>
  <r>
    <s v="ORD-1920"/>
    <x v="81"/>
    <x v="0"/>
    <s v="R. Ofori"/>
    <x v="68"/>
    <x v="3"/>
    <s v="Hair Oil"/>
    <n v="12"/>
    <n v="120.2"/>
    <n v="0"/>
    <n v="1442.4"/>
    <m/>
    <x v="11"/>
    <x v="11"/>
    <n v="1442.4"/>
    <s v="OK"/>
  </r>
  <r>
    <s v="ORD-1848"/>
    <x v="45"/>
    <x v="2"/>
    <s v="R. Ofori"/>
    <x v="69"/>
    <x v="1"/>
    <s v="Table Lamp"/>
    <n v="12"/>
    <n v="56.39"/>
    <n v="0"/>
    <n v="676.68"/>
    <m/>
    <x v="1"/>
    <x v="1"/>
    <n v="676.68000000000006"/>
    <s v="OK"/>
  </r>
  <r>
    <s v="ORD-2081"/>
    <x v="82"/>
    <x v="4"/>
    <s v="M. Ansah"/>
    <x v="70"/>
    <x v="1"/>
    <s v="Electric Kettle"/>
    <n v="3"/>
    <n v="70"/>
    <n v="0.05"/>
    <n v="199.5"/>
    <m/>
    <x v="5"/>
    <x v="5"/>
    <n v="199.5"/>
    <s v="OK"/>
  </r>
  <r>
    <s v="ORD-1071"/>
    <x v="83"/>
    <x v="0"/>
    <s v="M. Ansah"/>
    <x v="71"/>
    <x v="2"/>
    <s v="Rice 5kg"/>
    <n v="3"/>
    <n v="22.5"/>
    <n v="0"/>
    <n v="67.5"/>
    <m/>
    <x v="1"/>
    <x v="1"/>
    <n v="67.5"/>
    <s v="OK"/>
  </r>
  <r>
    <s v="ORD-2396"/>
    <x v="81"/>
    <x v="1"/>
    <s v="P. Amoah"/>
    <x v="72"/>
    <x v="0"/>
    <s v="Sunglasses"/>
    <n v="11"/>
    <n v="51.54"/>
    <n v="0"/>
    <n v="566.94000000000005"/>
    <m/>
    <x v="11"/>
    <x v="11"/>
    <n v="566.93999999999994"/>
    <s v="OK"/>
  </r>
  <r>
    <s v="ORD-1927"/>
    <x v="84"/>
    <x v="4"/>
    <s v="R. Ofori"/>
    <x v="73"/>
    <x v="3"/>
    <s v="Lip Balm Set"/>
    <n v="5"/>
    <n v="82.07"/>
    <n v="0"/>
    <n v="410.35"/>
    <m/>
    <x v="6"/>
    <x v="6"/>
    <n v="410.34999999999997"/>
    <s v="OK"/>
  </r>
  <r>
    <s v="ORD-2595"/>
    <x v="85"/>
    <x v="2"/>
    <s v="P. Amoah"/>
    <x v="11"/>
    <x v="4"/>
    <s v="Bluetooth Speaker"/>
    <n v="1"/>
    <n v="95.46"/>
    <n v="0.15"/>
    <n v="81.14"/>
    <m/>
    <x v="4"/>
    <x v="4"/>
    <n v="81.140999999999991"/>
    <s v="OK"/>
  </r>
  <r>
    <s v="ORD-2445"/>
    <x v="86"/>
    <x v="1"/>
    <s v="J. Tetteh"/>
    <x v="73"/>
    <x v="3"/>
    <s v="Shea Butter Lotion"/>
    <n v="8"/>
    <n v="224.78"/>
    <n v="0"/>
    <n v="1798.24"/>
    <m/>
    <x v="10"/>
    <x v="10"/>
    <n v="1798.24"/>
    <s v="OK"/>
  </r>
  <r>
    <s v="ORD-1765"/>
    <x v="87"/>
    <x v="3"/>
    <s v="M. Ansah"/>
    <x v="13"/>
    <x v="3"/>
    <s v="Face Wash"/>
    <n v="1"/>
    <n v="219.65"/>
    <n v="0.05"/>
    <n v="208.67"/>
    <m/>
    <x v="0"/>
    <x v="0"/>
    <n v="208.66749999999999"/>
    <s v="OK"/>
  </r>
  <r>
    <s v="ORD-1804"/>
    <x v="88"/>
    <x v="4"/>
    <s v="J. Tetteh"/>
    <x v="46"/>
    <x v="1"/>
    <s v="Table Lamp"/>
    <n v="6"/>
    <n v="30.94"/>
    <n v="0"/>
    <n v="185.64"/>
    <m/>
    <x v="7"/>
    <x v="7"/>
    <n v="185.64000000000001"/>
    <s v="OK"/>
  </r>
  <r>
    <s v="ORD-1275"/>
    <x v="7"/>
    <x v="1"/>
    <s v="P. Amoah"/>
    <x v="74"/>
    <x v="0"/>
    <s v="Cotton T-Shirt"/>
    <n v="7"/>
    <n v="136.41999999999999"/>
    <n v="0.1"/>
    <n v="859.45"/>
    <m/>
    <x v="7"/>
    <x v="7"/>
    <n v="859.44599999999991"/>
    <s v="OK"/>
  </r>
  <r>
    <s v="ORD-1004"/>
    <x v="69"/>
    <x v="1"/>
    <s v="J. Tetteh"/>
    <x v="75"/>
    <x v="4"/>
    <s v="Wireless Earbuds"/>
    <n v="8"/>
    <n v="98.13"/>
    <n v="0.15"/>
    <n v="667.28"/>
    <m/>
    <x v="7"/>
    <x v="7"/>
    <n v="667.28399999999999"/>
    <s v="OK"/>
  </r>
  <r>
    <s v="ORD-1928"/>
    <x v="89"/>
    <x v="3"/>
    <s v="R. Ofori"/>
    <x v="31"/>
    <x v="2"/>
    <s v="Pasta Pack"/>
    <n v="2"/>
    <n v="177.15"/>
    <n v="0"/>
    <n v="354.3"/>
    <m/>
    <x v="6"/>
    <x v="6"/>
    <n v="354.3"/>
    <s v="OK"/>
  </r>
  <r>
    <s v="ORD-1431"/>
    <x v="49"/>
    <x v="0"/>
    <s v="S. Addo"/>
    <x v="76"/>
    <x v="4"/>
    <s v="Laptop Stand"/>
    <n v="4"/>
    <n v="7.9"/>
    <n v="0.05"/>
    <n v="30.02"/>
    <m/>
    <x v="4"/>
    <x v="4"/>
    <n v="30.02"/>
    <s v="OK"/>
  </r>
  <r>
    <s v="ORD-2346"/>
    <x v="56"/>
    <x v="4"/>
    <s v="R. Ofori"/>
    <x v="4"/>
    <x v="1"/>
    <s v="Table Lamp"/>
    <n v="5"/>
    <n v="191.88"/>
    <n v="0"/>
    <n v="959.4"/>
    <m/>
    <x v="11"/>
    <x v="11"/>
    <n v="959.4"/>
    <s v="OK"/>
  </r>
  <r>
    <s v="ORD-2589"/>
    <x v="90"/>
    <x v="4"/>
    <s v="M. Ansah"/>
    <x v="77"/>
    <x v="3"/>
    <s v="Shea Butter Lotion"/>
    <n v="1"/>
    <n v="175.4"/>
    <n v="0.15"/>
    <n v="149.09"/>
    <m/>
    <x v="9"/>
    <x v="9"/>
    <n v="149.09"/>
    <s v="OK"/>
  </r>
  <r>
    <s v="ORD-1630"/>
    <x v="91"/>
    <x v="3"/>
    <s v="R. Ofori"/>
    <x v="53"/>
    <x v="2"/>
    <s v="Rice 5kg"/>
    <n v="6"/>
    <n v="126.47"/>
    <n v="0.15"/>
    <n v="645"/>
    <m/>
    <x v="0"/>
    <x v="0"/>
    <n v="644.99699999999996"/>
    <s v="OK"/>
  </r>
  <r>
    <s v="ORD-2717"/>
    <x v="3"/>
    <x v="4"/>
    <s v="P. Amoah"/>
    <x v="36"/>
    <x v="3"/>
    <s v="Shea Butter Lotion"/>
    <n v="3"/>
    <n v="101.01"/>
    <n v="0.1"/>
    <n v="272.73"/>
    <m/>
    <x v="3"/>
    <x v="3"/>
    <n v="272.72700000000003"/>
    <s v="OK"/>
  </r>
  <r>
    <s v="ORD-1185"/>
    <x v="16"/>
    <x v="0"/>
    <s v="P. Amoah"/>
    <x v="36"/>
    <x v="3"/>
    <s v="Face Wash"/>
    <n v="11"/>
    <n v="64.400000000000006"/>
    <n v="0.1"/>
    <n v="637.55999999999995"/>
    <m/>
    <x v="5"/>
    <x v="5"/>
    <n v="637.56000000000006"/>
    <s v="OK"/>
  </r>
  <r>
    <s v="ORD-2094"/>
    <x v="92"/>
    <x v="4"/>
    <s v="M. Ansah"/>
    <x v="78"/>
    <x v="4"/>
    <s v="Laptop Stand"/>
    <n v="10"/>
    <n v="52.6"/>
    <n v="0"/>
    <n v="526"/>
    <m/>
    <x v="0"/>
    <x v="0"/>
    <n v="526"/>
    <s v="OK"/>
  </r>
  <r>
    <s v="ORD-2294"/>
    <x v="93"/>
    <x v="1"/>
    <s v="R. Ofori"/>
    <x v="79"/>
    <x v="1"/>
    <s v="Electric Kettle"/>
    <n v="1"/>
    <n v="95.18"/>
    <n v="0.05"/>
    <n v="90.42"/>
    <m/>
    <x v="8"/>
    <x v="8"/>
    <n v="90.421000000000006"/>
    <s v="OK"/>
  </r>
  <r>
    <s v="ORD-2680"/>
    <x v="94"/>
    <x v="1"/>
    <s v="S. Addo"/>
    <x v="55"/>
    <x v="3"/>
    <s v="Lip Balm Set"/>
    <n v="6"/>
    <n v="227.95"/>
    <n v="0"/>
    <n v="1367.7"/>
    <m/>
    <x v="4"/>
    <x v="4"/>
    <n v="1367.6999999999998"/>
    <s v="OK"/>
  </r>
  <r>
    <s v="ORD-1374"/>
    <x v="95"/>
    <x v="0"/>
    <s v="P. Amoah"/>
    <x v="80"/>
    <x v="4"/>
    <s v="Laptop Stand"/>
    <n v="12"/>
    <n v="228.31"/>
    <n v="0.15"/>
    <n v="2328.7600000000002"/>
    <m/>
    <x v="10"/>
    <x v="10"/>
    <n v="2328.7620000000002"/>
    <s v="OK"/>
  </r>
  <r>
    <s v="ORD-1705"/>
    <x v="96"/>
    <x v="0"/>
    <s v="R. Ofori"/>
    <x v="5"/>
    <x v="1"/>
    <s v="Electric Kettle"/>
    <n v="8"/>
    <n v="236.05"/>
    <n v="0"/>
    <n v="1888.4"/>
    <m/>
    <x v="0"/>
    <x v="0"/>
    <n v="1888.4"/>
    <s v="OK"/>
  </r>
  <r>
    <s v="ORD-2236"/>
    <x v="9"/>
    <x v="4"/>
    <s v="M. Ansah"/>
    <x v="12"/>
    <x v="2"/>
    <s v="Canned Tomatoes"/>
    <n v="5"/>
    <n v="60.44"/>
    <n v="0"/>
    <n v="302.2"/>
    <m/>
    <x v="2"/>
    <x v="2"/>
    <n v="302.2"/>
    <s v="OK"/>
  </r>
  <r>
    <s v="ORD-1783"/>
    <x v="44"/>
    <x v="1"/>
    <s v="M. Ansah"/>
    <x v="81"/>
    <x v="2"/>
    <s v="Sugar 1kg"/>
    <n v="8"/>
    <n v="56.35"/>
    <n v="0.1"/>
    <n v="405.72"/>
    <m/>
    <x v="10"/>
    <x v="10"/>
    <n v="405.72"/>
    <s v="OK"/>
  </r>
  <r>
    <s v="ORD-2274"/>
    <x v="97"/>
    <x v="1"/>
    <s v="R. Ofori"/>
    <x v="82"/>
    <x v="1"/>
    <s v="Storage Containers"/>
    <n v="8"/>
    <n v="97.38"/>
    <n v="0"/>
    <n v="779.04"/>
    <m/>
    <x v="9"/>
    <x v="9"/>
    <n v="779.04"/>
    <s v="OK"/>
  </r>
  <r>
    <s v="ORD-2692"/>
    <x v="98"/>
    <x v="4"/>
    <s v="S. Addo"/>
    <x v="83"/>
    <x v="2"/>
    <s v="Canned Tomatoes"/>
    <n v="5"/>
    <n v="44.65"/>
    <n v="0"/>
    <n v="223.25"/>
    <m/>
    <x v="10"/>
    <x v="10"/>
    <n v="223.25"/>
    <s v="OK"/>
  </r>
  <r>
    <s v="ORD-2334"/>
    <x v="99"/>
    <x v="2"/>
    <s v="R. Ofori"/>
    <x v="84"/>
    <x v="3"/>
    <s v="Lip Balm Set"/>
    <n v="6"/>
    <n v="223.19"/>
    <n v="0.1"/>
    <n v="1205.23"/>
    <m/>
    <x v="5"/>
    <x v="5"/>
    <n v="1205.2259999999999"/>
    <s v="OK"/>
  </r>
  <r>
    <s v="ORD-2770"/>
    <x v="51"/>
    <x v="4"/>
    <s v="S. Addo"/>
    <x v="83"/>
    <x v="3"/>
    <s v="Shea Butter Lotion"/>
    <n v="9"/>
    <n v="161.12"/>
    <n v="0.1"/>
    <n v="1305.07"/>
    <m/>
    <x v="1"/>
    <x v="1"/>
    <n v="1305.0719999999999"/>
    <s v="OK"/>
  </r>
  <r>
    <s v="ORD-1640"/>
    <x v="100"/>
    <x v="3"/>
    <s v="S. Addo"/>
    <x v="85"/>
    <x v="1"/>
    <s v="Storage Containers"/>
    <n v="10"/>
    <n v="192.18"/>
    <n v="0.15"/>
    <n v="1633.53"/>
    <m/>
    <x v="9"/>
    <x v="9"/>
    <n v="1633.5300000000002"/>
    <s v="OK"/>
  </r>
  <r>
    <s v="ORD-1127"/>
    <x v="60"/>
    <x v="0"/>
    <s v="S. Addo"/>
    <x v="86"/>
    <x v="4"/>
    <s v="USB-C Cable"/>
    <n v="2"/>
    <n v="91.23"/>
    <n v="0"/>
    <n v="182.46"/>
    <m/>
    <x v="5"/>
    <x v="5"/>
    <n v="182.46"/>
    <s v="OK"/>
  </r>
  <r>
    <s v="ORD-2058"/>
    <x v="101"/>
    <x v="4"/>
    <s v="S. Addo"/>
    <x v="84"/>
    <x v="3"/>
    <s v="Shea Butter Lotion"/>
    <n v="11"/>
    <n v="208.14"/>
    <n v="0.05"/>
    <n v="2175.06"/>
    <m/>
    <x v="5"/>
    <x v="5"/>
    <n v="2175.0629999999996"/>
    <s v="OK"/>
  </r>
  <r>
    <s v="ORD-1344"/>
    <x v="102"/>
    <x v="0"/>
    <s v="S. Addo"/>
    <x v="87"/>
    <x v="1"/>
    <s v="Blender"/>
    <n v="11"/>
    <n v="111.25"/>
    <n v="0"/>
    <n v="1223.75"/>
    <m/>
    <x v="10"/>
    <x v="10"/>
    <n v="1223.75"/>
    <s v="OK"/>
  </r>
  <r>
    <s v="ORD-2779"/>
    <x v="103"/>
    <x v="3"/>
    <s v="J. Tetteh"/>
    <x v="26"/>
    <x v="4"/>
    <s v="USB-C Cable"/>
    <n v="6"/>
    <n v="188.85"/>
    <n v="0"/>
    <n v="1133.0999999999999"/>
    <m/>
    <x v="4"/>
    <x v="4"/>
    <n v="1133.0999999999999"/>
    <s v="OK"/>
  </r>
  <r>
    <s v="ORD-1489"/>
    <x v="104"/>
    <x v="2"/>
    <s v="P. Amoah"/>
    <x v="88"/>
    <x v="3"/>
    <s v="Shea Butter Lotion"/>
    <n v="9"/>
    <n v="50.67"/>
    <n v="0.05"/>
    <n v="433.23"/>
    <m/>
    <x v="3"/>
    <x v="3"/>
    <n v="433.2285"/>
    <s v="OK"/>
  </r>
  <r>
    <s v="ORD-1742"/>
    <x v="105"/>
    <x v="3"/>
    <s v="J. Tetteh"/>
    <x v="22"/>
    <x v="3"/>
    <s v="Lip Balm Set"/>
    <n v="12"/>
    <n v="208.47"/>
    <n v="0.1"/>
    <n v="2251.48"/>
    <m/>
    <x v="9"/>
    <x v="9"/>
    <n v="2251.4760000000001"/>
    <s v="OK"/>
  </r>
  <r>
    <s v="ORD-1281"/>
    <x v="106"/>
    <x v="0"/>
    <s v="M. Ansah"/>
    <x v="89"/>
    <x v="3"/>
    <s v="Hair Oil"/>
    <n v="2"/>
    <n v="71.459999999999994"/>
    <n v="0.1"/>
    <n v="128.63"/>
    <m/>
    <x v="10"/>
    <x v="10"/>
    <n v="128.62799999999999"/>
    <s v="OK"/>
  </r>
  <r>
    <s v="ORD-1948"/>
    <x v="107"/>
    <x v="0"/>
    <s v="J. Tetteh"/>
    <x v="90"/>
    <x v="0"/>
    <s v="Denim Jeans"/>
    <n v="5"/>
    <n v="8.9700000000000006"/>
    <n v="0.1"/>
    <n v="40.369999999999997"/>
    <m/>
    <x v="9"/>
    <x v="9"/>
    <n v="40.365000000000002"/>
    <s v="OK"/>
  </r>
  <r>
    <s v="ORD-2189"/>
    <x v="108"/>
    <x v="2"/>
    <s v="M. Ansah"/>
    <x v="1"/>
    <x v="0"/>
    <s v="Sunglasses"/>
    <n v="11"/>
    <n v="191.31"/>
    <n v="0"/>
    <n v="2104.41"/>
    <m/>
    <x v="7"/>
    <x v="7"/>
    <n v="2104.41"/>
    <s v="OK"/>
  </r>
  <r>
    <s v="ORD-2238"/>
    <x v="75"/>
    <x v="1"/>
    <s v="M. Ansah"/>
    <x v="52"/>
    <x v="3"/>
    <s v="Shea Butter Lotion"/>
    <n v="2"/>
    <n v="78.209999999999994"/>
    <n v="0.1"/>
    <n v="140.78"/>
    <m/>
    <x v="4"/>
    <x v="4"/>
    <n v="140.77799999999999"/>
    <s v="OK"/>
  </r>
  <r>
    <s v="ORD-1898"/>
    <x v="109"/>
    <x v="0"/>
    <s v="J. Tetteh"/>
    <x v="56"/>
    <x v="1"/>
    <s v="Electric Kettle"/>
    <n v="6"/>
    <n v="160.01"/>
    <n v="0"/>
    <n v="960.06"/>
    <m/>
    <x v="8"/>
    <x v="8"/>
    <n v="960.06"/>
    <s v="OK"/>
  </r>
  <r>
    <s v="ORD-1423"/>
    <x v="10"/>
    <x v="1"/>
    <s v="S. Addo"/>
    <x v="91"/>
    <x v="4"/>
    <s v="Power Bank"/>
    <n v="5"/>
    <n v="201.72"/>
    <n v="0.1"/>
    <n v="907.74"/>
    <m/>
    <x v="2"/>
    <x v="2"/>
    <n v="907.74"/>
    <s v="OK"/>
  </r>
  <r>
    <s v="ORD-1540"/>
    <x v="22"/>
    <x v="4"/>
    <s v="J. Tetteh"/>
    <x v="92"/>
    <x v="2"/>
    <s v="Sugar 1kg"/>
    <n v="5"/>
    <n v="212.67"/>
    <n v="0"/>
    <n v="1063.3499999999999"/>
    <m/>
    <x v="8"/>
    <x v="8"/>
    <n v="1063.3499999999999"/>
    <s v="OK"/>
  </r>
  <r>
    <s v="ORD-2051"/>
    <x v="110"/>
    <x v="0"/>
    <s v="M. Ansah"/>
    <x v="93"/>
    <x v="1"/>
    <s v="Storage Containers"/>
    <n v="5"/>
    <n v="200.9"/>
    <n v="0"/>
    <n v="1004.5"/>
    <m/>
    <x v="6"/>
    <x v="6"/>
    <n v="1004.5"/>
    <s v="OK"/>
  </r>
  <r>
    <s v="ORD-2374"/>
    <x v="9"/>
    <x v="4"/>
    <s v="P. Amoah"/>
    <x v="94"/>
    <x v="3"/>
    <s v="Shea Butter Lotion"/>
    <n v="7"/>
    <n v="248.69"/>
    <n v="0"/>
    <n v="1740.83"/>
    <m/>
    <x v="2"/>
    <x v="2"/>
    <n v="1740.83"/>
    <s v="OK"/>
  </r>
  <r>
    <s v="ORD-2146"/>
    <x v="111"/>
    <x v="3"/>
    <s v="R. Ofori"/>
    <x v="95"/>
    <x v="4"/>
    <s v="Bluetooth Speaker"/>
    <n v="6"/>
    <n v="41.84"/>
    <n v="0.15"/>
    <n v="213.38"/>
    <m/>
    <x v="4"/>
    <x v="4"/>
    <n v="213.38400000000001"/>
    <s v="OK"/>
  </r>
  <r>
    <s v="ORD-1419"/>
    <x v="112"/>
    <x v="0"/>
    <s v="P. Amoah"/>
    <x v="66"/>
    <x v="2"/>
    <s v="Canned Tomatoes"/>
    <n v="10"/>
    <n v="13.23"/>
    <n v="0.1"/>
    <n v="119.07"/>
    <m/>
    <x v="1"/>
    <x v="1"/>
    <n v="119.07000000000001"/>
    <s v="OK"/>
  </r>
  <r>
    <s v="ORD-1471"/>
    <x v="113"/>
    <x v="2"/>
    <s v="Unassigned"/>
    <x v="96"/>
    <x v="0"/>
    <s v="Sunglasses"/>
    <n v="6"/>
    <n v="207.41"/>
    <n v="0.1"/>
    <n v="1120.01"/>
    <m/>
    <x v="8"/>
    <x v="8"/>
    <n v="1120.0140000000001"/>
    <s v="OK"/>
  </r>
  <r>
    <s v="ORD-1204"/>
    <x v="96"/>
    <x v="4"/>
    <s v="J. Tetteh"/>
    <x v="84"/>
    <x v="3"/>
    <s v="Shea Butter Lotion"/>
    <n v="11"/>
    <n v="114.38"/>
    <n v="0.15"/>
    <n v="1069.45"/>
    <m/>
    <x v="0"/>
    <x v="0"/>
    <n v="1069.4529999999997"/>
    <s v="OK"/>
  </r>
  <r>
    <s v="ORD-1284"/>
    <x v="114"/>
    <x v="1"/>
    <s v="M. Ansah"/>
    <x v="29"/>
    <x v="2"/>
    <s v="Sugar 1kg"/>
    <n v="7"/>
    <n v="41.89"/>
    <n v="0"/>
    <n v="293.23"/>
    <m/>
    <x v="2"/>
    <x v="2"/>
    <n v="293.23"/>
    <s v="OK"/>
  </r>
  <r>
    <s v="ORD-1620"/>
    <x v="115"/>
    <x v="4"/>
    <s v="S. Addo"/>
    <x v="78"/>
    <x v="0"/>
    <s v="Cotton T-Shirt"/>
    <n v="5"/>
    <n v="38.549999999999997"/>
    <n v="0"/>
    <n v="192.75"/>
    <m/>
    <x v="11"/>
    <x v="11"/>
    <n v="192.75"/>
    <s v="OK"/>
  </r>
  <r>
    <s v="ORD-1146"/>
    <x v="116"/>
    <x v="2"/>
    <s v="P. Amoah"/>
    <x v="26"/>
    <x v="4"/>
    <s v="Power Bank"/>
    <n v="8"/>
    <n v="100.66"/>
    <n v="0"/>
    <n v="805.28"/>
    <m/>
    <x v="5"/>
    <x v="5"/>
    <n v="805.28"/>
    <s v="OK"/>
  </r>
  <r>
    <s v="ORD-1981"/>
    <x v="117"/>
    <x v="0"/>
    <s v="R. Ofori"/>
    <x v="97"/>
    <x v="4"/>
    <s v="Smartphone Case"/>
    <n v="10"/>
    <n v="231.59"/>
    <n v="0.05"/>
    <n v="2200.11"/>
    <m/>
    <x v="1"/>
    <x v="1"/>
    <n v="2200.105"/>
    <s v="OK"/>
  </r>
  <r>
    <s v="ORD-2502"/>
    <x v="118"/>
    <x v="2"/>
    <s v="M. Ansah"/>
    <x v="98"/>
    <x v="0"/>
    <s v="Leather Wallet"/>
    <n v="10"/>
    <n v="245.27"/>
    <n v="0"/>
    <n v="2452.6999999999998"/>
    <m/>
    <x v="6"/>
    <x v="6"/>
    <n v="2452.7000000000003"/>
    <s v="OK"/>
  </r>
  <r>
    <s v="ORD-1870"/>
    <x v="14"/>
    <x v="1"/>
    <s v="M. Ansah"/>
    <x v="99"/>
    <x v="4"/>
    <s v="Laptop Stand"/>
    <n v="5"/>
    <n v="25.72"/>
    <n v="0.1"/>
    <n v="115.74"/>
    <m/>
    <x v="5"/>
    <x v="5"/>
    <n v="115.74"/>
    <s v="OK"/>
  </r>
  <r>
    <s v="ORD-1372"/>
    <x v="119"/>
    <x v="2"/>
    <s v="P. Amoah"/>
    <x v="100"/>
    <x v="4"/>
    <s v="Laptop Stand"/>
    <n v="2"/>
    <n v="204.44"/>
    <n v="0.1"/>
    <n v="367.99"/>
    <m/>
    <x v="6"/>
    <x v="6"/>
    <n v="367.99200000000002"/>
    <s v="OK"/>
  </r>
  <r>
    <s v="ORD-2116"/>
    <x v="16"/>
    <x v="3"/>
    <s v="J. Tetteh"/>
    <x v="101"/>
    <x v="2"/>
    <s v="Sugar 1kg"/>
    <n v="6"/>
    <n v="85.47"/>
    <n v="0"/>
    <n v="512.82000000000005"/>
    <m/>
    <x v="5"/>
    <x v="5"/>
    <n v="512.81999999999994"/>
    <s v="OK"/>
  </r>
  <r>
    <s v="ORD-2592"/>
    <x v="120"/>
    <x v="3"/>
    <s v="M. Ansah"/>
    <x v="51"/>
    <x v="3"/>
    <s v="Face Wash"/>
    <n v="4"/>
    <n v="198.44"/>
    <n v="0"/>
    <n v="793.76"/>
    <m/>
    <x v="4"/>
    <x v="4"/>
    <n v="793.76"/>
    <s v="OK"/>
  </r>
  <r>
    <s v="ORD-1517"/>
    <x v="2"/>
    <x v="2"/>
    <s v="S. Addo"/>
    <x v="102"/>
    <x v="1"/>
    <s v="Non-stick Pan"/>
    <n v="2"/>
    <n v="192.92"/>
    <n v="0.15"/>
    <n v="327.96"/>
    <m/>
    <x v="2"/>
    <x v="2"/>
    <n v="327.96399999999994"/>
    <s v="OK"/>
  </r>
  <r>
    <s v="ORD-1200"/>
    <x v="121"/>
    <x v="4"/>
    <s v="R. Ofori"/>
    <x v="87"/>
    <x v="4"/>
    <s v="USB-C Cable"/>
    <n v="12"/>
    <n v="192.63"/>
    <n v="0.15"/>
    <n v="1964.83"/>
    <m/>
    <x v="0"/>
    <x v="0"/>
    <n v="1964.8259999999998"/>
    <s v="OK"/>
  </r>
  <r>
    <s v="ORD-1313"/>
    <x v="122"/>
    <x v="3"/>
    <s v="J. Tetteh"/>
    <x v="99"/>
    <x v="0"/>
    <s v="Leather Wallet"/>
    <n v="6"/>
    <n v="42.63"/>
    <n v="0"/>
    <n v="255.78"/>
    <m/>
    <x v="9"/>
    <x v="9"/>
    <n v="255.78000000000003"/>
    <s v="OK"/>
  </r>
  <r>
    <s v="ORD-2662"/>
    <x v="123"/>
    <x v="3"/>
    <s v="Unassigned"/>
    <x v="103"/>
    <x v="3"/>
    <s v="Lip Balm Set"/>
    <n v="8"/>
    <n v="248.94"/>
    <n v="0"/>
    <n v="1991.52"/>
    <m/>
    <x v="5"/>
    <x v="5"/>
    <n v="1991.52"/>
    <s v="OK"/>
  </r>
  <r>
    <s v="ORD-2479"/>
    <x v="124"/>
    <x v="4"/>
    <s v="J. Tetteh"/>
    <x v="5"/>
    <x v="0"/>
    <s v="Denim Jeans"/>
    <n v="12"/>
    <n v="120.23"/>
    <n v="0.15"/>
    <n v="1226.3499999999999"/>
    <m/>
    <x v="8"/>
    <x v="8"/>
    <n v="1226.346"/>
    <s v="OK"/>
  </r>
  <r>
    <s v="ORD-2748"/>
    <x v="125"/>
    <x v="3"/>
    <s v="S. Addo"/>
    <x v="104"/>
    <x v="1"/>
    <s v="Electric Kettle"/>
    <n v="9"/>
    <n v="112.27"/>
    <n v="0"/>
    <n v="1010.43"/>
    <m/>
    <x v="7"/>
    <x v="7"/>
    <n v="1010.43"/>
    <s v="OK"/>
  </r>
  <r>
    <s v="ORD-1370"/>
    <x v="126"/>
    <x v="0"/>
    <s v="P. Amoah"/>
    <x v="105"/>
    <x v="3"/>
    <s v="Face Wash"/>
    <n v="9"/>
    <n v="170.19"/>
    <n v="0"/>
    <n v="1531.71"/>
    <m/>
    <x v="3"/>
    <x v="3"/>
    <n v="1531.71"/>
    <s v="OK"/>
  </r>
  <r>
    <s v="ORD-1111"/>
    <x v="26"/>
    <x v="0"/>
    <s v="J. Tetteh"/>
    <x v="59"/>
    <x v="4"/>
    <s v="Wireless Earbuds"/>
    <n v="10"/>
    <n v="141.31"/>
    <n v="0.1"/>
    <n v="1271.79"/>
    <m/>
    <x v="3"/>
    <x v="3"/>
    <n v="1271.79"/>
    <s v="OK"/>
  </r>
  <r>
    <s v="ORD-1945"/>
    <x v="127"/>
    <x v="1"/>
    <s v="P. Amoah"/>
    <x v="106"/>
    <x v="3"/>
    <s v="Lip Balm Set"/>
    <n v="12"/>
    <n v="84.31"/>
    <n v="0.15"/>
    <n v="859.96"/>
    <m/>
    <x v="8"/>
    <x v="8"/>
    <n v="859.96199999999999"/>
    <s v="OK"/>
  </r>
  <r>
    <s v="ORD-1341"/>
    <x v="128"/>
    <x v="1"/>
    <s v="M. Ansah"/>
    <x v="80"/>
    <x v="4"/>
    <s v="USB-C Cable"/>
    <n v="2"/>
    <n v="124.95"/>
    <n v="0"/>
    <n v="249.9"/>
    <m/>
    <x v="5"/>
    <x v="5"/>
    <n v="249.9"/>
    <s v="OK"/>
  </r>
  <r>
    <s v="ORD-1141"/>
    <x v="129"/>
    <x v="4"/>
    <s v="J. Tetteh"/>
    <x v="21"/>
    <x v="2"/>
    <s v="Rice 5kg"/>
    <n v="11"/>
    <n v="210.6"/>
    <n v="0"/>
    <n v="2316.6"/>
    <m/>
    <x v="2"/>
    <x v="2"/>
    <n v="2316.6"/>
    <s v="OK"/>
  </r>
  <r>
    <s v="ORD-1179"/>
    <x v="130"/>
    <x v="2"/>
    <s v="J. Tetteh"/>
    <x v="19"/>
    <x v="1"/>
    <s v="Electric Kettle"/>
    <n v="7"/>
    <n v="113.05"/>
    <n v="0"/>
    <n v="791.35"/>
    <m/>
    <x v="7"/>
    <x v="7"/>
    <n v="791.35"/>
    <s v="OK"/>
  </r>
  <r>
    <s v="ORD-1757"/>
    <x v="131"/>
    <x v="4"/>
    <s v="R. Ofori"/>
    <x v="107"/>
    <x v="0"/>
    <s v="Cotton T-Shirt"/>
    <n v="7"/>
    <n v="154.63"/>
    <n v="0"/>
    <n v="1082.4100000000001"/>
    <m/>
    <x v="6"/>
    <x v="6"/>
    <n v="1082.4099999999999"/>
    <s v="OK"/>
  </r>
  <r>
    <s v="ORD-2117"/>
    <x v="47"/>
    <x v="0"/>
    <s v="R. Ofori"/>
    <x v="87"/>
    <x v="3"/>
    <s v="Face Wash"/>
    <n v="12"/>
    <n v="248.96"/>
    <n v="0"/>
    <n v="2987.52"/>
    <m/>
    <x v="9"/>
    <x v="9"/>
    <n v="2987.52"/>
    <s v="OK"/>
  </r>
  <r>
    <s v="ORD-1537"/>
    <x v="132"/>
    <x v="3"/>
    <s v="P. Amoah"/>
    <x v="108"/>
    <x v="3"/>
    <s v="Lip Balm Set"/>
    <n v="7"/>
    <n v="48.16"/>
    <n v="0"/>
    <n v="337.12"/>
    <m/>
    <x v="0"/>
    <x v="0"/>
    <n v="337.12"/>
    <s v="OK"/>
  </r>
  <r>
    <s v="ORD-1995"/>
    <x v="133"/>
    <x v="2"/>
    <s v="R. Ofori"/>
    <x v="16"/>
    <x v="4"/>
    <s v="Bluetooth Speaker"/>
    <n v="7"/>
    <n v="168.18"/>
    <n v="0"/>
    <n v="1177.26"/>
    <m/>
    <x v="11"/>
    <x v="11"/>
    <n v="1177.26"/>
    <s v="OK"/>
  </r>
  <r>
    <s v="ORD-1664"/>
    <x v="86"/>
    <x v="1"/>
    <s v="S. Addo"/>
    <x v="35"/>
    <x v="4"/>
    <s v="USB-C Cable"/>
    <n v="12"/>
    <n v="206.98"/>
    <n v="0"/>
    <n v="2483.7600000000002"/>
    <m/>
    <x v="10"/>
    <x v="10"/>
    <n v="2483.7599999999998"/>
    <s v="OK"/>
  </r>
  <r>
    <s v="ORD-1619"/>
    <x v="92"/>
    <x v="4"/>
    <s v="Unassigned"/>
    <x v="101"/>
    <x v="3"/>
    <s v="Shea Butter Lotion"/>
    <n v="6"/>
    <n v="138.21"/>
    <n v="0.15"/>
    <n v="704.87"/>
    <m/>
    <x v="0"/>
    <x v="0"/>
    <n v="704.87099999999998"/>
    <s v="OK"/>
  </r>
  <r>
    <s v="ORD-2272"/>
    <x v="134"/>
    <x v="4"/>
    <s v="M. Ansah"/>
    <x v="109"/>
    <x v="0"/>
    <s v="Denim Jeans"/>
    <n v="1"/>
    <n v="199.54"/>
    <n v="0"/>
    <n v="199.54"/>
    <m/>
    <x v="10"/>
    <x v="10"/>
    <n v="199.54"/>
    <s v="OK"/>
  </r>
  <r>
    <s v="ORD-1504"/>
    <x v="135"/>
    <x v="1"/>
    <s v="M. Ansah"/>
    <x v="110"/>
    <x v="2"/>
    <s v="Rice 5kg"/>
    <n v="8"/>
    <n v="32.97"/>
    <n v="0.15"/>
    <n v="224.2"/>
    <m/>
    <x v="11"/>
    <x v="11"/>
    <n v="224.196"/>
    <s v="OK"/>
  </r>
  <r>
    <s v="ORD-2696"/>
    <x v="53"/>
    <x v="4"/>
    <s v="M. Ansah"/>
    <x v="85"/>
    <x v="4"/>
    <s v="Wireless Earbuds"/>
    <n v="3"/>
    <n v="42.28"/>
    <n v="0.05"/>
    <n v="120.5"/>
    <m/>
    <x v="6"/>
    <x v="6"/>
    <n v="120.498"/>
    <s v="OK"/>
  </r>
  <r>
    <s v="ORD-2556"/>
    <x v="130"/>
    <x v="3"/>
    <s v="P. Amoah"/>
    <x v="89"/>
    <x v="3"/>
    <s v="Lip Balm Set"/>
    <n v="9"/>
    <n v="225.14"/>
    <n v="0"/>
    <n v="2026.26"/>
    <m/>
    <x v="7"/>
    <x v="7"/>
    <n v="2026.2599999999998"/>
    <s v="OK"/>
  </r>
  <r>
    <s v="ORD-2405"/>
    <x v="136"/>
    <x v="0"/>
    <s v="J. Tetteh"/>
    <x v="78"/>
    <x v="2"/>
    <s v="Cooking Oil 1L"/>
    <n v="10"/>
    <n v="144.94999999999999"/>
    <n v="0"/>
    <n v="1449.5"/>
    <m/>
    <x v="11"/>
    <x v="11"/>
    <n v="1449.5"/>
    <s v="OK"/>
  </r>
  <r>
    <s v="ORD-1357"/>
    <x v="137"/>
    <x v="2"/>
    <s v="J. Tetteh"/>
    <x v="110"/>
    <x v="4"/>
    <s v="Wireless Earbuds"/>
    <n v="11"/>
    <n v="244.58"/>
    <n v="0"/>
    <n v="2690.38"/>
    <m/>
    <x v="4"/>
    <x v="4"/>
    <n v="2690.38"/>
    <s v="OK"/>
  </r>
  <r>
    <s v="ORD-1789"/>
    <x v="138"/>
    <x v="4"/>
    <s v="R. Ofori"/>
    <x v="16"/>
    <x v="3"/>
    <s v="Shea Butter Lotion"/>
    <n v="3"/>
    <n v="247.45"/>
    <n v="0.1"/>
    <n v="668.11"/>
    <m/>
    <x v="9"/>
    <x v="9"/>
    <n v="668.1149999999999"/>
    <s v="MISMATCH"/>
  </r>
  <r>
    <s v="ORD-2667"/>
    <x v="139"/>
    <x v="3"/>
    <s v="R. Ofori"/>
    <x v="111"/>
    <x v="3"/>
    <s v="Hair Oil"/>
    <n v="1"/>
    <n v="20.12"/>
    <n v="0"/>
    <n v="20.12"/>
    <m/>
    <x v="2"/>
    <x v="2"/>
    <n v="20.12"/>
    <s v="OK"/>
  </r>
  <r>
    <s v="ORD-2425"/>
    <x v="133"/>
    <x v="4"/>
    <s v="M. Ansah"/>
    <x v="112"/>
    <x v="3"/>
    <s v="Shampoo 400ml"/>
    <n v="8"/>
    <n v="225.62"/>
    <n v="0"/>
    <n v="1804.96"/>
    <m/>
    <x v="11"/>
    <x v="11"/>
    <n v="1804.96"/>
    <s v="OK"/>
  </r>
  <r>
    <s v="ORD-2399"/>
    <x v="140"/>
    <x v="1"/>
    <s v="R. Ofori"/>
    <x v="33"/>
    <x v="0"/>
    <s v="Cotton T-Shirt"/>
    <n v="5"/>
    <n v="51.29"/>
    <n v="0.05"/>
    <n v="243.63"/>
    <m/>
    <x v="6"/>
    <x v="6"/>
    <n v="243.62749999999997"/>
    <s v="OK"/>
  </r>
  <r>
    <s v="ORD-2799"/>
    <x v="141"/>
    <x v="3"/>
    <s v="P. Amoah"/>
    <x v="113"/>
    <x v="1"/>
    <s v="Non-stick Pan"/>
    <n v="4"/>
    <n v="65.150000000000006"/>
    <n v="0"/>
    <n v="260.60000000000002"/>
    <m/>
    <x v="7"/>
    <x v="7"/>
    <n v="260.60000000000002"/>
    <s v="OK"/>
  </r>
  <r>
    <s v="ORD-1047"/>
    <x v="142"/>
    <x v="4"/>
    <s v="J. Tetteh"/>
    <x v="34"/>
    <x v="1"/>
    <s v="Storage Containers"/>
    <n v="8"/>
    <n v="86.07"/>
    <n v="0.05"/>
    <n v="654.13"/>
    <m/>
    <x v="9"/>
    <x v="9"/>
    <n v="654.13199999999995"/>
    <s v="OK"/>
  </r>
  <r>
    <s v="ORD-2669"/>
    <x v="3"/>
    <x v="0"/>
    <s v="P. Amoah"/>
    <x v="114"/>
    <x v="4"/>
    <s v="Laptop Stand"/>
    <n v="10"/>
    <n v="198.91"/>
    <n v="0.15"/>
    <n v="1690.73"/>
    <m/>
    <x v="3"/>
    <x v="3"/>
    <n v="1690.7349999999999"/>
    <s v="MISMATCH"/>
  </r>
  <r>
    <s v="ORD-2041"/>
    <x v="143"/>
    <x v="3"/>
    <s v="M. Ansah"/>
    <x v="115"/>
    <x v="3"/>
    <s v="Lip Balm Set"/>
    <n v="8"/>
    <n v="18.88"/>
    <n v="0"/>
    <n v="151.04"/>
    <m/>
    <x v="6"/>
    <x v="6"/>
    <n v="151.04"/>
    <s v="OK"/>
  </r>
  <r>
    <s v="ORD-1095"/>
    <x v="144"/>
    <x v="3"/>
    <s v="S. Addo"/>
    <x v="116"/>
    <x v="3"/>
    <s v="Face Wash"/>
    <n v="8"/>
    <n v="228.94"/>
    <n v="0"/>
    <n v="1831.52"/>
    <m/>
    <x v="11"/>
    <x v="11"/>
    <n v="1831.52"/>
    <s v="OK"/>
  </r>
  <r>
    <s v="ORD-2584"/>
    <x v="124"/>
    <x v="3"/>
    <s v="P. Amoah"/>
    <x v="117"/>
    <x v="3"/>
    <s v="Face Wash"/>
    <n v="5"/>
    <n v="163.58000000000001"/>
    <n v="0"/>
    <n v="817.9"/>
    <m/>
    <x v="8"/>
    <x v="8"/>
    <n v="817.90000000000009"/>
    <s v="OK"/>
  </r>
  <r>
    <s v="ORD-2527"/>
    <x v="100"/>
    <x v="0"/>
    <s v="J. Tetteh"/>
    <x v="104"/>
    <x v="0"/>
    <s v="Leather Wallet"/>
    <n v="11"/>
    <n v="236.64"/>
    <n v="0.05"/>
    <n v="2472.89"/>
    <m/>
    <x v="9"/>
    <x v="9"/>
    <n v="2472.8879999999999"/>
    <s v="OK"/>
  </r>
  <r>
    <s v="ORD-1367"/>
    <x v="64"/>
    <x v="3"/>
    <s v="J. Tetteh"/>
    <x v="2"/>
    <x v="1"/>
    <s v="Table Lamp"/>
    <n v="7"/>
    <n v="128.51"/>
    <n v="0.05"/>
    <n v="854.59"/>
    <m/>
    <x v="9"/>
    <x v="9"/>
    <n v="854.59149999999988"/>
    <s v="OK"/>
  </r>
  <r>
    <s v="ORD-2137"/>
    <x v="29"/>
    <x v="4"/>
    <s v="P. Amoah"/>
    <x v="38"/>
    <x v="4"/>
    <s v="Laptop Stand"/>
    <n v="6"/>
    <n v="121.95"/>
    <n v="0"/>
    <n v="731.7"/>
    <m/>
    <x v="9"/>
    <x v="9"/>
    <n v="731.7"/>
    <s v="OK"/>
  </r>
  <r>
    <s v="ORD-1206"/>
    <x v="115"/>
    <x v="2"/>
    <s v="S. Addo"/>
    <x v="118"/>
    <x v="3"/>
    <s v="Lip Balm Set"/>
    <n v="5"/>
    <n v="106.32"/>
    <n v="0"/>
    <n v="531.6"/>
    <m/>
    <x v="11"/>
    <x v="11"/>
    <n v="531.59999999999991"/>
    <s v="OK"/>
  </r>
  <r>
    <s v="ORD-1007"/>
    <x v="145"/>
    <x v="1"/>
    <s v="R. Ofori"/>
    <x v="57"/>
    <x v="3"/>
    <s v="Face Wash"/>
    <n v="3"/>
    <n v="40"/>
    <n v="0"/>
    <n v="120"/>
    <m/>
    <x v="8"/>
    <x v="8"/>
    <n v="120"/>
    <s v="OK"/>
  </r>
  <r>
    <s v="ORD-1101"/>
    <x v="146"/>
    <x v="4"/>
    <s v="J. Tetteh"/>
    <x v="89"/>
    <x v="2"/>
    <s v="Canned Tomatoes"/>
    <n v="11"/>
    <n v="138.38999999999999"/>
    <n v="0"/>
    <n v="1522.29"/>
    <m/>
    <x v="4"/>
    <x v="4"/>
    <n v="1522.29"/>
    <s v="OK"/>
  </r>
  <r>
    <s v="ORD-1671"/>
    <x v="130"/>
    <x v="2"/>
    <s v="M. Ansah"/>
    <x v="119"/>
    <x v="2"/>
    <s v="Canned Tomatoes"/>
    <n v="8"/>
    <n v="75.55"/>
    <n v="0.05"/>
    <n v="574.17999999999995"/>
    <m/>
    <x v="7"/>
    <x v="7"/>
    <n v="574.17999999999995"/>
    <s v="OK"/>
  </r>
  <r>
    <s v="ORD-1718"/>
    <x v="86"/>
    <x v="3"/>
    <s v="S. Addo"/>
    <x v="80"/>
    <x v="3"/>
    <s v="Lip Balm Set"/>
    <n v="6"/>
    <n v="184.34"/>
    <n v="0"/>
    <n v="1106.04"/>
    <m/>
    <x v="10"/>
    <x v="10"/>
    <n v="1106.04"/>
    <s v="OK"/>
  </r>
  <r>
    <s v="ORD-2689"/>
    <x v="147"/>
    <x v="3"/>
    <s v="R. Ofori"/>
    <x v="120"/>
    <x v="3"/>
    <s v="Lip Balm Set"/>
    <n v="12"/>
    <n v="105.64"/>
    <n v="0.15"/>
    <n v="1077.53"/>
    <m/>
    <x v="3"/>
    <x v="3"/>
    <n v="1077.528"/>
    <s v="OK"/>
  </r>
  <r>
    <s v="ORD-2488"/>
    <x v="7"/>
    <x v="1"/>
    <s v="S. Addo"/>
    <x v="98"/>
    <x v="4"/>
    <s v="Laptop Stand"/>
    <n v="5"/>
    <n v="32.049999999999997"/>
    <n v="0"/>
    <n v="160.25"/>
    <m/>
    <x v="7"/>
    <x v="7"/>
    <n v="160.25"/>
    <s v="OK"/>
  </r>
  <r>
    <s v="ORD-1674"/>
    <x v="0"/>
    <x v="2"/>
    <s v="S. Addo"/>
    <x v="94"/>
    <x v="1"/>
    <s v="Storage Containers"/>
    <n v="1"/>
    <n v="141.46"/>
    <n v="0"/>
    <n v="141.46"/>
    <m/>
    <x v="0"/>
    <x v="0"/>
    <n v="141.46"/>
    <s v="OK"/>
  </r>
  <r>
    <s v="ORD-1754"/>
    <x v="148"/>
    <x v="4"/>
    <s v="M. Ansah"/>
    <x v="84"/>
    <x v="2"/>
    <s v="Rice 5kg"/>
    <n v="11"/>
    <n v="20.399999999999999"/>
    <n v="0"/>
    <n v="224.4"/>
    <m/>
    <x v="2"/>
    <x v="2"/>
    <n v="224.39999999999998"/>
    <s v="OK"/>
  </r>
  <r>
    <s v="ORD-1715"/>
    <x v="98"/>
    <x v="2"/>
    <s v="Unassigned"/>
    <x v="121"/>
    <x v="0"/>
    <s v="Leather Wallet"/>
    <n v="8"/>
    <n v="176.57"/>
    <n v="0.15"/>
    <n v="1200.68"/>
    <m/>
    <x v="10"/>
    <x v="10"/>
    <n v="1200.6759999999999"/>
    <s v="OK"/>
  </r>
  <r>
    <s v="ORD-1108"/>
    <x v="149"/>
    <x v="2"/>
    <s v="S. Addo"/>
    <x v="114"/>
    <x v="3"/>
    <s v="Shampoo 400ml"/>
    <n v="10"/>
    <n v="98.32"/>
    <n v="0.1"/>
    <n v="884.88"/>
    <m/>
    <x v="8"/>
    <x v="8"/>
    <n v="884.88"/>
    <s v="OK"/>
  </r>
  <r>
    <s v="ORD-1263"/>
    <x v="102"/>
    <x v="2"/>
    <s v="R. Ofori"/>
    <x v="122"/>
    <x v="2"/>
    <s v="Rice 5kg"/>
    <n v="7"/>
    <n v="248"/>
    <n v="0"/>
    <n v="1736"/>
    <m/>
    <x v="10"/>
    <x v="10"/>
    <n v="1736"/>
    <s v="OK"/>
  </r>
  <r>
    <s v="ORD-1426"/>
    <x v="19"/>
    <x v="1"/>
    <s v="S. Addo"/>
    <x v="59"/>
    <x v="1"/>
    <s v="Non-stick Pan"/>
    <n v="6"/>
    <n v="121.76"/>
    <n v="0"/>
    <n v="730.56"/>
    <m/>
    <x v="10"/>
    <x v="10"/>
    <n v="730.56000000000006"/>
    <s v="OK"/>
  </r>
  <r>
    <s v="ORD-1299"/>
    <x v="0"/>
    <x v="1"/>
    <s v="P. Amoah"/>
    <x v="123"/>
    <x v="4"/>
    <s v="Smartphone Case"/>
    <n v="2"/>
    <n v="243.63"/>
    <n v="0"/>
    <n v="487.26"/>
    <m/>
    <x v="0"/>
    <x v="0"/>
    <n v="487.26"/>
    <s v="OK"/>
  </r>
  <r>
    <s v="ORD-2049"/>
    <x v="150"/>
    <x v="1"/>
    <s v="M. Ansah"/>
    <x v="124"/>
    <x v="3"/>
    <s v="Face Wash"/>
    <n v="10"/>
    <n v="182.82"/>
    <n v="0.05"/>
    <n v="1736.79"/>
    <m/>
    <x v="6"/>
    <x v="6"/>
    <n v="1736.7899999999997"/>
    <s v="OK"/>
  </r>
  <r>
    <s v="ORD-2743"/>
    <x v="151"/>
    <x v="4"/>
    <s v="M. Ansah"/>
    <x v="125"/>
    <x v="2"/>
    <s v="Rice 5kg"/>
    <n v="7"/>
    <n v="118.28"/>
    <n v="0.1"/>
    <n v="745.16"/>
    <m/>
    <x v="6"/>
    <x v="6"/>
    <n v="745.1640000000001"/>
    <s v="OK"/>
  </r>
  <r>
    <s v="ORD-2635"/>
    <x v="152"/>
    <x v="1"/>
    <s v="J. Tetteh"/>
    <x v="14"/>
    <x v="1"/>
    <s v="Electric Kettle"/>
    <n v="6"/>
    <n v="110.7"/>
    <n v="0"/>
    <n v="664.2"/>
    <m/>
    <x v="1"/>
    <x v="1"/>
    <n v="664.2"/>
    <s v="OK"/>
  </r>
  <r>
    <s v="ORD-1657"/>
    <x v="153"/>
    <x v="1"/>
    <s v="P. Amoah"/>
    <x v="99"/>
    <x v="2"/>
    <s v="Cooking Oil 1L"/>
    <n v="10"/>
    <n v="132.88"/>
    <n v="0.1"/>
    <n v="1195.92"/>
    <m/>
    <x v="3"/>
    <x v="3"/>
    <n v="1195.92"/>
    <s v="OK"/>
  </r>
  <r>
    <s v="ORD-1060"/>
    <x v="130"/>
    <x v="4"/>
    <s v="P. Amoah"/>
    <x v="126"/>
    <x v="3"/>
    <s v="Face Wash"/>
    <n v="7"/>
    <n v="64.13"/>
    <n v="0.05"/>
    <n v="426.46"/>
    <m/>
    <x v="7"/>
    <x v="7"/>
    <n v="426.46449999999993"/>
    <s v="OK"/>
  </r>
  <r>
    <s v="ORD-2047"/>
    <x v="154"/>
    <x v="0"/>
    <s v="P. Amoah"/>
    <x v="87"/>
    <x v="0"/>
    <s v="Cotton T-Shirt"/>
    <n v="7"/>
    <n v="9.6199999999999992"/>
    <n v="0.05"/>
    <n v="63.97"/>
    <m/>
    <x v="9"/>
    <x v="9"/>
    <n v="63.972999999999985"/>
    <s v="OK"/>
  </r>
  <r>
    <s v="ORD-2495"/>
    <x v="15"/>
    <x v="1"/>
    <s v="P. Amoah"/>
    <x v="127"/>
    <x v="0"/>
    <s v="Sunglasses"/>
    <n v="8"/>
    <n v="28.54"/>
    <n v="0.1"/>
    <n v="205.49"/>
    <m/>
    <x v="5"/>
    <x v="5"/>
    <n v="205.488"/>
    <s v="OK"/>
  </r>
  <r>
    <s v="ORD-2215"/>
    <x v="155"/>
    <x v="3"/>
    <s v="J. Tetteh"/>
    <x v="128"/>
    <x v="4"/>
    <s v="Laptop Stand"/>
    <n v="4"/>
    <n v="16.12"/>
    <n v="0"/>
    <n v="64.48"/>
    <m/>
    <x v="1"/>
    <x v="1"/>
    <n v="64.48"/>
    <s v="OK"/>
  </r>
  <r>
    <s v="ORD-1510"/>
    <x v="156"/>
    <x v="4"/>
    <s v="J. Tetteh"/>
    <x v="129"/>
    <x v="3"/>
    <s v="Lip Balm Set"/>
    <n v="3"/>
    <n v="107.15"/>
    <n v="0"/>
    <n v="321.45"/>
    <m/>
    <x v="6"/>
    <x v="6"/>
    <n v="321.45000000000005"/>
    <s v="OK"/>
  </r>
  <r>
    <s v="ORD-1869"/>
    <x v="157"/>
    <x v="3"/>
    <s v="Unassigned"/>
    <x v="101"/>
    <x v="0"/>
    <s v="Sneakers"/>
    <n v="7"/>
    <n v="237.13"/>
    <n v="0"/>
    <n v="1659.91"/>
    <m/>
    <x v="8"/>
    <x v="8"/>
    <n v="1659.9099999999999"/>
    <s v="OK"/>
  </r>
  <r>
    <s v="ORD-1194"/>
    <x v="146"/>
    <x v="0"/>
    <s v="R. Ofori"/>
    <x v="79"/>
    <x v="4"/>
    <s v="USB-C Cable"/>
    <n v="11"/>
    <n v="174.12"/>
    <n v="0"/>
    <n v="1915.32"/>
    <m/>
    <x v="4"/>
    <x v="4"/>
    <n v="1915.3200000000002"/>
    <s v="OK"/>
  </r>
  <r>
    <s v="ORD-2670"/>
    <x v="37"/>
    <x v="1"/>
    <s v="P. Amoah"/>
    <x v="130"/>
    <x v="3"/>
    <s v="Shampoo 400ml"/>
    <n v="1"/>
    <n v="167.82"/>
    <n v="0"/>
    <n v="167.82"/>
    <m/>
    <x v="4"/>
    <x v="4"/>
    <n v="167.82"/>
    <s v="OK"/>
  </r>
  <r>
    <s v="ORD-1663"/>
    <x v="158"/>
    <x v="1"/>
    <s v="R. Ofori"/>
    <x v="131"/>
    <x v="1"/>
    <s v="Non-stick Pan"/>
    <n v="11"/>
    <n v="220.47"/>
    <n v="0.05"/>
    <n v="2303.91"/>
    <m/>
    <x v="8"/>
    <x v="8"/>
    <n v="2303.9115000000002"/>
    <s v="OK"/>
  </r>
  <r>
    <s v="ORD-1858"/>
    <x v="159"/>
    <x v="1"/>
    <s v="J. Tetteh"/>
    <x v="75"/>
    <x v="2"/>
    <s v="Rice 5kg"/>
    <n v="8"/>
    <n v="166.49"/>
    <n v="0"/>
    <n v="1331.92"/>
    <m/>
    <x v="3"/>
    <x v="3"/>
    <n v="1331.92"/>
    <s v="OK"/>
  </r>
  <r>
    <s v="ORD-1933"/>
    <x v="160"/>
    <x v="2"/>
    <s v="M. Ansah"/>
    <x v="108"/>
    <x v="2"/>
    <s v="Rice 5kg"/>
    <n v="10"/>
    <n v="21.7"/>
    <n v="0"/>
    <n v="217"/>
    <m/>
    <x v="1"/>
    <x v="1"/>
    <n v="217"/>
    <s v="OK"/>
  </r>
  <r>
    <s v="ORD-2303"/>
    <x v="161"/>
    <x v="0"/>
    <s v="S. Addo"/>
    <x v="34"/>
    <x v="0"/>
    <s v="Denim Jeans"/>
    <n v="6"/>
    <n v="157.69"/>
    <n v="0.1"/>
    <n v="851.53"/>
    <m/>
    <x v="0"/>
    <x v="0"/>
    <n v="851.52599999999995"/>
    <s v="OK"/>
  </r>
  <r>
    <s v="ORD-2457"/>
    <x v="151"/>
    <x v="4"/>
    <s v="R. Ofori"/>
    <x v="132"/>
    <x v="3"/>
    <s v="Lip Balm Set"/>
    <n v="7"/>
    <n v="86.49"/>
    <n v="0.1"/>
    <n v="544.89"/>
    <m/>
    <x v="6"/>
    <x v="6"/>
    <n v="544.88699999999994"/>
    <s v="OK"/>
  </r>
  <r>
    <s v="ORD-1572"/>
    <x v="162"/>
    <x v="1"/>
    <s v="J. Tetteh"/>
    <x v="69"/>
    <x v="4"/>
    <s v="Wireless Earbuds"/>
    <n v="11"/>
    <n v="64.459999999999994"/>
    <n v="0"/>
    <n v="709.06"/>
    <m/>
    <x v="10"/>
    <x v="10"/>
    <n v="709.06"/>
    <s v="OK"/>
  </r>
  <r>
    <s v="ORD-2682"/>
    <x v="163"/>
    <x v="1"/>
    <s v="J. Tetteh"/>
    <x v="133"/>
    <x v="4"/>
    <s v="Power Bank"/>
    <n v="12"/>
    <n v="224.66"/>
    <n v="0"/>
    <n v="2695.92"/>
    <m/>
    <x v="10"/>
    <x v="10"/>
    <n v="2695.92"/>
    <s v="OK"/>
  </r>
  <r>
    <s v="ORD-1631"/>
    <x v="36"/>
    <x v="3"/>
    <s v="R. Ofori"/>
    <x v="30"/>
    <x v="4"/>
    <s v="Smartphone Case"/>
    <n v="5"/>
    <n v="152.1"/>
    <n v="0.15"/>
    <n v="646.41999999999996"/>
    <m/>
    <x v="1"/>
    <x v="1"/>
    <n v="646.42499999999995"/>
    <s v="MISMATCH"/>
  </r>
  <r>
    <s v="ORD-2132"/>
    <x v="102"/>
    <x v="2"/>
    <s v="P. Amoah"/>
    <x v="6"/>
    <x v="3"/>
    <s v="Shampoo 400ml"/>
    <n v="8"/>
    <n v="184.08"/>
    <n v="0"/>
    <n v="1472.64"/>
    <m/>
    <x v="10"/>
    <x v="10"/>
    <n v="1472.64"/>
    <s v="OK"/>
  </r>
  <r>
    <s v="ORD-1707"/>
    <x v="164"/>
    <x v="0"/>
    <s v="J. Tetteh"/>
    <x v="14"/>
    <x v="2"/>
    <s v="Rice 5kg"/>
    <n v="6"/>
    <n v="124.16"/>
    <n v="0"/>
    <n v="744.96"/>
    <m/>
    <x v="5"/>
    <x v="5"/>
    <n v="744.96"/>
    <s v="OK"/>
  </r>
  <r>
    <s v="ORD-2249"/>
    <x v="61"/>
    <x v="0"/>
    <s v="M. Ansah"/>
    <x v="134"/>
    <x v="3"/>
    <s v="Hair Oil"/>
    <n v="8"/>
    <n v="90.9"/>
    <n v="0"/>
    <n v="727.2"/>
    <m/>
    <x v="1"/>
    <x v="1"/>
    <n v="727.2"/>
    <s v="OK"/>
  </r>
  <r>
    <s v="ORD-1353"/>
    <x v="165"/>
    <x v="0"/>
    <s v="M. Ansah"/>
    <x v="115"/>
    <x v="4"/>
    <s v="Wireless Earbuds"/>
    <n v="8"/>
    <n v="85.52"/>
    <n v="0.1"/>
    <n v="615.74"/>
    <m/>
    <x v="1"/>
    <x v="1"/>
    <n v="615.74400000000003"/>
    <s v="OK"/>
  </r>
  <r>
    <s v="ORD-2386"/>
    <x v="166"/>
    <x v="3"/>
    <s v="J. Tetteh"/>
    <x v="135"/>
    <x v="0"/>
    <s v="Cotton T-Shirt"/>
    <n v="1"/>
    <n v="148.47"/>
    <n v="0"/>
    <n v="148.47"/>
    <m/>
    <x v="3"/>
    <x v="3"/>
    <n v="148.47"/>
    <s v="OK"/>
  </r>
  <r>
    <s v="ORD-2524"/>
    <x v="167"/>
    <x v="2"/>
    <s v="M. Ansah"/>
    <x v="28"/>
    <x v="2"/>
    <s v="Canned Tomatoes"/>
    <n v="2"/>
    <n v="134.44"/>
    <n v="0.05"/>
    <n v="255.44"/>
    <m/>
    <x v="4"/>
    <x v="4"/>
    <n v="255.43599999999998"/>
    <s v="OK"/>
  </r>
  <r>
    <s v="ORD-2323"/>
    <x v="129"/>
    <x v="1"/>
    <s v="J. Tetteh"/>
    <x v="136"/>
    <x v="4"/>
    <s v="Laptop Stand"/>
    <n v="10"/>
    <n v="176.03"/>
    <n v="0.15"/>
    <n v="1496.25"/>
    <m/>
    <x v="2"/>
    <x v="2"/>
    <n v="1496.2549999999999"/>
    <s v="MISMATCH"/>
  </r>
  <r>
    <s v="ORD-1454"/>
    <x v="168"/>
    <x v="0"/>
    <s v="M. Ansah"/>
    <x v="137"/>
    <x v="4"/>
    <s v="Power Bank"/>
    <n v="2"/>
    <n v="207.92"/>
    <n v="0.15"/>
    <n v="353.46"/>
    <m/>
    <x v="1"/>
    <x v="1"/>
    <n v="353.46399999999994"/>
    <s v="OK"/>
  </r>
  <r>
    <s v="ORD-2145"/>
    <x v="169"/>
    <x v="4"/>
    <s v="P. Amoah"/>
    <x v="102"/>
    <x v="0"/>
    <s v="Sneakers"/>
    <n v="12"/>
    <n v="196.35"/>
    <n v="0"/>
    <n v="2356.1999999999998"/>
    <m/>
    <x v="10"/>
    <x v="10"/>
    <n v="2356.1999999999998"/>
    <s v="OK"/>
  </r>
  <r>
    <s v="ORD-2549"/>
    <x v="170"/>
    <x v="2"/>
    <s v="S. Addo"/>
    <x v="9"/>
    <x v="2"/>
    <s v="Rice 5kg"/>
    <n v="11"/>
    <n v="18.079999999999998"/>
    <n v="0"/>
    <n v="198.88"/>
    <m/>
    <x v="8"/>
    <x v="8"/>
    <n v="198.88"/>
    <s v="OK"/>
  </r>
  <r>
    <s v="ORD-1028"/>
    <x v="116"/>
    <x v="1"/>
    <s v="J. Tetteh"/>
    <x v="102"/>
    <x v="4"/>
    <s v="Bluetooth Speaker"/>
    <n v="10"/>
    <n v="71.73"/>
    <n v="0"/>
    <n v="717.3"/>
    <m/>
    <x v="5"/>
    <x v="5"/>
    <n v="717.30000000000007"/>
    <s v="OK"/>
  </r>
  <r>
    <s v="ORD-1328"/>
    <x v="171"/>
    <x v="1"/>
    <s v="J. Tetteh"/>
    <x v="24"/>
    <x v="2"/>
    <s v="Pasta Pack"/>
    <n v="8"/>
    <n v="124.75"/>
    <n v="0"/>
    <n v="998"/>
    <m/>
    <x v="1"/>
    <x v="1"/>
    <n v="998"/>
    <s v="OK"/>
  </r>
  <r>
    <s v="ORD-1237"/>
    <x v="120"/>
    <x v="0"/>
    <s v="M. Ansah"/>
    <x v="138"/>
    <x v="3"/>
    <s v="Shampoo 400ml"/>
    <n v="8"/>
    <n v="238.49"/>
    <n v="0.15"/>
    <n v="1621.73"/>
    <m/>
    <x v="4"/>
    <x v="4"/>
    <n v="1621.732"/>
    <s v="OK"/>
  </r>
  <r>
    <s v="ORD-2400"/>
    <x v="172"/>
    <x v="4"/>
    <s v="R. Ofori"/>
    <x v="139"/>
    <x v="3"/>
    <s v="Face Wash"/>
    <n v="7"/>
    <n v="17.489999999999998"/>
    <n v="0.15"/>
    <n v="104.07"/>
    <m/>
    <x v="7"/>
    <x v="7"/>
    <n v="104.06549999999999"/>
    <s v="OK"/>
  </r>
  <r>
    <s v="ORD-2578"/>
    <x v="97"/>
    <x v="2"/>
    <s v="J. Tetteh"/>
    <x v="140"/>
    <x v="2"/>
    <s v="Rice 5kg"/>
    <n v="7"/>
    <n v="62.81"/>
    <n v="0.1"/>
    <n v="395.7"/>
    <m/>
    <x v="9"/>
    <x v="9"/>
    <n v="395.70300000000003"/>
    <s v="OK"/>
  </r>
  <r>
    <s v="ORD-1501"/>
    <x v="64"/>
    <x v="3"/>
    <s v="P. Amoah"/>
    <x v="141"/>
    <x v="3"/>
    <s v="Lip Balm Set"/>
    <n v="8"/>
    <n v="51.51"/>
    <n v="0.05"/>
    <n v="391.48"/>
    <m/>
    <x v="9"/>
    <x v="9"/>
    <n v="391.47599999999994"/>
    <s v="OK"/>
  </r>
  <r>
    <s v="ORD-2093"/>
    <x v="117"/>
    <x v="0"/>
    <s v="M. Ansah"/>
    <x v="46"/>
    <x v="0"/>
    <s v="Cotton T-Shirt"/>
    <n v="9"/>
    <n v="23.75"/>
    <n v="0.15"/>
    <n v="181.69"/>
    <m/>
    <x v="1"/>
    <x v="1"/>
    <n v="181.6875"/>
    <s v="OK"/>
  </r>
  <r>
    <s v="ORD-1224"/>
    <x v="173"/>
    <x v="0"/>
    <s v="P. Amoah"/>
    <x v="142"/>
    <x v="4"/>
    <s v="Wireless Earbuds"/>
    <n v="6"/>
    <n v="48.94"/>
    <n v="0"/>
    <n v="293.64"/>
    <m/>
    <x v="4"/>
    <x v="4"/>
    <n v="293.64"/>
    <s v="OK"/>
  </r>
  <r>
    <s v="ORD-2050"/>
    <x v="46"/>
    <x v="2"/>
    <s v="S. Addo"/>
    <x v="50"/>
    <x v="4"/>
    <s v="Wireless Earbuds"/>
    <n v="12"/>
    <n v="108.84"/>
    <n v="0.1"/>
    <n v="1175.47"/>
    <m/>
    <x v="3"/>
    <x v="3"/>
    <n v="1175.472"/>
    <s v="OK"/>
  </r>
  <r>
    <s v="ORD-1051"/>
    <x v="174"/>
    <x v="1"/>
    <s v="S. Addo"/>
    <x v="143"/>
    <x v="1"/>
    <s v="Storage Containers"/>
    <n v="6"/>
    <n v="56.86"/>
    <n v="0"/>
    <n v="341.16"/>
    <m/>
    <x v="9"/>
    <x v="9"/>
    <n v="341.15999999999997"/>
    <s v="OK"/>
  </r>
  <r>
    <s v="ORD-1768"/>
    <x v="175"/>
    <x v="2"/>
    <s v="J. Tetteh"/>
    <x v="8"/>
    <x v="1"/>
    <s v="Table Lamp"/>
    <n v="4"/>
    <n v="74.599999999999994"/>
    <n v="0"/>
    <n v="298.39999999999998"/>
    <m/>
    <x v="8"/>
    <x v="8"/>
    <n v="298.39999999999998"/>
    <s v="OK"/>
  </r>
  <r>
    <s v="ORD-2634"/>
    <x v="176"/>
    <x v="2"/>
    <s v="J. Tetteh"/>
    <x v="144"/>
    <x v="1"/>
    <s v="Blender"/>
    <n v="11"/>
    <n v="182.13"/>
    <n v="0.15"/>
    <n v="1702.92"/>
    <m/>
    <x v="10"/>
    <x v="10"/>
    <n v="1702.9154999999998"/>
    <s v="OK"/>
  </r>
  <r>
    <s v="ORD-2563"/>
    <x v="177"/>
    <x v="0"/>
    <s v="S. Addo"/>
    <x v="73"/>
    <x v="2"/>
    <s v="Pasta Pack"/>
    <n v="2"/>
    <n v="159.32"/>
    <n v="0.15"/>
    <n v="270.83999999999997"/>
    <m/>
    <x v="0"/>
    <x v="0"/>
    <n v="270.84399999999999"/>
    <s v="OK"/>
  </r>
  <r>
    <s v="ORD-1635"/>
    <x v="40"/>
    <x v="4"/>
    <s v="S. Addo"/>
    <x v="60"/>
    <x v="3"/>
    <s v="Lip Balm Set"/>
    <n v="9"/>
    <n v="246.94"/>
    <n v="0"/>
    <n v="2222.46"/>
    <m/>
    <x v="10"/>
    <x v="10"/>
    <n v="2222.46"/>
    <s v="OK"/>
  </r>
  <r>
    <s v="ORD-1020"/>
    <x v="178"/>
    <x v="1"/>
    <s v="J. Tetteh"/>
    <x v="126"/>
    <x v="4"/>
    <s v="Laptop Stand"/>
    <n v="8"/>
    <n v="104.57"/>
    <n v="0"/>
    <n v="836.56"/>
    <m/>
    <x v="6"/>
    <x v="6"/>
    <n v="836.56"/>
    <s v="OK"/>
  </r>
  <r>
    <s v="ORD-1350"/>
    <x v="179"/>
    <x v="0"/>
    <s v="R. Ofori"/>
    <x v="145"/>
    <x v="0"/>
    <s v="Denim Jeans"/>
    <n v="1"/>
    <n v="86"/>
    <n v="0"/>
    <n v="86"/>
    <m/>
    <x v="7"/>
    <x v="7"/>
    <n v="86"/>
    <s v="OK"/>
  </r>
  <r>
    <s v="ORD-2352"/>
    <x v="180"/>
    <x v="4"/>
    <s v="P. Amoah"/>
    <x v="6"/>
    <x v="0"/>
    <s v="Sneakers"/>
    <n v="2"/>
    <n v="55.12"/>
    <n v="0"/>
    <n v="110.24"/>
    <m/>
    <x v="8"/>
    <x v="8"/>
    <n v="110.24"/>
    <s v="OK"/>
  </r>
  <r>
    <s v="ORD-1358"/>
    <x v="181"/>
    <x v="0"/>
    <s v="R. Ofori"/>
    <x v="146"/>
    <x v="2"/>
    <s v="Cooking Oil 1L"/>
    <n v="3"/>
    <n v="7.85"/>
    <n v="0.1"/>
    <n v="21.19"/>
    <m/>
    <x v="11"/>
    <x v="11"/>
    <n v="21.194999999999997"/>
    <s v="MISMATCH"/>
  </r>
  <r>
    <s v="ORD-2194"/>
    <x v="182"/>
    <x v="1"/>
    <s v="S. Addo"/>
    <x v="40"/>
    <x v="4"/>
    <s v="USB-C Cable"/>
    <n v="5"/>
    <n v="243.87"/>
    <n v="0"/>
    <n v="1219.3499999999999"/>
    <m/>
    <x v="8"/>
    <x v="8"/>
    <n v="1219.3499999999999"/>
    <s v="OK"/>
  </r>
  <r>
    <s v="ORD-1470"/>
    <x v="183"/>
    <x v="1"/>
    <s v="P. Amoah"/>
    <x v="2"/>
    <x v="2"/>
    <s v="Rice 5kg"/>
    <n v="9"/>
    <n v="166.1"/>
    <n v="0.1"/>
    <n v="1345.41"/>
    <m/>
    <x v="9"/>
    <x v="9"/>
    <n v="1345.4099999999999"/>
    <s v="OK"/>
  </r>
  <r>
    <s v="ORD-2267"/>
    <x v="13"/>
    <x v="2"/>
    <s v="J. Tetteh"/>
    <x v="135"/>
    <x v="1"/>
    <s v="Blender"/>
    <n v="10"/>
    <n v="80.03"/>
    <n v="0.1"/>
    <n v="720.27"/>
    <m/>
    <x v="2"/>
    <x v="2"/>
    <n v="720.27"/>
    <s v="OK"/>
  </r>
  <r>
    <s v="ORD-2784"/>
    <x v="94"/>
    <x v="3"/>
    <s v="M. Ansah"/>
    <x v="54"/>
    <x v="2"/>
    <s v="Sugar 1kg"/>
    <n v="12"/>
    <n v="169.92"/>
    <n v="0.15"/>
    <n v="1733.18"/>
    <m/>
    <x v="4"/>
    <x v="4"/>
    <n v="1733.184"/>
    <s v="OK"/>
  </r>
  <r>
    <s v="ORD-1716"/>
    <x v="172"/>
    <x v="0"/>
    <s v="R. Ofori"/>
    <x v="108"/>
    <x v="3"/>
    <s v="Lip Balm Set"/>
    <n v="9"/>
    <n v="25.65"/>
    <n v="0"/>
    <n v="230.85"/>
    <m/>
    <x v="7"/>
    <x v="7"/>
    <n v="230.85"/>
    <s v="OK"/>
  </r>
  <r>
    <s v="ORD-1921"/>
    <x v="184"/>
    <x v="0"/>
    <s v="J. Tetteh"/>
    <x v="122"/>
    <x v="4"/>
    <s v="Smartphone Case"/>
    <n v="3"/>
    <n v="153.02000000000001"/>
    <n v="0.1"/>
    <n v="413.15"/>
    <m/>
    <x v="8"/>
    <x v="8"/>
    <n v="413.15400000000005"/>
    <s v="OK"/>
  </r>
  <r>
    <s v="ORD-1415"/>
    <x v="185"/>
    <x v="2"/>
    <s v="P. Amoah"/>
    <x v="16"/>
    <x v="3"/>
    <s v="Hair Oil"/>
    <n v="5"/>
    <n v="67.180000000000007"/>
    <n v="0.1"/>
    <n v="302.31"/>
    <m/>
    <x v="5"/>
    <x v="5"/>
    <n v="302.31000000000006"/>
    <s v="OK"/>
  </r>
  <r>
    <s v="ORD-1098"/>
    <x v="109"/>
    <x v="0"/>
    <s v="S. Addo"/>
    <x v="104"/>
    <x v="3"/>
    <s v="Shampoo 400ml"/>
    <n v="1"/>
    <n v="33.590000000000003"/>
    <n v="0"/>
    <n v="33.590000000000003"/>
    <m/>
    <x v="8"/>
    <x v="8"/>
    <n v="33.590000000000003"/>
    <s v="OK"/>
  </r>
  <r>
    <s v="ORD-1363"/>
    <x v="140"/>
    <x v="0"/>
    <s v="M. Ansah"/>
    <x v="147"/>
    <x v="0"/>
    <s v="Sneakers"/>
    <n v="11"/>
    <n v="92.01"/>
    <n v="0"/>
    <n v="1012.11"/>
    <m/>
    <x v="6"/>
    <x v="6"/>
    <n v="1012.11"/>
    <s v="OK"/>
  </r>
  <r>
    <s v="ORD-2327"/>
    <x v="186"/>
    <x v="1"/>
    <s v="P. Amoah"/>
    <x v="2"/>
    <x v="4"/>
    <s v="USB-C Cable"/>
    <n v="7"/>
    <n v="28.24"/>
    <n v="0.05"/>
    <n v="187.8"/>
    <m/>
    <x v="7"/>
    <x v="7"/>
    <n v="187.79599999999996"/>
    <s v="OK"/>
  </r>
  <r>
    <s v="ORD-2351"/>
    <x v="48"/>
    <x v="4"/>
    <s v="M. Ansah"/>
    <x v="148"/>
    <x v="3"/>
    <s v="Face Wash"/>
    <n v="6"/>
    <n v="86.95"/>
    <n v="0"/>
    <n v="521.70000000000005"/>
    <m/>
    <x v="7"/>
    <x v="7"/>
    <n v="521.70000000000005"/>
    <s v="OK"/>
  </r>
  <r>
    <s v="ORD-1012"/>
    <x v="187"/>
    <x v="3"/>
    <s v="J. Tetteh"/>
    <x v="149"/>
    <x v="3"/>
    <s v="Face Wash"/>
    <n v="4"/>
    <n v="63.67"/>
    <n v="0.1"/>
    <n v="229.21"/>
    <m/>
    <x v="9"/>
    <x v="9"/>
    <n v="229.21200000000002"/>
    <s v="OK"/>
  </r>
  <r>
    <s v="ORD-2062"/>
    <x v="14"/>
    <x v="2"/>
    <s v="P. Amoah"/>
    <x v="150"/>
    <x v="4"/>
    <s v="Wireless Earbuds"/>
    <n v="2"/>
    <n v="137.05000000000001"/>
    <n v="0.1"/>
    <n v="246.69"/>
    <m/>
    <x v="5"/>
    <x v="5"/>
    <n v="246.69000000000003"/>
    <s v="OK"/>
  </r>
  <r>
    <s v="ORD-2279"/>
    <x v="84"/>
    <x v="3"/>
    <s v="J. Tetteh"/>
    <x v="54"/>
    <x v="2"/>
    <s v="Cooking Oil 1L"/>
    <n v="12"/>
    <n v="55.48"/>
    <n v="0"/>
    <n v="665.76"/>
    <m/>
    <x v="6"/>
    <x v="6"/>
    <n v="665.76"/>
    <s v="OK"/>
  </r>
  <r>
    <s v="ORD-1167"/>
    <x v="188"/>
    <x v="0"/>
    <s v="J. Tetteh"/>
    <x v="7"/>
    <x v="2"/>
    <s v="Sugar 1kg"/>
    <n v="8"/>
    <n v="106.83"/>
    <n v="0"/>
    <n v="854.64"/>
    <m/>
    <x v="11"/>
    <x v="11"/>
    <n v="854.64"/>
    <s v="OK"/>
  </r>
  <r>
    <s v="ORD-2697"/>
    <x v="22"/>
    <x v="1"/>
    <s v="S. Addo"/>
    <x v="77"/>
    <x v="2"/>
    <s v="Sugar 1kg"/>
    <n v="2"/>
    <n v="100.59"/>
    <n v="0"/>
    <n v="201.18"/>
    <m/>
    <x v="8"/>
    <x v="8"/>
    <n v="201.18"/>
    <s v="OK"/>
  </r>
  <r>
    <s v="ORD-1970"/>
    <x v="16"/>
    <x v="4"/>
    <s v="S. Addo"/>
    <x v="145"/>
    <x v="2"/>
    <s v="Cooking Oil 1L"/>
    <n v="11"/>
    <n v="76.900000000000006"/>
    <n v="0.1"/>
    <n v="761.31"/>
    <m/>
    <x v="5"/>
    <x v="5"/>
    <n v="761.31000000000006"/>
    <s v="OK"/>
  </r>
  <r>
    <s v="ORD-1188"/>
    <x v="189"/>
    <x v="2"/>
    <s v="M. Ansah"/>
    <x v="134"/>
    <x v="3"/>
    <s v="Shea Butter Lotion"/>
    <n v="3"/>
    <n v="198.05"/>
    <n v="0.15"/>
    <n v="505.03"/>
    <m/>
    <x v="6"/>
    <x v="6"/>
    <n v="505.02750000000009"/>
    <s v="OK"/>
  </r>
  <r>
    <s v="ORD-2358"/>
    <x v="190"/>
    <x v="0"/>
    <s v="J. Tetteh"/>
    <x v="151"/>
    <x v="2"/>
    <s v="Rice 5kg"/>
    <n v="4"/>
    <n v="69.37"/>
    <n v="0"/>
    <n v="277.48"/>
    <m/>
    <x v="11"/>
    <x v="11"/>
    <n v="277.48"/>
    <s v="OK"/>
  </r>
  <r>
    <s v="ORD-1043"/>
    <x v="168"/>
    <x v="0"/>
    <s v="J. Tetteh"/>
    <x v="107"/>
    <x v="2"/>
    <s v="Cooking Oil 1L"/>
    <n v="12"/>
    <n v="48.09"/>
    <n v="0.1"/>
    <n v="519.37"/>
    <m/>
    <x v="1"/>
    <x v="1"/>
    <n v="519.37200000000007"/>
    <s v="OK"/>
  </r>
  <r>
    <s v="ORD-1612"/>
    <x v="191"/>
    <x v="2"/>
    <s v="M. Ansah"/>
    <x v="114"/>
    <x v="3"/>
    <s v="Lip Balm Set"/>
    <n v="9"/>
    <n v="247.15"/>
    <n v="0"/>
    <n v="2224.35"/>
    <m/>
    <x v="2"/>
    <x v="2"/>
    <n v="2224.35"/>
    <s v="OK"/>
  </r>
  <r>
    <s v="ORD-1009"/>
    <x v="192"/>
    <x v="2"/>
    <s v="R. Ofori"/>
    <x v="152"/>
    <x v="1"/>
    <s v="Storage Containers"/>
    <n v="9"/>
    <n v="134.63"/>
    <n v="0"/>
    <n v="1211.67"/>
    <m/>
    <x v="9"/>
    <x v="9"/>
    <n v="1211.67"/>
    <s v="OK"/>
  </r>
  <r>
    <s v="ORD-2562"/>
    <x v="73"/>
    <x v="0"/>
    <s v="J. Tetteh"/>
    <x v="106"/>
    <x v="2"/>
    <s v="Pasta Pack"/>
    <n v="6"/>
    <n v="204.51"/>
    <n v="0"/>
    <n v="1227.06"/>
    <m/>
    <x v="10"/>
    <x v="10"/>
    <n v="1227.06"/>
    <s v="OK"/>
  </r>
  <r>
    <s v="ORD-1147"/>
    <x v="171"/>
    <x v="4"/>
    <s v="S. Addo"/>
    <x v="49"/>
    <x v="0"/>
    <s v="Cotton T-Shirt"/>
    <n v="12"/>
    <n v="194.02"/>
    <n v="0"/>
    <n v="2328.2399999999998"/>
    <m/>
    <x v="1"/>
    <x v="1"/>
    <n v="2328.2400000000002"/>
    <s v="OK"/>
  </r>
  <r>
    <s v="ORD-2729"/>
    <x v="193"/>
    <x v="2"/>
    <s v="J. Tetteh"/>
    <x v="25"/>
    <x v="2"/>
    <s v="Pasta Pack"/>
    <n v="10"/>
    <n v="95.89"/>
    <n v="0.05"/>
    <n v="910.95"/>
    <m/>
    <x v="9"/>
    <x v="9"/>
    <n v="910.95499999999993"/>
    <s v="MISMATCH"/>
  </r>
  <r>
    <s v="ORD-1013"/>
    <x v="71"/>
    <x v="4"/>
    <s v="M. Ansah"/>
    <x v="153"/>
    <x v="2"/>
    <s v="Rice 5kg"/>
    <n v="3"/>
    <n v="236.98"/>
    <n v="0"/>
    <n v="710.94"/>
    <m/>
    <x v="4"/>
    <x v="4"/>
    <n v="710.93999999999994"/>
    <s v="OK"/>
  </r>
  <r>
    <s v="ORD-1795"/>
    <x v="116"/>
    <x v="0"/>
    <s v="R. Ofori"/>
    <x v="57"/>
    <x v="4"/>
    <s v="Laptop Stand"/>
    <n v="2"/>
    <n v="248.85"/>
    <n v="0"/>
    <n v="497.7"/>
    <m/>
    <x v="5"/>
    <x v="5"/>
    <n v="497.7"/>
    <s v="OK"/>
  </r>
  <r>
    <s v="ORD-1359"/>
    <x v="194"/>
    <x v="1"/>
    <s v="M. Ansah"/>
    <x v="146"/>
    <x v="1"/>
    <s v="Blender"/>
    <n v="4"/>
    <n v="17.34"/>
    <n v="0.1"/>
    <n v="62.42"/>
    <m/>
    <x v="2"/>
    <x v="2"/>
    <n v="62.423999999999999"/>
    <s v="OK"/>
  </r>
  <r>
    <s v="ORD-1802"/>
    <x v="110"/>
    <x v="3"/>
    <s v="J. Tetteh"/>
    <x v="10"/>
    <x v="1"/>
    <s v="Blender"/>
    <n v="11"/>
    <n v="206.03"/>
    <n v="0.15"/>
    <n v="1926.38"/>
    <m/>
    <x v="6"/>
    <x v="6"/>
    <n v="1926.3805"/>
    <s v="OK"/>
  </r>
  <r>
    <s v="ORD-2128"/>
    <x v="33"/>
    <x v="1"/>
    <s v="P. Amoah"/>
    <x v="154"/>
    <x v="3"/>
    <s v="Hair Oil"/>
    <n v="11"/>
    <n v="90"/>
    <n v="0"/>
    <n v="990"/>
    <m/>
    <x v="7"/>
    <x v="7"/>
    <n v="990"/>
    <s v="OK"/>
  </r>
  <r>
    <s v="ORD-1586"/>
    <x v="195"/>
    <x v="2"/>
    <s v="J. Tetteh"/>
    <x v="73"/>
    <x v="0"/>
    <s v="Denim Jeans"/>
    <n v="8"/>
    <n v="32.22"/>
    <n v="0.05"/>
    <n v="244.87"/>
    <m/>
    <x v="1"/>
    <x v="1"/>
    <n v="244.87199999999999"/>
    <s v="OK"/>
  </r>
  <r>
    <s v="ORD-1637"/>
    <x v="196"/>
    <x v="1"/>
    <s v="S. Addo"/>
    <x v="155"/>
    <x v="4"/>
    <s v="Bluetooth Speaker"/>
    <n v="2"/>
    <n v="157.38"/>
    <n v="0"/>
    <n v="314.76"/>
    <m/>
    <x v="11"/>
    <x v="11"/>
    <n v="314.76"/>
    <s v="OK"/>
  </r>
  <r>
    <s v="ORD-2489"/>
    <x v="161"/>
    <x v="1"/>
    <s v="P. Amoah"/>
    <x v="6"/>
    <x v="1"/>
    <s v="Storage Containers"/>
    <n v="11"/>
    <n v="90.22"/>
    <n v="0"/>
    <n v="992.42"/>
    <m/>
    <x v="0"/>
    <x v="0"/>
    <n v="992.42"/>
    <s v="OK"/>
  </r>
  <r>
    <s v="ORD-2410"/>
    <x v="179"/>
    <x v="0"/>
    <s v="R. Ofori"/>
    <x v="77"/>
    <x v="4"/>
    <s v="Power Bank"/>
    <n v="7"/>
    <n v="81.98"/>
    <n v="0"/>
    <n v="573.86"/>
    <m/>
    <x v="7"/>
    <x v="7"/>
    <n v="573.86"/>
    <s v="OK"/>
  </r>
  <r>
    <s v="ORD-2731"/>
    <x v="197"/>
    <x v="0"/>
    <s v="P. Amoah"/>
    <x v="139"/>
    <x v="0"/>
    <s v="Sneakers"/>
    <n v="2"/>
    <n v="8.6"/>
    <n v="0.1"/>
    <n v="15.48"/>
    <m/>
    <x v="7"/>
    <x v="7"/>
    <n v="15.48"/>
    <s v="OK"/>
  </r>
  <r>
    <s v="ORD-1587"/>
    <x v="198"/>
    <x v="2"/>
    <s v="M. Ansah"/>
    <x v="156"/>
    <x v="0"/>
    <s v="Denim Jeans"/>
    <n v="9"/>
    <n v="146.63999999999999"/>
    <n v="0"/>
    <n v="1319.76"/>
    <m/>
    <x v="8"/>
    <x v="8"/>
    <n v="1319.7599999999998"/>
    <s v="OK"/>
  </r>
  <r>
    <s v="ORD-2723"/>
    <x v="74"/>
    <x v="1"/>
    <s v="Unassigned"/>
    <x v="6"/>
    <x v="4"/>
    <s v="Bluetooth Speaker"/>
    <n v="5"/>
    <n v="95.66"/>
    <n v="0"/>
    <n v="478.3"/>
    <m/>
    <x v="7"/>
    <x v="7"/>
    <n v="478.29999999999995"/>
    <s v="OK"/>
  </r>
  <r>
    <s v="ORD-1492"/>
    <x v="192"/>
    <x v="3"/>
    <s v="J. Tetteh"/>
    <x v="77"/>
    <x v="1"/>
    <s v="Non-stick Pan"/>
    <n v="10"/>
    <n v="107.25"/>
    <n v="0"/>
    <n v="1072.5"/>
    <m/>
    <x v="9"/>
    <x v="9"/>
    <n v="1072.5"/>
    <s v="OK"/>
  </r>
  <r>
    <s v="ORD-1455"/>
    <x v="92"/>
    <x v="2"/>
    <s v="R. Ofori"/>
    <x v="157"/>
    <x v="2"/>
    <s v="Cooking Oil 1L"/>
    <n v="11"/>
    <n v="120.84"/>
    <n v="0"/>
    <n v="1329.24"/>
    <m/>
    <x v="0"/>
    <x v="0"/>
    <n v="1329.24"/>
    <s v="OK"/>
  </r>
  <r>
    <s v="ORD-2073"/>
    <x v="115"/>
    <x v="2"/>
    <s v="M. Ansah"/>
    <x v="23"/>
    <x v="0"/>
    <s v="Leather Wallet"/>
    <n v="12"/>
    <n v="204.43"/>
    <n v="0.15"/>
    <n v="2085.19"/>
    <m/>
    <x v="11"/>
    <x v="11"/>
    <n v="2085.1859999999997"/>
    <s v="OK"/>
  </r>
  <r>
    <s v="ORD-1488"/>
    <x v="199"/>
    <x v="1"/>
    <s v="S. Addo"/>
    <x v="20"/>
    <x v="4"/>
    <s v="Wireless Earbuds"/>
    <n v="11"/>
    <n v="76.66"/>
    <n v="0.05"/>
    <n v="801.1"/>
    <m/>
    <x v="0"/>
    <x v="0"/>
    <n v="801.09699999999998"/>
    <s v="OK"/>
  </r>
  <r>
    <s v="ORD-2168"/>
    <x v="152"/>
    <x v="1"/>
    <s v="M. Ansah"/>
    <x v="31"/>
    <x v="1"/>
    <s v="Storage Containers"/>
    <n v="4"/>
    <n v="224.14"/>
    <n v="0.1"/>
    <n v="806.9"/>
    <m/>
    <x v="1"/>
    <x v="1"/>
    <n v="806.904"/>
    <s v="OK"/>
  </r>
  <r>
    <s v="ORD-1115"/>
    <x v="173"/>
    <x v="2"/>
    <s v="P. Amoah"/>
    <x v="2"/>
    <x v="0"/>
    <s v="Cotton T-Shirt"/>
    <n v="12"/>
    <n v="22.05"/>
    <n v="0.15"/>
    <n v="224.91"/>
    <m/>
    <x v="4"/>
    <x v="4"/>
    <n v="224.91000000000003"/>
    <s v="OK"/>
  </r>
  <r>
    <s v="ORD-2162"/>
    <x v="200"/>
    <x v="2"/>
    <s v="R. Ofori"/>
    <x v="33"/>
    <x v="1"/>
    <s v="Electric Kettle"/>
    <n v="10"/>
    <n v="107.45"/>
    <n v="0"/>
    <n v="1074.5"/>
    <m/>
    <x v="2"/>
    <x v="2"/>
    <n v="1074.5"/>
    <s v="OK"/>
  </r>
  <r>
    <s v="ORD-2467"/>
    <x v="67"/>
    <x v="1"/>
    <s v="M. Ansah"/>
    <x v="19"/>
    <x v="4"/>
    <s v="Bluetooth Speaker"/>
    <n v="11"/>
    <n v="122.28"/>
    <n v="0"/>
    <n v="1345.08"/>
    <m/>
    <x v="3"/>
    <x v="3"/>
    <n v="1345.08"/>
    <s v="OK"/>
  </r>
  <r>
    <s v="ORD-1096"/>
    <x v="82"/>
    <x v="1"/>
    <s v="R. Ofori"/>
    <x v="34"/>
    <x v="2"/>
    <s v="Rice 5kg"/>
    <n v="7"/>
    <n v="27.12"/>
    <n v="0"/>
    <n v="189.84"/>
    <m/>
    <x v="5"/>
    <x v="5"/>
    <n v="189.84"/>
    <s v="OK"/>
  </r>
  <r>
    <s v="ORD-2701"/>
    <x v="201"/>
    <x v="0"/>
    <s v="M. Ansah"/>
    <x v="36"/>
    <x v="2"/>
    <s v="Rice 5kg"/>
    <n v="4"/>
    <n v="134.55000000000001"/>
    <n v="0.15"/>
    <n v="457.47"/>
    <m/>
    <x v="6"/>
    <x v="6"/>
    <n v="457.47"/>
    <s v="OK"/>
  </r>
  <r>
    <s v="ORD-1797"/>
    <x v="202"/>
    <x v="1"/>
    <s v="J. Tetteh"/>
    <x v="127"/>
    <x v="0"/>
    <s v="Sneakers"/>
    <n v="3"/>
    <n v="33.1"/>
    <n v="0"/>
    <n v="99.3"/>
    <m/>
    <x v="6"/>
    <x v="6"/>
    <n v="99.300000000000011"/>
    <s v="OK"/>
  </r>
  <r>
    <s v="ORD-2749"/>
    <x v="65"/>
    <x v="1"/>
    <s v="S. Addo"/>
    <x v="40"/>
    <x v="2"/>
    <s v="Pasta Pack"/>
    <n v="7"/>
    <n v="14.53"/>
    <n v="0.05"/>
    <n v="96.62"/>
    <m/>
    <x v="5"/>
    <x v="5"/>
    <n v="96.624499999999983"/>
    <s v="OK"/>
  </r>
  <r>
    <s v="ORD-1099"/>
    <x v="64"/>
    <x v="1"/>
    <s v="M. Ansah"/>
    <x v="28"/>
    <x v="4"/>
    <s v="Wireless Earbuds"/>
    <n v="12"/>
    <n v="95.9"/>
    <n v="0.15"/>
    <n v="978.18"/>
    <m/>
    <x v="9"/>
    <x v="9"/>
    <n v="978.18000000000018"/>
    <s v="OK"/>
  </r>
  <r>
    <s v="ORD-2417"/>
    <x v="175"/>
    <x v="0"/>
    <s v="M. Ansah"/>
    <x v="158"/>
    <x v="2"/>
    <s v="Cooking Oil 1L"/>
    <n v="2"/>
    <n v="21.51"/>
    <n v="0"/>
    <n v="43.02"/>
    <m/>
    <x v="8"/>
    <x v="8"/>
    <n v="43.02"/>
    <s v="OK"/>
  </r>
  <r>
    <s v="ORD-2725"/>
    <x v="2"/>
    <x v="0"/>
    <s v="S. Addo"/>
    <x v="10"/>
    <x v="4"/>
    <s v="Wireless Earbuds"/>
    <n v="12"/>
    <n v="178.69"/>
    <n v="0"/>
    <n v="2144.2800000000002"/>
    <m/>
    <x v="2"/>
    <x v="2"/>
    <n v="2144.2799999999997"/>
    <s v="OK"/>
  </r>
  <r>
    <s v="ORD-2767"/>
    <x v="203"/>
    <x v="3"/>
    <s v="S. Addo"/>
    <x v="16"/>
    <x v="2"/>
    <s v="Canned Tomatoes"/>
    <n v="6"/>
    <n v="44.37"/>
    <n v="0"/>
    <n v="266.22000000000003"/>
    <m/>
    <x v="1"/>
    <x v="1"/>
    <n v="266.21999999999997"/>
    <s v="OK"/>
  </r>
  <r>
    <s v="ORD-1449"/>
    <x v="182"/>
    <x v="0"/>
    <s v="M. Ansah"/>
    <x v="120"/>
    <x v="3"/>
    <s v="Hair Oil"/>
    <n v="4"/>
    <n v="207.96"/>
    <n v="0"/>
    <n v="831.84"/>
    <m/>
    <x v="8"/>
    <x v="8"/>
    <n v="831.84"/>
    <s v="OK"/>
  </r>
  <r>
    <s v="ORD-2481"/>
    <x v="21"/>
    <x v="1"/>
    <s v="S. Addo"/>
    <x v="159"/>
    <x v="3"/>
    <s v="Hair Oil"/>
    <n v="10"/>
    <n v="104.11"/>
    <n v="0.05"/>
    <n v="989.04"/>
    <m/>
    <x v="2"/>
    <x v="2"/>
    <n v="989.04499999999985"/>
    <s v="MISMATCH"/>
  </r>
  <r>
    <s v="ORD-1643"/>
    <x v="204"/>
    <x v="2"/>
    <s v="S. Addo"/>
    <x v="55"/>
    <x v="0"/>
    <s v="Sneakers"/>
    <n v="11"/>
    <n v="91.06"/>
    <n v="0"/>
    <n v="1001.66"/>
    <m/>
    <x v="9"/>
    <x v="9"/>
    <n v="1001.6600000000001"/>
    <s v="OK"/>
  </r>
  <r>
    <s v="ORD-1677"/>
    <x v="205"/>
    <x v="3"/>
    <s v="J. Tetteh"/>
    <x v="44"/>
    <x v="3"/>
    <s v="Hair Oil"/>
    <n v="8"/>
    <n v="244.74"/>
    <n v="0"/>
    <n v="1957.92"/>
    <m/>
    <x v="2"/>
    <x v="2"/>
    <n v="1957.92"/>
    <s v="OK"/>
  </r>
  <r>
    <s v="ORD-1270"/>
    <x v="206"/>
    <x v="2"/>
    <s v="P. Amoah"/>
    <x v="78"/>
    <x v="4"/>
    <s v="Bluetooth Speaker"/>
    <n v="12"/>
    <n v="195.85"/>
    <n v="0"/>
    <n v="2350.1999999999998"/>
    <m/>
    <x v="8"/>
    <x v="8"/>
    <n v="2350.1999999999998"/>
    <s v="OK"/>
  </r>
  <r>
    <s v="ORD-2752"/>
    <x v="207"/>
    <x v="4"/>
    <s v="S. Addo"/>
    <x v="67"/>
    <x v="0"/>
    <s v="Sneakers"/>
    <n v="3"/>
    <n v="240.43"/>
    <n v="0"/>
    <n v="721.29"/>
    <m/>
    <x v="0"/>
    <x v="0"/>
    <n v="721.29"/>
    <s v="OK"/>
  </r>
  <r>
    <s v="ORD-1117"/>
    <x v="111"/>
    <x v="3"/>
    <s v="J. Tetteh"/>
    <x v="5"/>
    <x v="4"/>
    <s v="Bluetooth Speaker"/>
    <n v="11"/>
    <n v="71.67"/>
    <n v="0.05"/>
    <n v="748.95"/>
    <m/>
    <x v="4"/>
    <x v="4"/>
    <n v="748.95150000000001"/>
    <s v="OK"/>
  </r>
  <r>
    <s v="ORD-2208"/>
    <x v="208"/>
    <x v="0"/>
    <s v="M. Ansah"/>
    <x v="34"/>
    <x v="0"/>
    <s v="Sunglasses"/>
    <n v="1"/>
    <n v="49.49"/>
    <n v="0.1"/>
    <n v="44.54"/>
    <m/>
    <x v="7"/>
    <x v="7"/>
    <n v="44.541000000000004"/>
    <s v="OK"/>
  </r>
  <r>
    <s v="ORD-2261"/>
    <x v="209"/>
    <x v="1"/>
    <s v="P. Amoah"/>
    <x v="19"/>
    <x v="3"/>
    <s v="Face Wash"/>
    <n v="9"/>
    <n v="40.340000000000003"/>
    <n v="0.15"/>
    <n v="308.60000000000002"/>
    <m/>
    <x v="3"/>
    <x v="3"/>
    <n v="308.60100000000006"/>
    <s v="OK"/>
  </r>
  <r>
    <s v="ORD-1553"/>
    <x v="30"/>
    <x v="0"/>
    <s v="S. Addo"/>
    <x v="135"/>
    <x v="2"/>
    <s v="Cooking Oil 1L"/>
    <n v="3"/>
    <n v="150.91"/>
    <n v="0.05"/>
    <n v="430.09"/>
    <m/>
    <x v="0"/>
    <x v="0"/>
    <n v="430.09350000000001"/>
    <s v="OK"/>
  </r>
  <r>
    <s v="ORD-1463"/>
    <x v="210"/>
    <x v="3"/>
    <s v="P. Amoah"/>
    <x v="67"/>
    <x v="1"/>
    <s v="Blender"/>
    <n v="11"/>
    <n v="181.65"/>
    <n v="0.1"/>
    <n v="1798.34"/>
    <m/>
    <x v="1"/>
    <x v="1"/>
    <n v="1798.335"/>
    <s v="OK"/>
  </r>
  <r>
    <s v="ORD-2361"/>
    <x v="211"/>
    <x v="3"/>
    <s v="S. Addo"/>
    <x v="22"/>
    <x v="3"/>
    <s v="Shea Butter Lotion"/>
    <n v="1"/>
    <n v="201.48"/>
    <n v="0.15"/>
    <n v="171.26"/>
    <m/>
    <x v="0"/>
    <x v="0"/>
    <n v="171.25799999999998"/>
    <s v="OK"/>
  </r>
  <r>
    <s v="ORD-2223"/>
    <x v="170"/>
    <x v="4"/>
    <s v="S. Addo"/>
    <x v="55"/>
    <x v="4"/>
    <s v="Laptop Stand"/>
    <n v="5"/>
    <n v="66.2"/>
    <n v="0"/>
    <n v="331"/>
    <m/>
    <x v="8"/>
    <x v="8"/>
    <n v="331"/>
    <s v="OK"/>
  </r>
  <r>
    <s v="ORD-1397"/>
    <x v="212"/>
    <x v="3"/>
    <s v="P. Amoah"/>
    <x v="120"/>
    <x v="1"/>
    <s v="Non-stick Pan"/>
    <n v="9"/>
    <n v="118.85"/>
    <n v="0"/>
    <n v="1069.6500000000001"/>
    <m/>
    <x v="1"/>
    <x v="1"/>
    <n v="1069.6499999999999"/>
    <s v="OK"/>
  </r>
  <r>
    <s v="ORD-1113"/>
    <x v="90"/>
    <x v="1"/>
    <s v="P. Amoah"/>
    <x v="105"/>
    <x v="2"/>
    <s v="Cooking Oil 1L"/>
    <n v="10"/>
    <n v="191.84"/>
    <n v="0"/>
    <n v="1918.4"/>
    <m/>
    <x v="9"/>
    <x v="9"/>
    <n v="1918.4"/>
    <s v="OK"/>
  </r>
  <r>
    <s v="ORD-1063"/>
    <x v="57"/>
    <x v="3"/>
    <s v="J. Tetteh"/>
    <x v="31"/>
    <x v="1"/>
    <s v="Blender"/>
    <n v="12"/>
    <n v="51.93"/>
    <n v="0.05"/>
    <n v="592"/>
    <m/>
    <x v="6"/>
    <x v="6"/>
    <n v="592.00199999999995"/>
    <s v="OK"/>
  </r>
  <r>
    <s v="ORD-1324"/>
    <x v="191"/>
    <x v="4"/>
    <s v="S. Addo"/>
    <x v="8"/>
    <x v="2"/>
    <s v="Sugar 1kg"/>
    <n v="8"/>
    <n v="73.680000000000007"/>
    <n v="0.15"/>
    <n v="501.02"/>
    <m/>
    <x v="2"/>
    <x v="2"/>
    <n v="501.02400000000006"/>
    <s v="OK"/>
  </r>
  <r>
    <s v="ORD-1824"/>
    <x v="153"/>
    <x v="3"/>
    <s v="S. Addo"/>
    <x v="160"/>
    <x v="2"/>
    <s v="Cooking Oil 1L"/>
    <n v="12"/>
    <n v="148.59"/>
    <n v="0.05"/>
    <n v="1693.93"/>
    <m/>
    <x v="3"/>
    <x v="3"/>
    <n v="1693.9259999999999"/>
    <s v="OK"/>
  </r>
  <r>
    <s v="ORD-1186"/>
    <x v="162"/>
    <x v="0"/>
    <s v="S. Addo"/>
    <x v="55"/>
    <x v="1"/>
    <s v="Blender"/>
    <n v="3"/>
    <n v="171.89"/>
    <n v="0"/>
    <n v="515.66999999999996"/>
    <m/>
    <x v="10"/>
    <x v="10"/>
    <n v="515.66999999999996"/>
    <s v="OK"/>
  </r>
  <r>
    <s v="ORD-1558"/>
    <x v="213"/>
    <x v="4"/>
    <s v="S. Addo"/>
    <x v="159"/>
    <x v="1"/>
    <s v="Table Lamp"/>
    <n v="1"/>
    <n v="81.75"/>
    <n v="0.15"/>
    <n v="69.489999999999995"/>
    <m/>
    <x v="4"/>
    <x v="4"/>
    <n v="69.487499999999997"/>
    <s v="OK"/>
  </r>
  <r>
    <s v="ORD-1651"/>
    <x v="37"/>
    <x v="2"/>
    <s v="P. Amoah"/>
    <x v="161"/>
    <x v="4"/>
    <s v="Laptop Stand"/>
    <n v="12"/>
    <n v="166.9"/>
    <n v="0.05"/>
    <n v="1902.66"/>
    <m/>
    <x v="4"/>
    <x v="4"/>
    <n v="1902.66"/>
    <s v="OK"/>
  </r>
  <r>
    <s v="ORD-1294"/>
    <x v="214"/>
    <x v="0"/>
    <s v="S. Addo"/>
    <x v="36"/>
    <x v="1"/>
    <s v="Storage Containers"/>
    <n v="1"/>
    <n v="235.86"/>
    <n v="0"/>
    <n v="235.86"/>
    <m/>
    <x v="11"/>
    <x v="11"/>
    <n v="235.86"/>
    <s v="OK"/>
  </r>
  <r>
    <s v="ORD-2357"/>
    <x v="215"/>
    <x v="0"/>
    <s v="S. Addo"/>
    <x v="45"/>
    <x v="3"/>
    <s v="Shampoo 400ml"/>
    <n v="12"/>
    <n v="242.88"/>
    <n v="0"/>
    <n v="2914.56"/>
    <m/>
    <x v="7"/>
    <x v="7"/>
    <n v="2914.56"/>
    <s v="OK"/>
  </r>
  <r>
    <s v="ORD-1286"/>
    <x v="38"/>
    <x v="3"/>
    <s v="M. Ansah"/>
    <x v="162"/>
    <x v="1"/>
    <s v="Non-stick Pan"/>
    <n v="6"/>
    <n v="176.71"/>
    <n v="0.05"/>
    <n v="1007.25"/>
    <m/>
    <x v="3"/>
    <x v="3"/>
    <n v="1007.247"/>
    <s v="OK"/>
  </r>
  <r>
    <s v="ORD-1300"/>
    <x v="216"/>
    <x v="1"/>
    <s v="R. Ofori"/>
    <x v="150"/>
    <x v="3"/>
    <s v="Shea Butter Lotion"/>
    <n v="10"/>
    <n v="48.14"/>
    <n v="0"/>
    <n v="481.4"/>
    <m/>
    <x v="2"/>
    <x v="2"/>
    <n v="481.4"/>
    <s v="OK"/>
  </r>
  <r>
    <s v="ORD-2118"/>
    <x v="134"/>
    <x v="0"/>
    <s v="R. Ofori"/>
    <x v="25"/>
    <x v="3"/>
    <s v="Shea Butter Lotion"/>
    <n v="11"/>
    <n v="120.99"/>
    <n v="0.1"/>
    <n v="1197.8"/>
    <m/>
    <x v="10"/>
    <x v="10"/>
    <n v="1197.8009999999999"/>
    <s v="OK"/>
  </r>
  <r>
    <s v="ORD-1315"/>
    <x v="217"/>
    <x v="4"/>
    <s v="S. Addo"/>
    <x v="1"/>
    <x v="0"/>
    <s v="Sneakers"/>
    <n v="7"/>
    <n v="50.3"/>
    <n v="0"/>
    <n v="352.1"/>
    <m/>
    <x v="0"/>
    <x v="0"/>
    <n v="352.09999999999997"/>
    <s v="OK"/>
  </r>
  <r>
    <s v="ORD-1731"/>
    <x v="123"/>
    <x v="1"/>
    <s v="J. Tetteh"/>
    <x v="78"/>
    <x v="1"/>
    <s v="Table Lamp"/>
    <n v="9"/>
    <n v="188.89"/>
    <n v="0"/>
    <n v="1700.01"/>
    <m/>
    <x v="5"/>
    <x v="5"/>
    <n v="1700.0099999999998"/>
    <s v="OK"/>
  </r>
  <r>
    <s v="ORD-1556"/>
    <x v="192"/>
    <x v="2"/>
    <s v="R. Ofori"/>
    <x v="121"/>
    <x v="3"/>
    <s v="Hair Oil"/>
    <n v="11"/>
    <n v="240.63"/>
    <n v="0"/>
    <n v="2646.93"/>
    <m/>
    <x v="9"/>
    <x v="9"/>
    <n v="2646.93"/>
    <s v="OK"/>
  </r>
  <r>
    <s v="ORD-1130"/>
    <x v="103"/>
    <x v="3"/>
    <s v="M. Ansah"/>
    <x v="143"/>
    <x v="4"/>
    <s v="Power Bank"/>
    <n v="9"/>
    <n v="247.79"/>
    <n v="0.1"/>
    <n v="2007.1"/>
    <m/>
    <x v="4"/>
    <x v="4"/>
    <n v="2007.0990000000002"/>
    <s v="OK"/>
  </r>
  <r>
    <s v="ORD-1669"/>
    <x v="218"/>
    <x v="1"/>
    <s v="J. Tetteh"/>
    <x v="14"/>
    <x v="4"/>
    <s v="Power Bank"/>
    <n v="3"/>
    <n v="69.14"/>
    <n v="0"/>
    <n v="207.42"/>
    <m/>
    <x v="10"/>
    <x v="10"/>
    <n v="207.42000000000002"/>
    <s v="OK"/>
  </r>
  <r>
    <s v="ORD-1189"/>
    <x v="219"/>
    <x v="2"/>
    <s v="J. Tetteh"/>
    <x v="54"/>
    <x v="4"/>
    <s v="Smartphone Case"/>
    <n v="11"/>
    <n v="116.32"/>
    <n v="0.1"/>
    <n v="1151.57"/>
    <m/>
    <x v="2"/>
    <x v="2"/>
    <n v="1151.568"/>
    <s v="OK"/>
  </r>
  <r>
    <s v="ORD-1027"/>
    <x v="137"/>
    <x v="3"/>
    <s v="P. Amoah"/>
    <x v="163"/>
    <x v="0"/>
    <s v="Leather Wallet"/>
    <n v="11"/>
    <n v="154.86000000000001"/>
    <n v="0.1"/>
    <n v="1533.11"/>
    <m/>
    <x v="4"/>
    <x v="4"/>
    <n v="1533.114"/>
    <s v="OK"/>
  </r>
  <r>
    <s v="ORD-2085"/>
    <x v="220"/>
    <x v="1"/>
    <s v="M. Ansah"/>
    <x v="108"/>
    <x v="0"/>
    <s v="Sneakers"/>
    <n v="8"/>
    <n v="33.380000000000003"/>
    <n v="0"/>
    <n v="267.04000000000002"/>
    <m/>
    <x v="4"/>
    <x v="4"/>
    <n v="267.04000000000002"/>
    <s v="OK"/>
  </r>
  <r>
    <s v="ORD-1447"/>
    <x v="67"/>
    <x v="0"/>
    <s v="J. Tetteh"/>
    <x v="151"/>
    <x v="0"/>
    <s v="Denim Jeans"/>
    <n v="8"/>
    <n v="89.25"/>
    <n v="0.1"/>
    <n v="642.6"/>
    <m/>
    <x v="3"/>
    <x v="3"/>
    <n v="642.6"/>
    <s v="OK"/>
  </r>
  <r>
    <s v="ORD-1862"/>
    <x v="113"/>
    <x v="1"/>
    <s v="S. Addo"/>
    <x v="106"/>
    <x v="1"/>
    <s v="Table Lamp"/>
    <n v="10"/>
    <n v="180.04"/>
    <n v="0.15"/>
    <n v="1530.34"/>
    <m/>
    <x v="8"/>
    <x v="8"/>
    <n v="1530.34"/>
    <s v="OK"/>
  </r>
  <r>
    <s v="ORD-1602"/>
    <x v="221"/>
    <x v="1"/>
    <s v="S. Addo"/>
    <x v="146"/>
    <x v="0"/>
    <s v="Denim Jeans"/>
    <n v="8"/>
    <n v="91.51"/>
    <n v="0"/>
    <n v="732.08"/>
    <m/>
    <x v="6"/>
    <x v="6"/>
    <n v="732.08"/>
    <s v="OK"/>
  </r>
  <r>
    <s v="ORD-2125"/>
    <x v="222"/>
    <x v="0"/>
    <s v="M. Ansah"/>
    <x v="75"/>
    <x v="4"/>
    <s v="Laptop Stand"/>
    <n v="12"/>
    <n v="18.07"/>
    <n v="0"/>
    <n v="216.84"/>
    <m/>
    <x v="11"/>
    <x v="11"/>
    <n v="216.84"/>
    <s v="OK"/>
  </r>
  <r>
    <s v="ORD-2383"/>
    <x v="183"/>
    <x v="0"/>
    <s v="R. Ofori"/>
    <x v="110"/>
    <x v="4"/>
    <s v="Wireless Earbuds"/>
    <n v="3"/>
    <n v="227.12"/>
    <n v="0"/>
    <n v="681.36"/>
    <m/>
    <x v="9"/>
    <x v="9"/>
    <n v="681.36"/>
    <s v="OK"/>
  </r>
  <r>
    <s v="ORD-1835"/>
    <x v="71"/>
    <x v="4"/>
    <s v="R. Ofori"/>
    <x v="41"/>
    <x v="3"/>
    <s v="Shea Butter Lotion"/>
    <n v="5"/>
    <n v="184.9"/>
    <n v="0.1"/>
    <n v="832.05"/>
    <m/>
    <x v="4"/>
    <x v="4"/>
    <n v="832.05000000000007"/>
    <s v="OK"/>
  </r>
  <r>
    <s v="ORD-1610"/>
    <x v="223"/>
    <x v="1"/>
    <s v="S. Addo"/>
    <x v="164"/>
    <x v="0"/>
    <s v="Sneakers"/>
    <n v="6"/>
    <n v="7.99"/>
    <n v="0"/>
    <n v="47.94"/>
    <m/>
    <x v="9"/>
    <x v="9"/>
    <n v="47.94"/>
    <s v="OK"/>
  </r>
  <r>
    <s v="ORD-1700"/>
    <x v="224"/>
    <x v="0"/>
    <s v="R. Ofori"/>
    <x v="133"/>
    <x v="4"/>
    <s v="Laptop Stand"/>
    <n v="7"/>
    <n v="14.07"/>
    <n v="0.05"/>
    <n v="93.57"/>
    <m/>
    <x v="5"/>
    <x v="5"/>
    <n v="93.5655"/>
    <s v="OK"/>
  </r>
  <r>
    <s v="ORD-1983"/>
    <x v="225"/>
    <x v="1"/>
    <s v="M. Ansah"/>
    <x v="88"/>
    <x v="2"/>
    <s v="Sugar 1kg"/>
    <n v="12"/>
    <n v="192.72"/>
    <n v="0"/>
    <n v="2312.64"/>
    <m/>
    <x v="0"/>
    <x v="0"/>
    <n v="2312.64"/>
    <s v="OK"/>
  </r>
  <r>
    <s v="ORD-1596"/>
    <x v="226"/>
    <x v="3"/>
    <s v="M. Ansah"/>
    <x v="25"/>
    <x v="3"/>
    <s v="Shea Butter Lotion"/>
    <n v="5"/>
    <n v="91.41"/>
    <n v="0.1"/>
    <n v="411.34"/>
    <m/>
    <x v="7"/>
    <x v="7"/>
    <n v="411.34499999999997"/>
    <s v="MISMATCH"/>
  </r>
  <r>
    <s v="ORD-2205"/>
    <x v="180"/>
    <x v="0"/>
    <s v="M. Ansah"/>
    <x v="140"/>
    <x v="2"/>
    <s v="Sugar 1kg"/>
    <n v="11"/>
    <n v="22.89"/>
    <n v="0.1"/>
    <n v="226.61"/>
    <m/>
    <x v="8"/>
    <x v="8"/>
    <n v="226.61100000000002"/>
    <s v="OK"/>
  </r>
  <r>
    <s v="ORD-2296"/>
    <x v="227"/>
    <x v="3"/>
    <s v="R. Ofori"/>
    <x v="140"/>
    <x v="2"/>
    <s v="Canned Tomatoes"/>
    <n v="11"/>
    <n v="87.76"/>
    <n v="0.05"/>
    <n v="917.09"/>
    <m/>
    <x v="10"/>
    <x v="10"/>
    <n v="917.09199999999998"/>
    <s v="OK"/>
  </r>
  <r>
    <s v="ORD-1769"/>
    <x v="228"/>
    <x v="4"/>
    <s v="J. Tetteh"/>
    <x v="51"/>
    <x v="3"/>
    <s v="Shampoo 400ml"/>
    <n v="1"/>
    <n v="228.11"/>
    <n v="0.15"/>
    <n v="193.89"/>
    <m/>
    <x v="11"/>
    <x v="11"/>
    <n v="193.89350000000002"/>
    <s v="OK"/>
  </r>
  <r>
    <s v="ORD-1977"/>
    <x v="142"/>
    <x v="2"/>
    <s v="J. Tetteh"/>
    <x v="104"/>
    <x v="0"/>
    <s v="Cotton T-Shirt"/>
    <n v="6"/>
    <n v="72.3"/>
    <n v="0.05"/>
    <n v="412.11"/>
    <m/>
    <x v="9"/>
    <x v="9"/>
    <n v="412.10999999999996"/>
    <s v="OK"/>
  </r>
  <r>
    <s v="ORD-1479"/>
    <x v="229"/>
    <x v="2"/>
    <s v="J. Tetteh"/>
    <x v="138"/>
    <x v="2"/>
    <s v="Pasta Pack"/>
    <n v="7"/>
    <n v="76"/>
    <n v="0"/>
    <n v="532"/>
    <m/>
    <x v="7"/>
    <x v="7"/>
    <n v="532"/>
    <s v="OK"/>
  </r>
  <r>
    <s v="ORD-1474"/>
    <x v="66"/>
    <x v="2"/>
    <s v="P. Amoah"/>
    <x v="78"/>
    <x v="3"/>
    <s v="Lip Balm Set"/>
    <n v="6"/>
    <n v="14.25"/>
    <n v="0"/>
    <n v="85.5"/>
    <m/>
    <x v="11"/>
    <x v="11"/>
    <n v="85.5"/>
    <s v="OK"/>
  </r>
  <r>
    <s v="ORD-1325"/>
    <x v="106"/>
    <x v="4"/>
    <s v="S. Addo"/>
    <x v="108"/>
    <x v="1"/>
    <s v="Non-stick Pan"/>
    <n v="4"/>
    <n v="51.04"/>
    <n v="0.05"/>
    <n v="193.95"/>
    <m/>
    <x v="10"/>
    <x v="10"/>
    <n v="193.952"/>
    <s v="OK"/>
  </r>
  <r>
    <s v="ORD-2037"/>
    <x v="22"/>
    <x v="2"/>
    <s v="J. Tetteh"/>
    <x v="32"/>
    <x v="1"/>
    <s v="Non-stick Pan"/>
    <n v="7"/>
    <n v="164.33"/>
    <n v="0.05"/>
    <n v="1092.79"/>
    <m/>
    <x v="8"/>
    <x v="8"/>
    <n v="1092.7945000000002"/>
    <s v="OK"/>
  </r>
  <r>
    <s v="ORD-1762"/>
    <x v="230"/>
    <x v="1"/>
    <s v="S. Addo"/>
    <x v="95"/>
    <x v="0"/>
    <s v="Sunglasses"/>
    <n v="5"/>
    <n v="41.12"/>
    <n v="0.1"/>
    <n v="185.04"/>
    <m/>
    <x v="10"/>
    <x v="10"/>
    <n v="185.04"/>
    <s v="OK"/>
  </r>
  <r>
    <s v="ORD-2150"/>
    <x v="46"/>
    <x v="2"/>
    <s v="J. Tetteh"/>
    <x v="38"/>
    <x v="3"/>
    <s v="Hair Oil"/>
    <n v="3"/>
    <n v="35.880000000000003"/>
    <n v="0.15"/>
    <n v="91.49"/>
    <m/>
    <x v="3"/>
    <x v="3"/>
    <n v="91.494000000000014"/>
    <s v="OK"/>
  </r>
  <r>
    <s v="ORD-2371"/>
    <x v="4"/>
    <x v="3"/>
    <s v="M. Ansah"/>
    <x v="119"/>
    <x v="4"/>
    <s v="Smartphone Case"/>
    <n v="8"/>
    <n v="21.42"/>
    <n v="0"/>
    <n v="171.36"/>
    <m/>
    <x v="4"/>
    <x v="4"/>
    <n v="171.36"/>
    <s v="OK"/>
  </r>
  <r>
    <s v="ORD-1885"/>
    <x v="86"/>
    <x v="3"/>
    <s v="S. Addo"/>
    <x v="141"/>
    <x v="4"/>
    <s v="Bluetooth Speaker"/>
    <n v="10"/>
    <n v="109.44"/>
    <n v="0"/>
    <n v="1094.4000000000001"/>
    <m/>
    <x v="10"/>
    <x v="10"/>
    <n v="1094.4000000000001"/>
    <s v="OK"/>
  </r>
  <r>
    <s v="ORD-1017"/>
    <x v="231"/>
    <x v="2"/>
    <s v="R. Ofori"/>
    <x v="165"/>
    <x v="3"/>
    <s v="Lip Balm Set"/>
    <n v="11"/>
    <n v="28.11"/>
    <n v="0.05"/>
    <n v="293.75"/>
    <m/>
    <x v="9"/>
    <x v="9"/>
    <n v="293.74949999999995"/>
    <s v="OK"/>
  </r>
  <r>
    <s v="ORD-2402"/>
    <x v="190"/>
    <x v="2"/>
    <s v="S. Addo"/>
    <x v="26"/>
    <x v="0"/>
    <s v="Cotton T-Shirt"/>
    <n v="11"/>
    <n v="231.81"/>
    <n v="0.05"/>
    <n v="2422.41"/>
    <m/>
    <x v="11"/>
    <x v="11"/>
    <n v="2422.4144999999999"/>
    <s v="OK"/>
  </r>
  <r>
    <s v="ORD-1450"/>
    <x v="109"/>
    <x v="2"/>
    <s v="S. Addo"/>
    <x v="103"/>
    <x v="1"/>
    <s v="Table Lamp"/>
    <n v="2"/>
    <n v="106.16"/>
    <n v="0"/>
    <n v="212.32"/>
    <m/>
    <x v="8"/>
    <x v="8"/>
    <n v="212.32"/>
    <s v="OK"/>
  </r>
  <r>
    <s v="ORD-2379"/>
    <x v="126"/>
    <x v="1"/>
    <s v="M. Ansah"/>
    <x v="166"/>
    <x v="3"/>
    <s v="Face Wash"/>
    <n v="4"/>
    <n v="123.13"/>
    <n v="0"/>
    <n v="492.52"/>
    <m/>
    <x v="3"/>
    <x v="3"/>
    <n v="492.52"/>
    <s v="OK"/>
  </r>
  <r>
    <s v="ORD-2601"/>
    <x v="36"/>
    <x v="4"/>
    <s v="J. Tetteh"/>
    <x v="62"/>
    <x v="4"/>
    <s v="Power Bank"/>
    <n v="6"/>
    <n v="13.62"/>
    <n v="0"/>
    <n v="81.72"/>
    <m/>
    <x v="1"/>
    <x v="1"/>
    <n v="81.72"/>
    <s v="OK"/>
  </r>
  <r>
    <s v="ORD-2544"/>
    <x v="232"/>
    <x v="1"/>
    <s v="J. Tetteh"/>
    <x v="164"/>
    <x v="4"/>
    <s v="Laptop Stand"/>
    <n v="1"/>
    <n v="219.33"/>
    <n v="0.1"/>
    <n v="197.4"/>
    <m/>
    <x v="6"/>
    <x v="6"/>
    <n v="197.39700000000002"/>
    <s v="OK"/>
  </r>
  <r>
    <s v="ORD-2123"/>
    <x v="23"/>
    <x v="0"/>
    <s v="R. Ofori"/>
    <x v="105"/>
    <x v="3"/>
    <s v="Face Wash"/>
    <n v="8"/>
    <n v="143.72"/>
    <n v="0"/>
    <n v="1149.76"/>
    <m/>
    <x v="5"/>
    <x v="5"/>
    <n v="1149.76"/>
    <s v="OK"/>
  </r>
  <r>
    <s v="ORD-1118"/>
    <x v="233"/>
    <x v="2"/>
    <s v="P. Amoah"/>
    <x v="80"/>
    <x v="2"/>
    <s v="Canned Tomatoes"/>
    <n v="5"/>
    <n v="110.33"/>
    <n v="0.15"/>
    <n v="468.9"/>
    <m/>
    <x v="0"/>
    <x v="0"/>
    <n v="468.90249999999997"/>
    <s v="OK"/>
  </r>
  <r>
    <s v="ORD-2548"/>
    <x v="234"/>
    <x v="4"/>
    <s v="P. Amoah"/>
    <x v="126"/>
    <x v="1"/>
    <s v="Non-stick Pan"/>
    <n v="4"/>
    <n v="88.94"/>
    <n v="0.05"/>
    <n v="337.97"/>
    <m/>
    <x v="10"/>
    <x v="10"/>
    <n v="337.97199999999998"/>
    <s v="OK"/>
  </r>
  <r>
    <s v="ORD-1054"/>
    <x v="235"/>
    <x v="4"/>
    <s v="P. Amoah"/>
    <x v="109"/>
    <x v="2"/>
    <s v="Sugar 1kg"/>
    <n v="3"/>
    <n v="195.56"/>
    <n v="0"/>
    <n v="586.67999999999995"/>
    <m/>
    <x v="8"/>
    <x v="8"/>
    <n v="586.68000000000006"/>
    <s v="OK"/>
  </r>
  <r>
    <s v="ORD-2518"/>
    <x v="236"/>
    <x v="2"/>
    <s v="P. Amoah"/>
    <x v="149"/>
    <x v="0"/>
    <s v="Sneakers"/>
    <n v="10"/>
    <n v="11.43"/>
    <n v="0"/>
    <n v="114.3"/>
    <m/>
    <x v="10"/>
    <x v="10"/>
    <n v="114.3"/>
    <s v="OK"/>
  </r>
  <r>
    <s v="ORD-1692"/>
    <x v="216"/>
    <x v="0"/>
    <s v="S. Addo"/>
    <x v="47"/>
    <x v="2"/>
    <s v="Rice 5kg"/>
    <n v="9"/>
    <n v="148.46"/>
    <n v="0"/>
    <n v="1336.14"/>
    <m/>
    <x v="2"/>
    <x v="2"/>
    <n v="1336.14"/>
    <s v="OK"/>
  </r>
  <r>
    <s v="ORD-1360"/>
    <x v="234"/>
    <x v="0"/>
    <s v="P. Amoah"/>
    <x v="140"/>
    <x v="1"/>
    <s v="Blender"/>
    <n v="8"/>
    <n v="214.86"/>
    <n v="0"/>
    <n v="1718.88"/>
    <m/>
    <x v="10"/>
    <x v="10"/>
    <n v="1718.88"/>
    <s v="OK"/>
  </r>
  <r>
    <s v="ORD-1180"/>
    <x v="140"/>
    <x v="1"/>
    <s v="R. Ofori"/>
    <x v="139"/>
    <x v="1"/>
    <s v="Storage Containers"/>
    <n v="9"/>
    <n v="132.08000000000001"/>
    <n v="0"/>
    <n v="1188.72"/>
    <m/>
    <x v="6"/>
    <x v="6"/>
    <n v="1188.72"/>
    <s v="OK"/>
  </r>
  <r>
    <s v="ORD-1259"/>
    <x v="213"/>
    <x v="1"/>
    <s v="M. Ansah"/>
    <x v="167"/>
    <x v="1"/>
    <s v="Electric Kettle"/>
    <n v="10"/>
    <n v="124.92"/>
    <n v="0.15"/>
    <n v="1061.82"/>
    <m/>
    <x v="4"/>
    <x v="4"/>
    <n v="1061.82"/>
    <s v="OK"/>
  </r>
  <r>
    <s v="ORD-1611"/>
    <x v="95"/>
    <x v="0"/>
    <s v="R. Ofori"/>
    <x v="57"/>
    <x v="3"/>
    <s v="Shea Butter Lotion"/>
    <n v="12"/>
    <n v="45.13"/>
    <n v="0.05"/>
    <n v="514.48"/>
    <m/>
    <x v="10"/>
    <x v="10"/>
    <n v="514.48200000000008"/>
    <s v="OK"/>
  </r>
  <r>
    <s v="ORD-1954"/>
    <x v="71"/>
    <x v="1"/>
    <s v="S. Addo"/>
    <x v="168"/>
    <x v="0"/>
    <s v="Denim Jeans"/>
    <n v="7"/>
    <n v="80.31"/>
    <n v="0.15"/>
    <n v="477.84"/>
    <m/>
    <x v="4"/>
    <x v="4"/>
    <n v="477.84450000000004"/>
    <s v="OK"/>
  </r>
  <r>
    <s v="ORD-1210"/>
    <x v="237"/>
    <x v="1"/>
    <s v="M. Ansah"/>
    <x v="91"/>
    <x v="2"/>
    <s v="Sugar 1kg"/>
    <n v="10"/>
    <n v="97.41"/>
    <n v="0.1"/>
    <n v="876.69"/>
    <m/>
    <x v="6"/>
    <x v="6"/>
    <n v="876.68999999999994"/>
    <s v="OK"/>
  </r>
  <r>
    <s v="ORD-1653"/>
    <x v="83"/>
    <x v="3"/>
    <s v="R. Ofori"/>
    <x v="4"/>
    <x v="2"/>
    <s v="Sugar 1kg"/>
    <n v="5"/>
    <n v="163.28"/>
    <n v="0.15"/>
    <n v="693.94"/>
    <m/>
    <x v="1"/>
    <x v="1"/>
    <n v="693.93999999999994"/>
    <s v="OK"/>
  </r>
  <r>
    <s v="ORD-2126"/>
    <x v="54"/>
    <x v="2"/>
    <s v="M. Ansah"/>
    <x v="169"/>
    <x v="1"/>
    <s v="Table Lamp"/>
    <n v="3"/>
    <n v="221.47"/>
    <n v="0"/>
    <n v="664.41"/>
    <m/>
    <x v="7"/>
    <x v="7"/>
    <n v="664.41"/>
    <s v="OK"/>
  </r>
  <r>
    <s v="ORD-1376"/>
    <x v="238"/>
    <x v="1"/>
    <s v="M. Ansah"/>
    <x v="62"/>
    <x v="0"/>
    <s v="Sunglasses"/>
    <n v="8"/>
    <n v="6.38"/>
    <n v="0.15"/>
    <n v="43.38"/>
    <m/>
    <x v="5"/>
    <x v="5"/>
    <n v="43.384"/>
    <s v="OK"/>
  </r>
  <r>
    <s v="ORD-2034"/>
    <x v="162"/>
    <x v="1"/>
    <s v="P. Amoah"/>
    <x v="56"/>
    <x v="3"/>
    <s v="Shea Butter Lotion"/>
    <n v="1"/>
    <n v="165.04"/>
    <n v="0"/>
    <n v="165.04"/>
    <m/>
    <x v="10"/>
    <x v="10"/>
    <n v="165.04"/>
    <s v="OK"/>
  </r>
  <r>
    <s v="ORD-2198"/>
    <x v="162"/>
    <x v="3"/>
    <s v="J. Tetteh"/>
    <x v="86"/>
    <x v="3"/>
    <s v="Face Wash"/>
    <n v="2"/>
    <n v="220.81"/>
    <n v="0"/>
    <n v="441.62"/>
    <m/>
    <x v="10"/>
    <x v="10"/>
    <n v="441.62"/>
    <s v="OK"/>
  </r>
  <r>
    <s v="ORD-1684"/>
    <x v="239"/>
    <x v="4"/>
    <s v="S. Addo"/>
    <x v="1"/>
    <x v="4"/>
    <s v="USB-C Cable"/>
    <n v="1"/>
    <n v="85.71"/>
    <n v="0.15"/>
    <n v="72.849999999999994"/>
    <m/>
    <x v="5"/>
    <x v="5"/>
    <n v="72.853499999999997"/>
    <s v="OK"/>
  </r>
  <r>
    <s v="ORD-1023"/>
    <x v="76"/>
    <x v="4"/>
    <s v="P. Amoah"/>
    <x v="143"/>
    <x v="3"/>
    <s v="Lip Balm Set"/>
    <n v="2"/>
    <n v="21.79"/>
    <n v="0.15"/>
    <n v="37.04"/>
    <m/>
    <x v="8"/>
    <x v="8"/>
    <n v="37.042999999999999"/>
    <s v="OK"/>
  </r>
  <r>
    <s v="ORD-2182"/>
    <x v="51"/>
    <x v="3"/>
    <s v="M. Ansah"/>
    <x v="138"/>
    <x v="4"/>
    <s v="USB-C Cable"/>
    <n v="3"/>
    <n v="200.33"/>
    <n v="0.15"/>
    <n v="510.84"/>
    <m/>
    <x v="1"/>
    <x v="1"/>
    <n v="510.8415"/>
    <s v="OK"/>
  </r>
  <r>
    <s v="ORD-2354"/>
    <x v="204"/>
    <x v="4"/>
    <s v="S. Addo"/>
    <x v="135"/>
    <x v="0"/>
    <s v="Denim Jeans"/>
    <n v="6"/>
    <n v="208.25"/>
    <n v="0"/>
    <n v="1249.5"/>
    <m/>
    <x v="9"/>
    <x v="9"/>
    <n v="1249.5"/>
    <s v="OK"/>
  </r>
  <r>
    <s v="ORD-2763"/>
    <x v="146"/>
    <x v="3"/>
    <s v="S. Addo"/>
    <x v="21"/>
    <x v="3"/>
    <s v="Face Wash"/>
    <n v="6"/>
    <n v="40.89"/>
    <n v="0.05"/>
    <n v="233.07"/>
    <m/>
    <x v="4"/>
    <x v="4"/>
    <n v="233.07299999999998"/>
    <s v="OK"/>
  </r>
  <r>
    <s v="ORD-1507"/>
    <x v="89"/>
    <x v="2"/>
    <s v="S. Addo"/>
    <x v="170"/>
    <x v="1"/>
    <s v="Electric Kettle"/>
    <n v="8"/>
    <n v="126.92"/>
    <n v="0.1"/>
    <n v="913.82"/>
    <m/>
    <x v="6"/>
    <x v="6"/>
    <n v="913.82400000000007"/>
    <s v="OK"/>
  </r>
  <r>
    <s v="ORD-1346"/>
    <x v="46"/>
    <x v="0"/>
    <s v="S. Addo"/>
    <x v="40"/>
    <x v="4"/>
    <s v="Smartphone Case"/>
    <n v="1"/>
    <n v="150.51"/>
    <n v="0.15"/>
    <n v="127.93"/>
    <m/>
    <x v="3"/>
    <x v="3"/>
    <n v="127.9335"/>
    <s v="OK"/>
  </r>
  <r>
    <s v="ORD-2018"/>
    <x v="240"/>
    <x v="0"/>
    <s v="M. Ansah"/>
    <x v="34"/>
    <x v="4"/>
    <s v="Bluetooth Speaker"/>
    <n v="5"/>
    <n v="121.66"/>
    <n v="0"/>
    <n v="608.29999999999995"/>
    <m/>
    <x v="3"/>
    <x v="3"/>
    <n v="608.29999999999995"/>
    <s v="OK"/>
  </r>
  <r>
    <s v="ORD-1883"/>
    <x v="27"/>
    <x v="0"/>
    <s v="P. Amoah"/>
    <x v="171"/>
    <x v="2"/>
    <s v="Cooking Oil 1L"/>
    <n v="2"/>
    <n v="73.88"/>
    <n v="0"/>
    <n v="147.76"/>
    <m/>
    <x v="1"/>
    <x v="1"/>
    <n v="147.76"/>
    <s v="OK"/>
  </r>
  <r>
    <s v="ORD-1430"/>
    <x v="241"/>
    <x v="1"/>
    <s v="R. Ofori"/>
    <x v="145"/>
    <x v="3"/>
    <s v="Shampoo 400ml"/>
    <n v="7"/>
    <n v="128.11000000000001"/>
    <n v="0.15"/>
    <n v="762.25"/>
    <m/>
    <x v="3"/>
    <x v="3"/>
    <n v="762.25450000000001"/>
    <s v="OK"/>
  </r>
  <r>
    <s v="ORD-2569"/>
    <x v="242"/>
    <x v="0"/>
    <s v="R. Ofori"/>
    <x v="24"/>
    <x v="1"/>
    <s v="Non-stick Pan"/>
    <n v="4"/>
    <n v="118.74"/>
    <n v="0"/>
    <n v="474.96"/>
    <m/>
    <x v="5"/>
    <x v="5"/>
    <n v="474.96"/>
    <s v="OK"/>
  </r>
  <r>
    <s v="ORD-2409"/>
    <x v="243"/>
    <x v="3"/>
    <s v="R. Ofori"/>
    <x v="172"/>
    <x v="3"/>
    <s v="Face Wash"/>
    <n v="10"/>
    <n v="210.36"/>
    <n v="0"/>
    <n v="2103.6"/>
    <m/>
    <x v="3"/>
    <x v="3"/>
    <n v="2103.6000000000004"/>
    <s v="OK"/>
  </r>
  <r>
    <s v="ORD-1142"/>
    <x v="234"/>
    <x v="3"/>
    <s v="R. Ofori"/>
    <x v="137"/>
    <x v="4"/>
    <s v="Smartphone Case"/>
    <n v="1"/>
    <n v="226.94"/>
    <n v="0"/>
    <n v="226.94"/>
    <m/>
    <x v="10"/>
    <x v="10"/>
    <n v="226.94"/>
    <s v="OK"/>
  </r>
  <r>
    <s v="ORD-1228"/>
    <x v="70"/>
    <x v="1"/>
    <s v="S. Addo"/>
    <x v="92"/>
    <x v="3"/>
    <s v="Hair Oil"/>
    <n v="3"/>
    <n v="25.1"/>
    <n v="0.05"/>
    <n v="71.540000000000006"/>
    <m/>
    <x v="1"/>
    <x v="1"/>
    <n v="71.535000000000011"/>
    <s v="OK"/>
  </r>
  <r>
    <s v="ORD-1213"/>
    <x v="1"/>
    <x v="0"/>
    <s v="S. Addo"/>
    <x v="39"/>
    <x v="2"/>
    <s v="Canned Tomatoes"/>
    <n v="8"/>
    <n v="130.63999999999999"/>
    <n v="0.05"/>
    <n v="992.86"/>
    <m/>
    <x v="1"/>
    <x v="1"/>
    <n v="992.86399999999981"/>
    <s v="OK"/>
  </r>
  <r>
    <s v="ORD-2449"/>
    <x v="53"/>
    <x v="0"/>
    <s v="P. Amoah"/>
    <x v="162"/>
    <x v="1"/>
    <s v="Blender"/>
    <n v="8"/>
    <n v="31.38"/>
    <n v="0"/>
    <n v="251.04"/>
    <m/>
    <x v="6"/>
    <x v="6"/>
    <n v="251.04"/>
    <s v="OK"/>
  </r>
  <r>
    <s v="ORD-2594"/>
    <x v="97"/>
    <x v="2"/>
    <s v="M. Ansah"/>
    <x v="5"/>
    <x v="0"/>
    <s v="Sneakers"/>
    <n v="4"/>
    <n v="217.74"/>
    <n v="0"/>
    <n v="870.96"/>
    <m/>
    <x v="9"/>
    <x v="9"/>
    <n v="870.96"/>
    <s v="OK"/>
  </r>
  <r>
    <s v="ORD-1465"/>
    <x v="244"/>
    <x v="3"/>
    <s v="M. Ansah"/>
    <x v="143"/>
    <x v="4"/>
    <s v="Bluetooth Speaker"/>
    <n v="1"/>
    <n v="51.95"/>
    <n v="0.1"/>
    <n v="46.76"/>
    <m/>
    <x v="0"/>
    <x v="0"/>
    <n v="46.755000000000003"/>
    <s v="OK"/>
  </r>
  <r>
    <s v="ORD-2416"/>
    <x v="225"/>
    <x v="2"/>
    <s v="M. Ansah"/>
    <x v="11"/>
    <x v="0"/>
    <s v="Denim Jeans"/>
    <n v="12"/>
    <n v="145.29"/>
    <n v="0"/>
    <n v="1743.48"/>
    <m/>
    <x v="0"/>
    <x v="0"/>
    <n v="1743.48"/>
    <s v="OK"/>
  </r>
  <r>
    <s v="ORD-1755"/>
    <x v="70"/>
    <x v="2"/>
    <s v="S. Addo"/>
    <x v="173"/>
    <x v="2"/>
    <s v="Rice 5kg"/>
    <n v="6"/>
    <n v="121.03"/>
    <n v="0"/>
    <n v="726.18"/>
    <m/>
    <x v="1"/>
    <x v="1"/>
    <n v="726.18000000000006"/>
    <s v="OK"/>
  </r>
  <r>
    <s v="ORD-1015"/>
    <x v="116"/>
    <x v="3"/>
    <s v="P. Amoah"/>
    <x v="172"/>
    <x v="1"/>
    <s v="Blender"/>
    <n v="1"/>
    <n v="149.16999999999999"/>
    <n v="0"/>
    <n v="149.16999999999999"/>
    <m/>
    <x v="5"/>
    <x v="5"/>
    <n v="149.16999999999999"/>
    <s v="OK"/>
  </r>
  <r>
    <s v="ORD-2642"/>
    <x v="245"/>
    <x v="0"/>
    <s v="J. Tetteh"/>
    <x v="174"/>
    <x v="1"/>
    <s v="Table Lamp"/>
    <n v="12"/>
    <n v="113.56"/>
    <n v="0"/>
    <n v="1362.72"/>
    <m/>
    <x v="11"/>
    <x v="11"/>
    <n v="1362.72"/>
    <s v="OK"/>
  </r>
  <r>
    <s v="ORD-2353"/>
    <x v="5"/>
    <x v="0"/>
    <s v="M. Ansah"/>
    <x v="48"/>
    <x v="1"/>
    <s v="Electric Kettle"/>
    <n v="1"/>
    <n v="93.43"/>
    <n v="0.15"/>
    <n v="79.42"/>
    <m/>
    <x v="5"/>
    <x v="5"/>
    <n v="79.415500000000009"/>
    <s v="OK"/>
  </r>
  <r>
    <s v="ORD-2624"/>
    <x v="246"/>
    <x v="3"/>
    <s v="P. Amoah"/>
    <x v="118"/>
    <x v="1"/>
    <s v="Blender"/>
    <n v="4"/>
    <n v="181.1"/>
    <n v="0.05"/>
    <n v="688.18"/>
    <m/>
    <x v="10"/>
    <x v="10"/>
    <n v="688.18"/>
    <s v="OK"/>
  </r>
  <r>
    <s v="ORD-2297"/>
    <x v="123"/>
    <x v="4"/>
    <s v="M. Ansah"/>
    <x v="84"/>
    <x v="3"/>
    <s v="Shampoo 400ml"/>
    <n v="12"/>
    <n v="237.26"/>
    <n v="0.15"/>
    <n v="2420.0500000000002"/>
    <m/>
    <x v="5"/>
    <x v="5"/>
    <n v="2420.0519999999997"/>
    <s v="OK"/>
  </r>
  <r>
    <s v="ORD-2200"/>
    <x v="121"/>
    <x v="3"/>
    <s v="M. Ansah"/>
    <x v="151"/>
    <x v="3"/>
    <s v="Lip Balm Set"/>
    <n v="6"/>
    <n v="239.51"/>
    <n v="0.05"/>
    <n v="1365.21"/>
    <m/>
    <x v="0"/>
    <x v="0"/>
    <n v="1365.2069999999999"/>
    <s v="OK"/>
  </r>
  <r>
    <s v="ORD-2675"/>
    <x v="89"/>
    <x v="1"/>
    <s v="M. Ansah"/>
    <x v="77"/>
    <x v="0"/>
    <s v="Cotton T-Shirt"/>
    <n v="7"/>
    <n v="207.25"/>
    <n v="0"/>
    <n v="1450.75"/>
    <m/>
    <x v="6"/>
    <x v="6"/>
    <n v="1450.75"/>
    <s v="OK"/>
  </r>
  <r>
    <s v="ORD-1311"/>
    <x v="247"/>
    <x v="0"/>
    <s v="J. Tetteh"/>
    <x v="91"/>
    <x v="2"/>
    <s v="Cooking Oil 1L"/>
    <n v="7"/>
    <n v="177.6"/>
    <n v="0.15"/>
    <n v="1056.72"/>
    <m/>
    <x v="2"/>
    <x v="2"/>
    <n v="1056.72"/>
    <s v="OK"/>
  </r>
  <r>
    <s v="ORD-2169"/>
    <x v="218"/>
    <x v="2"/>
    <s v="M. Ansah"/>
    <x v="93"/>
    <x v="1"/>
    <s v="Table Lamp"/>
    <n v="6"/>
    <n v="201.9"/>
    <n v="0"/>
    <n v="1211.4000000000001"/>
    <m/>
    <x v="10"/>
    <x v="10"/>
    <n v="1211.4000000000001"/>
    <s v="OK"/>
  </r>
  <r>
    <s v="ORD-1034"/>
    <x v="248"/>
    <x v="4"/>
    <s v="S. Addo"/>
    <x v="108"/>
    <x v="1"/>
    <s v="Electric Kettle"/>
    <n v="4"/>
    <n v="10.8"/>
    <n v="0.05"/>
    <n v="41.04"/>
    <m/>
    <x v="7"/>
    <x v="7"/>
    <n v="41.04"/>
    <s v="OK"/>
  </r>
  <r>
    <s v="ORD-1215"/>
    <x v="174"/>
    <x v="1"/>
    <s v="M. Ansah"/>
    <x v="31"/>
    <x v="0"/>
    <s v="Denim Jeans"/>
    <n v="11"/>
    <n v="127.33"/>
    <n v="0.15"/>
    <n v="1190.54"/>
    <m/>
    <x v="9"/>
    <x v="9"/>
    <n v="1190.5355"/>
    <s v="OK"/>
  </r>
  <r>
    <s v="ORD-2095"/>
    <x v="48"/>
    <x v="0"/>
    <s v="R. Ofori"/>
    <x v="61"/>
    <x v="3"/>
    <s v="Shea Butter Lotion"/>
    <n v="11"/>
    <n v="69.75"/>
    <n v="0.1"/>
    <n v="690.52"/>
    <m/>
    <x v="7"/>
    <x v="7"/>
    <n v="690.52499999999998"/>
    <s v="MISMATCH"/>
  </r>
  <r>
    <s v="ORD-1694"/>
    <x v="207"/>
    <x v="1"/>
    <s v="M. Ansah"/>
    <x v="51"/>
    <x v="0"/>
    <s v="Leather Wallet"/>
    <n v="2"/>
    <n v="218.55"/>
    <n v="0.05"/>
    <n v="415.25"/>
    <m/>
    <x v="0"/>
    <x v="0"/>
    <n v="415.245"/>
    <s v="OK"/>
  </r>
  <r>
    <s v="ORD-1354"/>
    <x v="249"/>
    <x v="0"/>
    <s v="R. Ofori"/>
    <x v="175"/>
    <x v="0"/>
    <s v="Leather Wallet"/>
    <n v="7"/>
    <n v="71.599999999999994"/>
    <n v="0.15"/>
    <n v="426.02"/>
    <m/>
    <x v="9"/>
    <x v="9"/>
    <n v="426.01999999999992"/>
    <s v="OK"/>
  </r>
  <r>
    <s v="ORD-1683"/>
    <x v="122"/>
    <x v="4"/>
    <s v="J. Tetteh"/>
    <x v="121"/>
    <x v="4"/>
    <s v="Smartphone Case"/>
    <n v="2"/>
    <n v="149.63"/>
    <n v="0"/>
    <n v="299.26"/>
    <m/>
    <x v="9"/>
    <x v="9"/>
    <n v="299.26"/>
    <s v="OK"/>
  </r>
  <r>
    <s v="ORD-1506"/>
    <x v="250"/>
    <x v="0"/>
    <s v="R. Ofori"/>
    <x v="143"/>
    <x v="1"/>
    <s v="Electric Kettle"/>
    <n v="8"/>
    <n v="183.89"/>
    <n v="0"/>
    <n v="1471.12"/>
    <m/>
    <x v="2"/>
    <x v="2"/>
    <n v="1471.12"/>
    <s v="OK"/>
  </r>
  <r>
    <s v="ORD-1621"/>
    <x v="59"/>
    <x v="4"/>
    <s v="M. Ansah"/>
    <x v="119"/>
    <x v="0"/>
    <s v="Denim Jeans"/>
    <n v="9"/>
    <n v="208.74"/>
    <n v="0.1"/>
    <n v="1690.79"/>
    <m/>
    <x v="3"/>
    <x v="3"/>
    <n v="1690.7940000000001"/>
    <s v="OK"/>
  </r>
  <r>
    <s v="ORD-1638"/>
    <x v="251"/>
    <x v="0"/>
    <s v="R. Ofori"/>
    <x v="176"/>
    <x v="2"/>
    <s v="Cooking Oil 1L"/>
    <n v="9"/>
    <n v="137.9"/>
    <n v="0.1"/>
    <n v="1116.99"/>
    <m/>
    <x v="3"/>
    <x v="3"/>
    <n v="1116.9900000000002"/>
    <s v="OK"/>
  </r>
  <r>
    <s v="ORD-1681"/>
    <x v="225"/>
    <x v="3"/>
    <s v="S. Addo"/>
    <x v="36"/>
    <x v="4"/>
    <s v="Laptop Stand"/>
    <n v="3"/>
    <n v="217.7"/>
    <n v="0"/>
    <n v="653.1"/>
    <m/>
    <x v="0"/>
    <x v="0"/>
    <n v="653.09999999999991"/>
    <s v="OK"/>
  </r>
  <r>
    <s v="ORD-1955"/>
    <x v="29"/>
    <x v="1"/>
    <s v="M. Ansah"/>
    <x v="177"/>
    <x v="2"/>
    <s v="Rice 5kg"/>
    <n v="10"/>
    <n v="87.1"/>
    <n v="0.05"/>
    <n v="827.45"/>
    <m/>
    <x v="9"/>
    <x v="9"/>
    <n v="827.44999999999993"/>
    <s v="OK"/>
  </r>
  <r>
    <s v="ORD-1416"/>
    <x v="96"/>
    <x v="3"/>
    <s v="M. Ansah"/>
    <x v="65"/>
    <x v="1"/>
    <s v="Blender"/>
    <n v="6"/>
    <n v="129.54"/>
    <n v="0.1"/>
    <n v="699.52"/>
    <m/>
    <x v="0"/>
    <x v="0"/>
    <n v="699.51600000000008"/>
    <s v="OK"/>
  </r>
  <r>
    <s v="ORD-2746"/>
    <x v="252"/>
    <x v="2"/>
    <s v="R. Ofori"/>
    <x v="30"/>
    <x v="0"/>
    <s v="Leather Wallet"/>
    <n v="4"/>
    <n v="244.46"/>
    <n v="0"/>
    <n v="977.84"/>
    <m/>
    <x v="0"/>
    <x v="0"/>
    <n v="977.84"/>
    <s v="OK"/>
  </r>
  <r>
    <s v="ORD-2165"/>
    <x v="157"/>
    <x v="2"/>
    <s v="M. Ansah"/>
    <x v="133"/>
    <x v="3"/>
    <s v="Hair Oil"/>
    <n v="3"/>
    <n v="156.62"/>
    <n v="0.1"/>
    <n v="422.87"/>
    <m/>
    <x v="8"/>
    <x v="8"/>
    <n v="422.87400000000002"/>
    <s v="OK"/>
  </r>
  <r>
    <s v="ORD-2534"/>
    <x v="215"/>
    <x v="2"/>
    <s v="R. Ofori"/>
    <x v="4"/>
    <x v="1"/>
    <s v="Table Lamp"/>
    <n v="6"/>
    <n v="104.22"/>
    <n v="0"/>
    <n v="625.32000000000005"/>
    <m/>
    <x v="7"/>
    <x v="7"/>
    <n v="625.31999999999994"/>
    <s v="OK"/>
  </r>
  <r>
    <s v="ORD-1361"/>
    <x v="82"/>
    <x v="0"/>
    <s v="J. Tetteh"/>
    <x v="46"/>
    <x v="4"/>
    <s v="Wireless Earbuds"/>
    <n v="10"/>
    <n v="207.35"/>
    <n v="0.1"/>
    <n v="1866.15"/>
    <m/>
    <x v="5"/>
    <x v="5"/>
    <n v="1866.15"/>
    <s v="OK"/>
  </r>
  <r>
    <s v="ORD-2002"/>
    <x v="12"/>
    <x v="0"/>
    <s v="P. Amoah"/>
    <x v="73"/>
    <x v="0"/>
    <s v="Denim Jeans"/>
    <n v="2"/>
    <n v="209.37"/>
    <n v="0.05"/>
    <n v="397.8"/>
    <m/>
    <x v="4"/>
    <x v="4"/>
    <n v="397.803"/>
    <s v="OK"/>
  </r>
  <r>
    <s v="ORD-2673"/>
    <x v="253"/>
    <x v="3"/>
    <s v="P. Amoah"/>
    <x v="151"/>
    <x v="2"/>
    <s v="Cooking Oil 1L"/>
    <n v="7"/>
    <n v="209.6"/>
    <n v="0.05"/>
    <n v="1393.84"/>
    <m/>
    <x v="10"/>
    <x v="10"/>
    <n v="1393.84"/>
    <s v="OK"/>
  </r>
  <r>
    <s v="ORD-1249"/>
    <x v="205"/>
    <x v="2"/>
    <s v="M. Ansah"/>
    <x v="178"/>
    <x v="0"/>
    <s v="Sunglasses"/>
    <n v="2"/>
    <n v="63.45"/>
    <n v="0"/>
    <n v="126.9"/>
    <m/>
    <x v="2"/>
    <x v="2"/>
    <n v="126.9"/>
    <s v="OK"/>
  </r>
  <r>
    <s v="ORD-2011"/>
    <x v="254"/>
    <x v="3"/>
    <s v="P. Amoah"/>
    <x v="150"/>
    <x v="3"/>
    <s v="Face Wash"/>
    <n v="10"/>
    <n v="157.12"/>
    <n v="0"/>
    <n v="1571.2"/>
    <m/>
    <x v="5"/>
    <x v="5"/>
    <n v="1571.2"/>
    <s v="OK"/>
  </r>
  <r>
    <s v="ORD-1024"/>
    <x v="34"/>
    <x v="1"/>
    <s v="P. Amoah"/>
    <x v="150"/>
    <x v="4"/>
    <s v="Power Bank"/>
    <n v="10"/>
    <n v="107.71"/>
    <n v="0.1"/>
    <n v="969.39"/>
    <m/>
    <x v="6"/>
    <x v="6"/>
    <n v="969.39"/>
    <s v="OK"/>
  </r>
  <r>
    <s v="ORD-1110"/>
    <x v="205"/>
    <x v="3"/>
    <s v="R. Ofori"/>
    <x v="105"/>
    <x v="2"/>
    <s v="Canned Tomatoes"/>
    <n v="3"/>
    <n v="96.7"/>
    <n v="0.15"/>
    <n v="246.59"/>
    <m/>
    <x v="2"/>
    <x v="2"/>
    <n v="246.58500000000001"/>
    <s v="OK"/>
  </r>
  <r>
    <s v="ORD-2421"/>
    <x v="42"/>
    <x v="4"/>
    <s v="M. Ansah"/>
    <x v="59"/>
    <x v="3"/>
    <s v="Shea Butter Lotion"/>
    <n v="8"/>
    <n v="117.89"/>
    <n v="0.15"/>
    <n v="801.65"/>
    <m/>
    <x v="6"/>
    <x v="6"/>
    <n v="801.65199999999993"/>
    <s v="OK"/>
  </r>
  <r>
    <s v="ORD-1895"/>
    <x v="100"/>
    <x v="3"/>
    <s v="P. Amoah"/>
    <x v="148"/>
    <x v="1"/>
    <s v="Storage Containers"/>
    <n v="4"/>
    <n v="153.77000000000001"/>
    <n v="0"/>
    <n v="615.08000000000004"/>
    <m/>
    <x v="9"/>
    <x v="9"/>
    <n v="615.08000000000004"/>
    <s v="OK"/>
  </r>
  <r>
    <s v="ORD-2367"/>
    <x v="255"/>
    <x v="3"/>
    <s v="R. Ofori"/>
    <x v="24"/>
    <x v="1"/>
    <s v="Electric Kettle"/>
    <n v="10"/>
    <n v="132.29"/>
    <n v="0"/>
    <n v="1322.9"/>
    <m/>
    <x v="0"/>
    <x v="0"/>
    <n v="1322.8999999999999"/>
    <s v="OK"/>
  </r>
  <r>
    <s v="ORD-1348"/>
    <x v="117"/>
    <x v="4"/>
    <s v="P. Amoah"/>
    <x v="166"/>
    <x v="4"/>
    <s v="Smartphone Case"/>
    <n v="2"/>
    <n v="107.61"/>
    <n v="0.1"/>
    <n v="193.7"/>
    <m/>
    <x v="1"/>
    <x v="1"/>
    <n v="193.69800000000001"/>
    <s v="OK"/>
  </r>
  <r>
    <s v="ORD-1603"/>
    <x v="136"/>
    <x v="4"/>
    <s v="M. Ansah"/>
    <x v="2"/>
    <x v="3"/>
    <s v="Face Wash"/>
    <n v="6"/>
    <n v="33.64"/>
    <n v="0.1"/>
    <n v="181.66"/>
    <m/>
    <x v="11"/>
    <x v="11"/>
    <n v="181.65600000000001"/>
    <s v="OK"/>
  </r>
  <r>
    <s v="ORD-1403"/>
    <x v="145"/>
    <x v="3"/>
    <s v="P. Amoah"/>
    <x v="99"/>
    <x v="2"/>
    <s v="Cooking Oil 1L"/>
    <n v="3"/>
    <n v="56.82"/>
    <n v="0"/>
    <n v="170.46"/>
    <m/>
    <x v="8"/>
    <x v="8"/>
    <n v="170.46"/>
    <s v="OK"/>
  </r>
  <r>
    <s v="ORD-2309"/>
    <x v="256"/>
    <x v="1"/>
    <s v="P. Amoah"/>
    <x v="81"/>
    <x v="0"/>
    <s v="Leather Wallet"/>
    <n v="10"/>
    <n v="157.36000000000001"/>
    <n v="0.05"/>
    <n v="1494.92"/>
    <m/>
    <x v="3"/>
    <x v="3"/>
    <n v="1494.92"/>
    <s v="OK"/>
  </r>
  <r>
    <s v="ORD-1362"/>
    <x v="257"/>
    <x v="2"/>
    <s v="M. Ansah"/>
    <x v="8"/>
    <x v="2"/>
    <s v="Sugar 1kg"/>
    <n v="10"/>
    <n v="142.24"/>
    <n v="0.1"/>
    <n v="1280.1600000000001"/>
    <m/>
    <x v="10"/>
    <x v="10"/>
    <n v="1280.1600000000001"/>
    <s v="OK"/>
  </r>
  <r>
    <s v="ORD-2273"/>
    <x v="258"/>
    <x v="3"/>
    <s v="Unassigned"/>
    <x v="11"/>
    <x v="3"/>
    <s v="Shea Butter Lotion"/>
    <n v="11"/>
    <n v="190.45"/>
    <n v="0"/>
    <n v="2094.9499999999998"/>
    <m/>
    <x v="3"/>
    <x v="3"/>
    <n v="2094.9499999999998"/>
    <s v="OK"/>
  </r>
  <r>
    <s v="ORD-2170"/>
    <x v="163"/>
    <x v="4"/>
    <s v="P. Amoah"/>
    <x v="40"/>
    <x v="4"/>
    <s v="Wireless Earbuds"/>
    <n v="7"/>
    <n v="22.24"/>
    <n v="0"/>
    <n v="155.68"/>
    <m/>
    <x v="10"/>
    <x v="10"/>
    <n v="155.67999999999998"/>
    <s v="OK"/>
  </r>
  <r>
    <s v="ORD-1701"/>
    <x v="128"/>
    <x v="4"/>
    <s v="R. Ofori"/>
    <x v="135"/>
    <x v="1"/>
    <s v="Blender"/>
    <n v="5"/>
    <n v="140.55000000000001"/>
    <n v="0.15"/>
    <n v="597.34"/>
    <m/>
    <x v="5"/>
    <x v="5"/>
    <n v="597.33749999999998"/>
    <s v="OK"/>
  </r>
  <r>
    <s v="ORD-2653"/>
    <x v="53"/>
    <x v="3"/>
    <s v="P. Amoah"/>
    <x v="106"/>
    <x v="2"/>
    <s v="Rice 5kg"/>
    <n v="11"/>
    <n v="53.75"/>
    <n v="0"/>
    <n v="591.25"/>
    <m/>
    <x v="6"/>
    <x v="6"/>
    <n v="591.25"/>
    <s v="OK"/>
  </r>
  <r>
    <s v="ORD-2616"/>
    <x v="55"/>
    <x v="4"/>
    <s v="M. Ansah"/>
    <x v="113"/>
    <x v="1"/>
    <s v="Table Lamp"/>
    <n v="11"/>
    <n v="130.18"/>
    <n v="0.15"/>
    <n v="1217.18"/>
    <m/>
    <x v="8"/>
    <x v="8"/>
    <n v="1217.183"/>
    <s v="OK"/>
  </r>
  <r>
    <s v="ORD-1177"/>
    <x v="194"/>
    <x v="1"/>
    <s v="S. Addo"/>
    <x v="149"/>
    <x v="3"/>
    <s v="Face Wash"/>
    <n v="10"/>
    <n v="245.08"/>
    <n v="0"/>
    <n v="2450.8000000000002"/>
    <m/>
    <x v="2"/>
    <x v="2"/>
    <n v="2450.8000000000002"/>
    <s v="OK"/>
  </r>
  <r>
    <s v="ORD-1441"/>
    <x v="16"/>
    <x v="3"/>
    <s v="S. Addo"/>
    <x v="179"/>
    <x v="3"/>
    <s v="Hair Oil"/>
    <n v="3"/>
    <n v="106.43"/>
    <n v="0"/>
    <n v="319.29000000000002"/>
    <m/>
    <x v="5"/>
    <x v="5"/>
    <n v="319.29000000000002"/>
    <s v="OK"/>
  </r>
  <r>
    <s v="ORD-2758"/>
    <x v="119"/>
    <x v="0"/>
    <s v="S. Addo"/>
    <x v="47"/>
    <x v="3"/>
    <s v="Face Wash"/>
    <n v="8"/>
    <n v="74.22"/>
    <n v="0"/>
    <n v="593.76"/>
    <m/>
    <x v="6"/>
    <x v="6"/>
    <n v="593.76"/>
    <s v="OK"/>
  </r>
  <r>
    <s v="ORD-1717"/>
    <x v="225"/>
    <x v="3"/>
    <s v="M. Ansah"/>
    <x v="18"/>
    <x v="1"/>
    <s v="Table Lamp"/>
    <n v="11"/>
    <n v="132.72999999999999"/>
    <n v="0"/>
    <n v="1460.03"/>
    <m/>
    <x v="0"/>
    <x v="0"/>
    <n v="1460.03"/>
    <s v="OK"/>
  </r>
  <r>
    <s v="ORD-1985"/>
    <x v="259"/>
    <x v="4"/>
    <s v="P. Amoah"/>
    <x v="90"/>
    <x v="4"/>
    <s v="Smartphone Case"/>
    <n v="5"/>
    <n v="191.32"/>
    <n v="0.15"/>
    <n v="813.11"/>
    <m/>
    <x v="3"/>
    <x v="3"/>
    <n v="813.1099999999999"/>
    <s v="OK"/>
  </r>
  <r>
    <s v="ORD-2588"/>
    <x v="260"/>
    <x v="0"/>
    <s v="P. Amoah"/>
    <x v="42"/>
    <x v="1"/>
    <s v="Electric Kettle"/>
    <n v="1"/>
    <n v="248.58"/>
    <n v="0.15"/>
    <n v="211.29"/>
    <m/>
    <x v="7"/>
    <x v="7"/>
    <n v="211.29300000000001"/>
    <s v="OK"/>
  </r>
  <r>
    <s v="ORD-1871"/>
    <x v="259"/>
    <x v="3"/>
    <s v="R. Ofori"/>
    <x v="69"/>
    <x v="2"/>
    <s v="Pasta Pack"/>
    <n v="10"/>
    <n v="104.34"/>
    <n v="0"/>
    <n v="1043.4000000000001"/>
    <m/>
    <x v="3"/>
    <x v="3"/>
    <n v="1043.4000000000001"/>
    <s v="OK"/>
  </r>
  <r>
    <s v="ORD-2269"/>
    <x v="243"/>
    <x v="1"/>
    <s v="M. Ansah"/>
    <x v="163"/>
    <x v="0"/>
    <s v="Sunglasses"/>
    <n v="8"/>
    <n v="204.52"/>
    <n v="0"/>
    <n v="1636.16"/>
    <m/>
    <x v="3"/>
    <x v="3"/>
    <n v="1636.16"/>
    <s v="OK"/>
  </r>
  <r>
    <s v="ORD-2446"/>
    <x v="261"/>
    <x v="1"/>
    <s v="S. Addo"/>
    <x v="92"/>
    <x v="3"/>
    <s v="Lip Balm Set"/>
    <n v="5"/>
    <n v="118.27"/>
    <n v="0"/>
    <n v="591.35"/>
    <m/>
    <x v="11"/>
    <x v="11"/>
    <n v="591.35"/>
    <s v="OK"/>
  </r>
  <r>
    <s v="ORD-2704"/>
    <x v="58"/>
    <x v="4"/>
    <s v="S. Addo"/>
    <x v="160"/>
    <x v="4"/>
    <s v="Laptop Stand"/>
    <n v="8"/>
    <n v="74.88"/>
    <n v="0"/>
    <n v="599.04"/>
    <m/>
    <x v="8"/>
    <x v="8"/>
    <n v="599.04"/>
    <s v="OK"/>
  </r>
  <r>
    <s v="ORD-1414"/>
    <x v="22"/>
    <x v="0"/>
    <s v="S. Addo"/>
    <x v="94"/>
    <x v="0"/>
    <s v="Sunglasses"/>
    <n v="7"/>
    <n v="247.99"/>
    <n v="0"/>
    <n v="1735.93"/>
    <m/>
    <x v="8"/>
    <x v="8"/>
    <n v="1735.93"/>
    <s v="OK"/>
  </r>
  <r>
    <s v="ORD-1046"/>
    <x v="141"/>
    <x v="2"/>
    <s v="S. Addo"/>
    <x v="7"/>
    <x v="1"/>
    <s v="Non-stick Pan"/>
    <n v="9"/>
    <n v="87.28"/>
    <n v="0"/>
    <n v="785.52"/>
    <m/>
    <x v="7"/>
    <x v="7"/>
    <n v="785.52"/>
    <s v="OK"/>
  </r>
  <r>
    <s v="ORD-2612"/>
    <x v="262"/>
    <x v="3"/>
    <s v="M. Ansah"/>
    <x v="122"/>
    <x v="1"/>
    <s v="Table Lamp"/>
    <n v="3"/>
    <n v="54.04"/>
    <n v="0.15"/>
    <n v="137.80000000000001"/>
    <m/>
    <x v="0"/>
    <x v="0"/>
    <n v="137.80199999999999"/>
    <s v="OK"/>
  </r>
  <r>
    <s v="ORD-2444"/>
    <x v="263"/>
    <x v="1"/>
    <s v="P. Amoah"/>
    <x v="17"/>
    <x v="1"/>
    <s v="Non-stick Pan"/>
    <n v="5"/>
    <n v="45.48"/>
    <n v="0"/>
    <n v="227.4"/>
    <m/>
    <x v="0"/>
    <x v="0"/>
    <n v="227.39999999999998"/>
    <s v="OK"/>
  </r>
  <r>
    <s v="ORD-1193"/>
    <x v="264"/>
    <x v="1"/>
    <s v="S. Addo"/>
    <x v="110"/>
    <x v="1"/>
    <s v="Storage Containers"/>
    <n v="6"/>
    <n v="69.08"/>
    <n v="0.15"/>
    <n v="352.31"/>
    <m/>
    <x v="5"/>
    <x v="5"/>
    <n v="352.30799999999999"/>
    <s v="OK"/>
  </r>
  <r>
    <s v="ORD-1392"/>
    <x v="265"/>
    <x v="2"/>
    <s v="J. Tetteh"/>
    <x v="156"/>
    <x v="1"/>
    <s v="Blender"/>
    <n v="6"/>
    <n v="124.04"/>
    <n v="0.1"/>
    <n v="669.82"/>
    <m/>
    <x v="7"/>
    <x v="7"/>
    <n v="669.81600000000003"/>
    <s v="OK"/>
  </r>
  <r>
    <s v="ORD-2363"/>
    <x v="162"/>
    <x v="3"/>
    <s v="R. Ofori"/>
    <x v="67"/>
    <x v="0"/>
    <s v="Cotton T-Shirt"/>
    <n v="6"/>
    <n v="96.45"/>
    <n v="0.15"/>
    <n v="491.9"/>
    <m/>
    <x v="10"/>
    <x v="10"/>
    <n v="491.89500000000004"/>
    <s v="OK"/>
  </r>
  <r>
    <s v="ORD-2321"/>
    <x v="266"/>
    <x v="1"/>
    <s v="P. Amoah"/>
    <x v="180"/>
    <x v="3"/>
    <s v="Face Wash"/>
    <n v="5"/>
    <n v="58.47"/>
    <n v="0"/>
    <n v="292.35000000000002"/>
    <m/>
    <x v="8"/>
    <x v="8"/>
    <n v="292.35000000000002"/>
    <s v="OK"/>
  </r>
  <r>
    <s v="ORD-2631"/>
    <x v="142"/>
    <x v="0"/>
    <s v="P. Amoah"/>
    <x v="181"/>
    <x v="4"/>
    <s v="Power Bank"/>
    <n v="11"/>
    <n v="25.25"/>
    <n v="0.1"/>
    <n v="249.97"/>
    <m/>
    <x v="9"/>
    <x v="9"/>
    <n v="249.97499999999999"/>
    <s v="MISMATCH"/>
  </r>
  <r>
    <s v="ORD-1445"/>
    <x v="79"/>
    <x v="1"/>
    <s v="M. Ansah"/>
    <x v="15"/>
    <x v="3"/>
    <s v="Face Wash"/>
    <n v="8"/>
    <n v="149.75"/>
    <n v="0.15"/>
    <n v="1018.3"/>
    <m/>
    <x v="4"/>
    <x v="4"/>
    <n v="1018.3"/>
    <s v="OK"/>
  </r>
  <r>
    <s v="ORD-1026"/>
    <x v="50"/>
    <x v="1"/>
    <s v="J. Tetteh"/>
    <x v="19"/>
    <x v="4"/>
    <s v="USB-C Cable"/>
    <n v="3"/>
    <n v="128.94"/>
    <n v="0"/>
    <n v="386.82"/>
    <m/>
    <x v="9"/>
    <x v="9"/>
    <n v="386.82"/>
    <s v="OK"/>
  </r>
  <r>
    <s v="ORD-1867"/>
    <x v="146"/>
    <x v="1"/>
    <s v="J. Tetteh"/>
    <x v="44"/>
    <x v="2"/>
    <s v="Pasta Pack"/>
    <n v="3"/>
    <n v="166.1"/>
    <n v="0.05"/>
    <n v="473.38"/>
    <m/>
    <x v="4"/>
    <x v="4"/>
    <n v="473.38499999999993"/>
    <s v="MISMATCH"/>
  </r>
  <r>
    <s v="ORD-2246"/>
    <x v="50"/>
    <x v="3"/>
    <s v="S. Addo"/>
    <x v="6"/>
    <x v="0"/>
    <s v="Sneakers"/>
    <n v="4"/>
    <n v="91.33"/>
    <n v="0"/>
    <n v="365.32"/>
    <m/>
    <x v="9"/>
    <x v="9"/>
    <n v="365.32"/>
    <s v="OK"/>
  </r>
  <r>
    <s v="ORD-1451"/>
    <x v="267"/>
    <x v="2"/>
    <s v="R. Ofori"/>
    <x v="47"/>
    <x v="4"/>
    <s v="Laptop Stand"/>
    <n v="1"/>
    <n v="51.01"/>
    <n v="0"/>
    <n v="51.01"/>
    <m/>
    <x v="1"/>
    <x v="1"/>
    <n v="51.01"/>
    <s v="OK"/>
  </r>
  <r>
    <s v="ORD-2212"/>
    <x v="268"/>
    <x v="0"/>
    <s v="J. Tetteh"/>
    <x v="138"/>
    <x v="1"/>
    <s v="Table Lamp"/>
    <n v="8"/>
    <n v="34.49"/>
    <n v="0.15"/>
    <n v="234.53"/>
    <m/>
    <x v="11"/>
    <x v="11"/>
    <n v="234.53200000000001"/>
    <s v="OK"/>
  </r>
  <r>
    <s v="ORD-1464"/>
    <x v="269"/>
    <x v="2"/>
    <s v="P. Amoah"/>
    <x v="153"/>
    <x v="3"/>
    <s v="Hair Oil"/>
    <n v="6"/>
    <n v="105.4"/>
    <n v="0"/>
    <n v="632.4"/>
    <m/>
    <x v="1"/>
    <x v="1"/>
    <n v="632.40000000000009"/>
    <s v="OK"/>
  </r>
  <r>
    <s v="ORD-2494"/>
    <x v="270"/>
    <x v="1"/>
    <s v="J. Tetteh"/>
    <x v="173"/>
    <x v="3"/>
    <s v="Hair Oil"/>
    <n v="12"/>
    <n v="50.91"/>
    <n v="0"/>
    <n v="610.91999999999996"/>
    <m/>
    <x v="11"/>
    <x v="11"/>
    <n v="610.91999999999996"/>
    <s v="OK"/>
  </r>
  <r>
    <s v="ORD-2769"/>
    <x v="63"/>
    <x v="0"/>
    <s v="M. Ansah"/>
    <x v="5"/>
    <x v="3"/>
    <s v="Shea Butter Lotion"/>
    <n v="2"/>
    <n v="80.39"/>
    <n v="0"/>
    <n v="160.78"/>
    <m/>
    <x v="7"/>
    <x v="7"/>
    <n v="160.78"/>
    <s v="OK"/>
  </r>
  <r>
    <s v="ORD-2522"/>
    <x v="241"/>
    <x v="2"/>
    <s v="S. Addo"/>
    <x v="47"/>
    <x v="3"/>
    <s v="Lip Balm Set"/>
    <n v="1"/>
    <n v="35.81"/>
    <n v="0"/>
    <n v="35.81"/>
    <m/>
    <x v="3"/>
    <x v="3"/>
    <n v="35.81"/>
    <s v="OK"/>
  </r>
  <r>
    <s v="ORD-1458"/>
    <x v="252"/>
    <x v="1"/>
    <s v="S. Addo"/>
    <x v="171"/>
    <x v="3"/>
    <s v="Hair Oil"/>
    <n v="2"/>
    <n v="43.64"/>
    <n v="0.15"/>
    <n v="74.19"/>
    <m/>
    <x v="0"/>
    <x v="0"/>
    <n v="74.188000000000002"/>
    <s v="OK"/>
  </r>
  <r>
    <s v="ORD-2260"/>
    <x v="137"/>
    <x v="0"/>
    <s v="R. Ofori"/>
    <x v="52"/>
    <x v="4"/>
    <s v="Laptop Stand"/>
    <n v="4"/>
    <n v="246.62"/>
    <n v="0.15"/>
    <n v="838.51"/>
    <m/>
    <x v="4"/>
    <x v="4"/>
    <n v="838.50800000000004"/>
    <s v="OK"/>
  </r>
  <r>
    <s v="ORD-2326"/>
    <x v="81"/>
    <x v="2"/>
    <s v="J. Tetteh"/>
    <x v="46"/>
    <x v="1"/>
    <s v="Electric Kettle"/>
    <n v="11"/>
    <n v="98.46"/>
    <n v="0"/>
    <n v="1083.06"/>
    <m/>
    <x v="11"/>
    <x v="11"/>
    <n v="1083.06"/>
    <s v="OK"/>
  </r>
  <r>
    <s v="ORD-2441"/>
    <x v="125"/>
    <x v="2"/>
    <s v="P. Amoah"/>
    <x v="35"/>
    <x v="1"/>
    <s v="Storage Containers"/>
    <n v="4"/>
    <n v="110.38"/>
    <n v="0"/>
    <n v="441.52"/>
    <m/>
    <x v="7"/>
    <x v="7"/>
    <n v="441.52"/>
    <s v="OK"/>
  </r>
  <r>
    <s v="ORD-2652"/>
    <x v="80"/>
    <x v="4"/>
    <s v="M. Ansah"/>
    <x v="70"/>
    <x v="4"/>
    <s v="Wireless Earbuds"/>
    <n v="12"/>
    <n v="114.47"/>
    <n v="0.05"/>
    <n v="1304.96"/>
    <m/>
    <x v="2"/>
    <x v="2"/>
    <n v="1304.9579999999999"/>
    <s v="OK"/>
  </r>
  <r>
    <s v="ORD-1369"/>
    <x v="33"/>
    <x v="4"/>
    <s v="M. Ansah"/>
    <x v="71"/>
    <x v="3"/>
    <s v="Face Wash"/>
    <n v="11"/>
    <n v="173.22"/>
    <n v="0"/>
    <n v="1905.42"/>
    <m/>
    <x v="7"/>
    <x v="7"/>
    <n v="1905.42"/>
    <s v="OK"/>
  </r>
  <r>
    <s v="ORD-2492"/>
    <x v="271"/>
    <x v="3"/>
    <s v="R. Ofori"/>
    <x v="168"/>
    <x v="4"/>
    <s v="Smartphone Case"/>
    <n v="2"/>
    <n v="143.94999999999999"/>
    <n v="0"/>
    <n v="287.89999999999998"/>
    <m/>
    <x v="6"/>
    <x v="6"/>
    <n v="287.89999999999998"/>
    <s v="OK"/>
  </r>
  <r>
    <s v="ORD-2225"/>
    <x v="74"/>
    <x v="4"/>
    <s v="Unassigned"/>
    <x v="141"/>
    <x v="4"/>
    <s v="Laptop Stand"/>
    <n v="1"/>
    <n v="40.020000000000003"/>
    <n v="0"/>
    <n v="40.020000000000003"/>
    <m/>
    <x v="7"/>
    <x v="7"/>
    <n v="40.020000000000003"/>
    <s v="OK"/>
  </r>
  <r>
    <s v="ORD-1307"/>
    <x v="272"/>
    <x v="3"/>
    <s v="M. Ansah"/>
    <x v="53"/>
    <x v="2"/>
    <s v="Cooking Oil 1L"/>
    <n v="2"/>
    <n v="46.13"/>
    <n v="0.15"/>
    <n v="78.42"/>
    <m/>
    <x v="2"/>
    <x v="2"/>
    <n v="78.421000000000006"/>
    <s v="OK"/>
  </r>
  <r>
    <s v="ORD-1285"/>
    <x v="250"/>
    <x v="0"/>
    <s v="R. Ofori"/>
    <x v="172"/>
    <x v="0"/>
    <s v="Cotton T-Shirt"/>
    <n v="4"/>
    <n v="55.27"/>
    <n v="0.05"/>
    <n v="210.03"/>
    <m/>
    <x v="2"/>
    <x v="2"/>
    <n v="210.02600000000001"/>
    <s v="OK"/>
  </r>
  <r>
    <s v="ORD-2098"/>
    <x v="145"/>
    <x v="3"/>
    <s v="J. Tetteh"/>
    <x v="25"/>
    <x v="2"/>
    <s v="Sugar 1kg"/>
    <n v="11"/>
    <n v="86.45"/>
    <n v="0"/>
    <n v="950.95"/>
    <m/>
    <x v="8"/>
    <x v="8"/>
    <n v="950.95"/>
    <s v="OK"/>
  </r>
  <r>
    <s v="ORD-1330"/>
    <x v="180"/>
    <x v="0"/>
    <s v="S. Addo"/>
    <x v="84"/>
    <x v="1"/>
    <s v="Electric Kettle"/>
    <n v="11"/>
    <n v="130.75"/>
    <n v="0"/>
    <n v="1438.25"/>
    <m/>
    <x v="8"/>
    <x v="8"/>
    <n v="1438.25"/>
    <s v="OK"/>
  </r>
  <r>
    <s v="ORD-2319"/>
    <x v="95"/>
    <x v="2"/>
    <s v="J. Tetteh"/>
    <x v="156"/>
    <x v="1"/>
    <s v="Storage Containers"/>
    <n v="2"/>
    <n v="129.36000000000001"/>
    <n v="0"/>
    <n v="258.72000000000003"/>
    <m/>
    <x v="10"/>
    <x v="10"/>
    <n v="258.72000000000003"/>
    <s v="OK"/>
  </r>
  <r>
    <s v="ORD-1571"/>
    <x v="41"/>
    <x v="4"/>
    <s v="J. Tetteh"/>
    <x v="40"/>
    <x v="4"/>
    <s v="Smartphone Case"/>
    <n v="9"/>
    <n v="235.32"/>
    <n v="0"/>
    <n v="2117.88"/>
    <m/>
    <x v="7"/>
    <x v="7"/>
    <n v="2117.88"/>
    <s v="OK"/>
  </r>
  <r>
    <s v="ORD-2067"/>
    <x v="273"/>
    <x v="0"/>
    <s v="M. Ansah"/>
    <x v="136"/>
    <x v="1"/>
    <s v="Electric Kettle"/>
    <n v="9"/>
    <n v="69.53"/>
    <n v="0.15"/>
    <n v="531.9"/>
    <m/>
    <x v="11"/>
    <x v="11"/>
    <n v="531.90449999999998"/>
    <s v="OK"/>
  </r>
  <r>
    <s v="ORD-1790"/>
    <x v="274"/>
    <x v="2"/>
    <s v="M. Ansah"/>
    <x v="131"/>
    <x v="4"/>
    <s v="USB-C Cable"/>
    <n v="11"/>
    <n v="205.38"/>
    <n v="0.05"/>
    <n v="2146.2199999999998"/>
    <m/>
    <x v="2"/>
    <x v="2"/>
    <n v="2146.2209999999995"/>
    <s v="OK"/>
  </r>
  <r>
    <s v="ORD-1565"/>
    <x v="57"/>
    <x v="0"/>
    <s v="R. Ofori"/>
    <x v="48"/>
    <x v="4"/>
    <s v="Wireless Earbuds"/>
    <n v="11"/>
    <n v="41.47"/>
    <n v="0"/>
    <n v="456.17"/>
    <m/>
    <x v="6"/>
    <x v="6"/>
    <n v="456.16999999999996"/>
    <s v="OK"/>
  </r>
  <r>
    <s v="ORD-1997"/>
    <x v="166"/>
    <x v="1"/>
    <s v="M. Ansah"/>
    <x v="48"/>
    <x v="4"/>
    <s v="Wireless Earbuds"/>
    <n v="2"/>
    <n v="189.97"/>
    <n v="0"/>
    <n v="379.94"/>
    <m/>
    <x v="3"/>
    <x v="3"/>
    <n v="379.94"/>
    <s v="OK"/>
  </r>
  <r>
    <s v="ORD-1252"/>
    <x v="251"/>
    <x v="4"/>
    <s v="P. Amoah"/>
    <x v="127"/>
    <x v="2"/>
    <s v="Cooking Oil 1L"/>
    <n v="8"/>
    <n v="105.24"/>
    <n v="0.05"/>
    <n v="799.82"/>
    <m/>
    <x v="3"/>
    <x v="3"/>
    <n v="799.82399999999996"/>
    <s v="OK"/>
  </r>
  <r>
    <s v="ORD-2106"/>
    <x v="144"/>
    <x v="1"/>
    <s v="M. Ansah"/>
    <x v="31"/>
    <x v="2"/>
    <s v="Canned Tomatoes"/>
    <n v="7"/>
    <n v="7.41"/>
    <n v="0"/>
    <n v="51.87"/>
    <m/>
    <x v="11"/>
    <x v="11"/>
    <n v="51.870000000000005"/>
    <s v="OK"/>
  </r>
  <r>
    <s v="ORD-2149"/>
    <x v="275"/>
    <x v="1"/>
    <s v="R. Ofori"/>
    <x v="83"/>
    <x v="0"/>
    <s v="Leather Wallet"/>
    <n v="10"/>
    <n v="160.82"/>
    <n v="0"/>
    <n v="1608.2"/>
    <m/>
    <x v="2"/>
    <x v="2"/>
    <n v="1608.1999999999998"/>
    <s v="OK"/>
  </r>
  <r>
    <s v="ORD-1109"/>
    <x v="276"/>
    <x v="0"/>
    <s v="J. Tetteh"/>
    <x v="166"/>
    <x v="3"/>
    <s v="Lip Balm Set"/>
    <n v="4"/>
    <n v="110.37"/>
    <n v="0.05"/>
    <n v="419.41"/>
    <m/>
    <x v="6"/>
    <x v="6"/>
    <n v="419.40600000000001"/>
    <s v="OK"/>
  </r>
  <r>
    <s v="ORD-2702"/>
    <x v="104"/>
    <x v="1"/>
    <s v="R. Ofori"/>
    <x v="182"/>
    <x v="1"/>
    <s v="Storage Containers"/>
    <n v="6"/>
    <n v="118"/>
    <n v="0.15"/>
    <n v="601.79999999999995"/>
    <m/>
    <x v="3"/>
    <x v="3"/>
    <n v="601.79999999999995"/>
    <s v="OK"/>
  </r>
  <r>
    <s v="ORD-1514"/>
    <x v="149"/>
    <x v="0"/>
    <s v="P. Amoah"/>
    <x v="142"/>
    <x v="3"/>
    <s v="Face Wash"/>
    <n v="10"/>
    <n v="232.14"/>
    <n v="0.1"/>
    <n v="2089.2600000000002"/>
    <m/>
    <x v="8"/>
    <x v="8"/>
    <n v="2089.2599999999998"/>
    <s v="OK"/>
  </r>
  <r>
    <s v="ORD-2027"/>
    <x v="79"/>
    <x v="4"/>
    <s v="J. Tetteh"/>
    <x v="16"/>
    <x v="3"/>
    <s v="Shea Butter Lotion"/>
    <n v="11"/>
    <n v="97.52"/>
    <n v="0.1"/>
    <n v="965.45"/>
    <m/>
    <x v="4"/>
    <x v="4"/>
    <n v="965.44800000000009"/>
    <s v="OK"/>
  </r>
  <r>
    <s v="ORD-1544"/>
    <x v="184"/>
    <x v="1"/>
    <s v="M. Ansah"/>
    <x v="36"/>
    <x v="2"/>
    <s v="Canned Tomatoes"/>
    <n v="12"/>
    <n v="215.74"/>
    <n v="0.1"/>
    <n v="2329.9899999999998"/>
    <m/>
    <x v="8"/>
    <x v="8"/>
    <n v="2329.9920000000002"/>
    <s v="OK"/>
  </r>
  <r>
    <s v="ORD-1779"/>
    <x v="65"/>
    <x v="4"/>
    <s v="P. Amoah"/>
    <x v="132"/>
    <x v="0"/>
    <s v="Cotton T-Shirt"/>
    <n v="4"/>
    <n v="197.54"/>
    <n v="0"/>
    <n v="790.16"/>
    <m/>
    <x v="5"/>
    <x v="5"/>
    <n v="790.16"/>
    <s v="OK"/>
  </r>
  <r>
    <s v="ORD-1207"/>
    <x v="145"/>
    <x v="0"/>
    <s v="S. Addo"/>
    <x v="149"/>
    <x v="2"/>
    <s v="Pasta Pack"/>
    <n v="6"/>
    <n v="197.52"/>
    <n v="0.15"/>
    <n v="1007.35"/>
    <m/>
    <x v="8"/>
    <x v="8"/>
    <n v="1007.3520000000001"/>
    <s v="OK"/>
  </r>
  <r>
    <s v="ORD-1151"/>
    <x v="159"/>
    <x v="0"/>
    <s v="S. Addo"/>
    <x v="1"/>
    <x v="0"/>
    <s v="Denim Jeans"/>
    <n v="12"/>
    <n v="201.28"/>
    <n v="0.05"/>
    <n v="2294.59"/>
    <m/>
    <x v="3"/>
    <x v="3"/>
    <n v="2294.5920000000001"/>
    <s v="OK"/>
  </r>
  <r>
    <s v="ORD-1262"/>
    <x v="78"/>
    <x v="3"/>
    <s v="P. Amoah"/>
    <x v="42"/>
    <x v="0"/>
    <s v="Leather Wallet"/>
    <n v="11"/>
    <n v="198.13"/>
    <n v="0"/>
    <n v="2179.4299999999998"/>
    <m/>
    <x v="11"/>
    <x v="11"/>
    <n v="2179.4299999999998"/>
    <s v="OK"/>
  </r>
  <r>
    <s v="ORD-2192"/>
    <x v="58"/>
    <x v="0"/>
    <s v="R. Ofori"/>
    <x v="42"/>
    <x v="3"/>
    <s v="Shampoo 400ml"/>
    <n v="5"/>
    <n v="196.04"/>
    <n v="0"/>
    <n v="980.2"/>
    <m/>
    <x v="8"/>
    <x v="8"/>
    <n v="980.19999999999993"/>
    <s v="OK"/>
  </r>
  <r>
    <s v="ORD-2786"/>
    <x v="265"/>
    <x v="1"/>
    <s v="S. Addo"/>
    <x v="119"/>
    <x v="0"/>
    <s v="Denim Jeans"/>
    <n v="3"/>
    <n v="225.14"/>
    <n v="0.1"/>
    <n v="607.88"/>
    <m/>
    <x v="7"/>
    <x v="7"/>
    <n v="607.87799999999993"/>
    <s v="OK"/>
  </r>
  <r>
    <s v="ORD-1658"/>
    <x v="148"/>
    <x v="3"/>
    <s v="S. Addo"/>
    <x v="152"/>
    <x v="4"/>
    <s v="Bluetooth Speaker"/>
    <n v="12"/>
    <n v="202.43"/>
    <n v="0"/>
    <n v="2429.16"/>
    <m/>
    <x v="2"/>
    <x v="2"/>
    <n v="2429.16"/>
    <s v="OK"/>
  </r>
  <r>
    <s v="ORD-1525"/>
    <x v="53"/>
    <x v="1"/>
    <s v="J. Tetteh"/>
    <x v="33"/>
    <x v="4"/>
    <s v="USB-C Cable"/>
    <n v="11"/>
    <n v="233.42"/>
    <n v="0.1"/>
    <n v="2310.86"/>
    <m/>
    <x v="6"/>
    <x v="6"/>
    <n v="2310.8580000000002"/>
    <s v="OK"/>
  </r>
  <r>
    <s v="ORD-1097"/>
    <x v="198"/>
    <x v="2"/>
    <s v="R. Ofori"/>
    <x v="124"/>
    <x v="2"/>
    <s v="Sugar 1kg"/>
    <n v="4"/>
    <n v="31.54"/>
    <n v="0.05"/>
    <n v="119.85"/>
    <m/>
    <x v="8"/>
    <x v="8"/>
    <n v="119.85199999999999"/>
    <s v="OK"/>
  </r>
  <r>
    <s v="ORD-1975"/>
    <x v="277"/>
    <x v="4"/>
    <s v="M. Ansah"/>
    <x v="183"/>
    <x v="2"/>
    <s v="Rice 5kg"/>
    <n v="4"/>
    <n v="149.84"/>
    <n v="0.1"/>
    <n v="539.41999999999996"/>
    <m/>
    <x v="8"/>
    <x v="8"/>
    <n v="539.42399999999998"/>
    <s v="OK"/>
  </r>
  <r>
    <s v="ORD-1649"/>
    <x v="278"/>
    <x v="1"/>
    <s v="R. Ofori"/>
    <x v="138"/>
    <x v="0"/>
    <s v="Cotton T-Shirt"/>
    <n v="2"/>
    <n v="90.09"/>
    <n v="0.15"/>
    <n v="153.15"/>
    <m/>
    <x v="2"/>
    <x v="2"/>
    <n v="153.15299999999999"/>
    <s v="OK"/>
  </r>
  <r>
    <s v="ORD-1139"/>
    <x v="135"/>
    <x v="1"/>
    <s v="P. Amoah"/>
    <x v="56"/>
    <x v="2"/>
    <s v="Sugar 1kg"/>
    <n v="3"/>
    <n v="25.55"/>
    <n v="0"/>
    <n v="76.650000000000006"/>
    <m/>
    <x v="11"/>
    <x v="11"/>
    <n v="76.650000000000006"/>
    <s v="OK"/>
  </r>
  <r>
    <s v="ORD-1648"/>
    <x v="149"/>
    <x v="3"/>
    <s v="M. Ansah"/>
    <x v="70"/>
    <x v="4"/>
    <s v="Smartphone Case"/>
    <n v="10"/>
    <n v="180.84"/>
    <n v="0"/>
    <n v="1808.4"/>
    <m/>
    <x v="8"/>
    <x v="8"/>
    <n v="1808.4"/>
    <s v="OK"/>
  </r>
  <r>
    <s v="ORD-2551"/>
    <x v="76"/>
    <x v="1"/>
    <s v="R. Ofori"/>
    <x v="125"/>
    <x v="2"/>
    <s v="Sugar 1kg"/>
    <n v="10"/>
    <n v="192.82"/>
    <n v="0.05"/>
    <n v="1831.79"/>
    <m/>
    <x v="8"/>
    <x v="8"/>
    <n v="1831.7899999999997"/>
    <s v="OK"/>
  </r>
  <r>
    <s v="ORD-2611"/>
    <x v="137"/>
    <x v="0"/>
    <s v="P. Amoah"/>
    <x v="167"/>
    <x v="1"/>
    <s v="Blender"/>
    <n v="5"/>
    <n v="230.21"/>
    <n v="0"/>
    <n v="1151.05"/>
    <m/>
    <x v="4"/>
    <x v="4"/>
    <n v="1151.05"/>
    <s v="OK"/>
  </r>
  <r>
    <s v="ORD-2343"/>
    <x v="15"/>
    <x v="3"/>
    <s v="S. Addo"/>
    <x v="87"/>
    <x v="0"/>
    <s v="Sunglasses"/>
    <n v="1"/>
    <n v="221.4"/>
    <n v="0.15"/>
    <n v="188.19"/>
    <m/>
    <x v="5"/>
    <x v="5"/>
    <n v="188.19"/>
    <s v="OK"/>
  </r>
  <r>
    <s v="ORD-1623"/>
    <x v="150"/>
    <x v="0"/>
    <s v="S. Addo"/>
    <x v="184"/>
    <x v="3"/>
    <s v="Lip Balm Set"/>
    <n v="12"/>
    <n v="59.48"/>
    <n v="0"/>
    <n v="713.76"/>
    <m/>
    <x v="6"/>
    <x v="6"/>
    <n v="713.76"/>
    <s v="OK"/>
  </r>
  <r>
    <s v="ORD-1128"/>
    <x v="182"/>
    <x v="4"/>
    <s v="J. Tetteh"/>
    <x v="185"/>
    <x v="4"/>
    <s v="Wireless Earbuds"/>
    <n v="9"/>
    <n v="155.68"/>
    <n v="0.05"/>
    <n v="1331.06"/>
    <m/>
    <x v="8"/>
    <x v="8"/>
    <n v="1331.0640000000001"/>
    <s v="OK"/>
  </r>
  <r>
    <s v="ORD-2159"/>
    <x v="11"/>
    <x v="4"/>
    <s v="M. Ansah"/>
    <x v="49"/>
    <x v="2"/>
    <s v="Pasta Pack"/>
    <n v="6"/>
    <n v="79.489999999999995"/>
    <n v="0.05"/>
    <n v="453.09"/>
    <m/>
    <x v="3"/>
    <x v="3"/>
    <n v="453.0929999999999"/>
    <s v="OK"/>
  </r>
  <r>
    <s v="ORD-2482"/>
    <x v="279"/>
    <x v="0"/>
    <s v="R. Ofori"/>
    <x v="152"/>
    <x v="0"/>
    <s v="Denim Jeans"/>
    <n v="2"/>
    <n v="5.36"/>
    <n v="0.05"/>
    <n v="10.18"/>
    <m/>
    <x v="1"/>
    <x v="1"/>
    <n v="10.183999999999999"/>
    <s v="OK"/>
  </r>
  <r>
    <s v="ORD-2247"/>
    <x v="82"/>
    <x v="0"/>
    <s v="M. Ansah"/>
    <x v="62"/>
    <x v="0"/>
    <s v="Sneakers"/>
    <n v="6"/>
    <n v="186.47"/>
    <n v="0"/>
    <n v="1118.82"/>
    <m/>
    <x v="5"/>
    <x v="5"/>
    <n v="1118.82"/>
    <s v="OK"/>
  </r>
  <r>
    <s v="ORD-1951"/>
    <x v="252"/>
    <x v="3"/>
    <s v="J. Tetteh"/>
    <x v="147"/>
    <x v="0"/>
    <s v="Sunglasses"/>
    <n v="7"/>
    <n v="155.97999999999999"/>
    <n v="0"/>
    <n v="1091.8599999999999"/>
    <m/>
    <x v="0"/>
    <x v="0"/>
    <n v="1091.8599999999999"/>
    <s v="OK"/>
  </r>
  <r>
    <s v="ORD-1264"/>
    <x v="168"/>
    <x v="4"/>
    <s v="S. Addo"/>
    <x v="102"/>
    <x v="0"/>
    <s v="Denim Jeans"/>
    <n v="11"/>
    <n v="96.1"/>
    <n v="0"/>
    <n v="1057.0999999999999"/>
    <m/>
    <x v="1"/>
    <x v="1"/>
    <n v="1057.0999999999999"/>
    <s v="OK"/>
  </r>
  <r>
    <s v="ORD-2475"/>
    <x v="280"/>
    <x v="2"/>
    <s v="S. Addo"/>
    <x v="186"/>
    <x v="0"/>
    <s v="Cotton T-Shirt"/>
    <n v="4"/>
    <n v="49.74"/>
    <n v="0.1"/>
    <n v="179.06"/>
    <m/>
    <x v="2"/>
    <x v="2"/>
    <n v="179.06400000000002"/>
    <s v="OK"/>
  </r>
  <r>
    <s v="ORD-1758"/>
    <x v="132"/>
    <x v="3"/>
    <s v="R. Ofori"/>
    <x v="112"/>
    <x v="3"/>
    <s v="Shea Butter Lotion"/>
    <n v="10"/>
    <n v="62.11"/>
    <n v="0.15"/>
    <n v="527.94000000000005"/>
    <m/>
    <x v="0"/>
    <x v="0"/>
    <n v="527.93500000000006"/>
    <s v="OK"/>
  </r>
  <r>
    <s v="ORD-2450"/>
    <x v="210"/>
    <x v="0"/>
    <s v="P. Amoah"/>
    <x v="96"/>
    <x v="4"/>
    <s v="Smartphone Case"/>
    <n v="2"/>
    <n v="111.66"/>
    <n v="0.15"/>
    <n v="189.82"/>
    <m/>
    <x v="1"/>
    <x v="1"/>
    <n v="189.822"/>
    <s v="OK"/>
  </r>
  <r>
    <s v="ORD-1498"/>
    <x v="119"/>
    <x v="0"/>
    <s v="M. Ansah"/>
    <x v="51"/>
    <x v="2"/>
    <s v="Cooking Oil 1L"/>
    <n v="1"/>
    <n v="192.31"/>
    <n v="0"/>
    <n v="192.31"/>
    <m/>
    <x v="6"/>
    <x v="6"/>
    <n v="192.31"/>
    <s v="OK"/>
  </r>
  <r>
    <s v="ORD-2251"/>
    <x v="220"/>
    <x v="2"/>
    <s v="P. Amoah"/>
    <x v="187"/>
    <x v="4"/>
    <s v="Bluetooth Speaker"/>
    <n v="3"/>
    <n v="213.79"/>
    <n v="0.15"/>
    <n v="545.16"/>
    <m/>
    <x v="4"/>
    <x v="4"/>
    <n v="545.16449999999998"/>
    <s v="OK"/>
  </r>
  <r>
    <s v="ORD-2515"/>
    <x v="17"/>
    <x v="2"/>
    <s v="P. Amoah"/>
    <x v="183"/>
    <x v="1"/>
    <s v="Storage Containers"/>
    <n v="11"/>
    <n v="19.03"/>
    <n v="0.15"/>
    <n v="177.93"/>
    <m/>
    <x v="8"/>
    <x v="8"/>
    <n v="177.93049999999999"/>
    <s v="OK"/>
  </r>
  <r>
    <s v="ORD-1747"/>
    <x v="271"/>
    <x v="4"/>
    <s v="M. Ansah"/>
    <x v="136"/>
    <x v="0"/>
    <s v="Denim Jeans"/>
    <n v="12"/>
    <n v="171.74"/>
    <n v="0"/>
    <n v="2060.88"/>
    <m/>
    <x v="6"/>
    <x v="6"/>
    <n v="2060.88"/>
    <s v="OK"/>
  </r>
  <r>
    <s v="ORD-1432"/>
    <x v="254"/>
    <x v="1"/>
    <s v="M. Ansah"/>
    <x v="103"/>
    <x v="0"/>
    <s v="Leather Wallet"/>
    <n v="8"/>
    <n v="63.1"/>
    <n v="0.1"/>
    <n v="454.32"/>
    <m/>
    <x v="5"/>
    <x v="5"/>
    <n v="454.32"/>
    <s v="OK"/>
  </r>
  <r>
    <s v="ORD-2644"/>
    <x v="281"/>
    <x v="2"/>
    <s v="J. Tetteh"/>
    <x v="75"/>
    <x v="1"/>
    <s v="Blender"/>
    <n v="10"/>
    <n v="35.549999999999997"/>
    <n v="0"/>
    <n v="355.5"/>
    <m/>
    <x v="1"/>
    <x v="1"/>
    <n v="355.5"/>
    <s v="OK"/>
  </r>
  <r>
    <s v="ORD-2570"/>
    <x v="63"/>
    <x v="4"/>
    <s v="J. Tetteh"/>
    <x v="10"/>
    <x v="3"/>
    <s v="Shampoo 400ml"/>
    <n v="9"/>
    <n v="63.3"/>
    <n v="0.15"/>
    <n v="484.24"/>
    <m/>
    <x v="7"/>
    <x v="7"/>
    <n v="484.24499999999995"/>
    <s v="MISMATCH"/>
  </r>
  <r>
    <s v="ORD-1068"/>
    <x v="25"/>
    <x v="3"/>
    <s v="R. Ofori"/>
    <x v="156"/>
    <x v="2"/>
    <s v="Canned Tomatoes"/>
    <n v="12"/>
    <n v="154.36000000000001"/>
    <n v="0"/>
    <n v="1852.32"/>
    <m/>
    <x v="2"/>
    <x v="2"/>
    <n v="1852.3200000000002"/>
    <s v="OK"/>
  </r>
  <r>
    <s v="ORD-1672"/>
    <x v="35"/>
    <x v="0"/>
    <s v="M. Ansah"/>
    <x v="82"/>
    <x v="1"/>
    <s v="Table Lamp"/>
    <n v="3"/>
    <n v="105.09"/>
    <n v="0"/>
    <n v="315.27"/>
    <m/>
    <x v="0"/>
    <x v="0"/>
    <n v="315.27"/>
    <s v="OK"/>
  </r>
  <r>
    <s v="ORD-2313"/>
    <x v="282"/>
    <x v="3"/>
    <s v="S. Addo"/>
    <x v="60"/>
    <x v="4"/>
    <s v="Laptop Stand"/>
    <n v="6"/>
    <n v="104.76"/>
    <n v="0"/>
    <n v="628.55999999999995"/>
    <m/>
    <x v="9"/>
    <x v="9"/>
    <n v="628.56000000000006"/>
    <s v="OK"/>
  </r>
  <r>
    <s v="ORD-1338"/>
    <x v="238"/>
    <x v="0"/>
    <s v="S. Addo"/>
    <x v="96"/>
    <x v="0"/>
    <s v="Sneakers"/>
    <n v="2"/>
    <n v="118.62"/>
    <n v="0.05"/>
    <n v="225.38"/>
    <m/>
    <x v="5"/>
    <x v="5"/>
    <n v="225.37799999999999"/>
    <s v="OK"/>
  </r>
  <r>
    <s v="ORD-2567"/>
    <x v="94"/>
    <x v="2"/>
    <s v="P. Amoah"/>
    <x v="188"/>
    <x v="2"/>
    <s v="Canned Tomatoes"/>
    <n v="5"/>
    <n v="193.43"/>
    <n v="0"/>
    <n v="967.15"/>
    <m/>
    <x v="4"/>
    <x v="4"/>
    <n v="967.15000000000009"/>
    <s v="OK"/>
  </r>
  <r>
    <s v="ORD-1383"/>
    <x v="283"/>
    <x v="4"/>
    <s v="M. Ansah"/>
    <x v="166"/>
    <x v="1"/>
    <s v="Electric Kettle"/>
    <n v="2"/>
    <n v="163.41"/>
    <n v="0.15"/>
    <n v="277.8"/>
    <m/>
    <x v="5"/>
    <x v="5"/>
    <n v="277.79699999999997"/>
    <s v="OK"/>
  </r>
  <r>
    <s v="ORD-2428"/>
    <x v="265"/>
    <x v="2"/>
    <s v="S. Addo"/>
    <x v="81"/>
    <x v="4"/>
    <s v="USB-C Cable"/>
    <n v="3"/>
    <n v="230.89"/>
    <n v="0"/>
    <n v="692.67"/>
    <m/>
    <x v="7"/>
    <x v="7"/>
    <n v="692.67"/>
    <s v="OK"/>
  </r>
  <r>
    <s v="ORD-1055"/>
    <x v="19"/>
    <x v="2"/>
    <s v="M. Ansah"/>
    <x v="46"/>
    <x v="0"/>
    <s v="Sunglasses"/>
    <n v="5"/>
    <n v="29.97"/>
    <n v="0.15"/>
    <n v="127.37"/>
    <m/>
    <x v="10"/>
    <x v="10"/>
    <n v="127.37249999999999"/>
    <s v="OK"/>
  </r>
  <r>
    <s v="ORD-1899"/>
    <x v="143"/>
    <x v="4"/>
    <s v="S. Addo"/>
    <x v="103"/>
    <x v="1"/>
    <s v="Storage Containers"/>
    <n v="4"/>
    <n v="206.86"/>
    <n v="0.15"/>
    <n v="703.32"/>
    <m/>
    <x v="6"/>
    <x v="6"/>
    <n v="703.32400000000007"/>
    <s v="OK"/>
  </r>
  <r>
    <s v="ORD-2287"/>
    <x v="196"/>
    <x v="4"/>
    <s v="J. Tetteh"/>
    <x v="73"/>
    <x v="1"/>
    <s v="Non-stick Pan"/>
    <n v="5"/>
    <n v="215.57"/>
    <n v="0"/>
    <n v="1077.8499999999999"/>
    <m/>
    <x v="11"/>
    <x v="11"/>
    <n v="1077.8499999999999"/>
    <s v="OK"/>
  </r>
  <r>
    <s v="ORD-2537"/>
    <x v="284"/>
    <x v="4"/>
    <s v="M. Ansah"/>
    <x v="189"/>
    <x v="0"/>
    <s v="Sneakers"/>
    <n v="7"/>
    <n v="64.87"/>
    <n v="0"/>
    <n v="454.09"/>
    <m/>
    <x v="8"/>
    <x v="8"/>
    <n v="454.09000000000003"/>
    <s v="OK"/>
  </r>
  <r>
    <s v="ORD-1170"/>
    <x v="3"/>
    <x v="0"/>
    <s v="R. Ofori"/>
    <x v="190"/>
    <x v="1"/>
    <s v="Electric Kettle"/>
    <n v="2"/>
    <n v="126.86"/>
    <n v="0.05"/>
    <n v="241.03"/>
    <m/>
    <x v="3"/>
    <x v="3"/>
    <n v="241.03399999999999"/>
    <s v="OK"/>
  </r>
  <r>
    <s v="ORD-1840"/>
    <x v="285"/>
    <x v="0"/>
    <s v="S. Addo"/>
    <x v="84"/>
    <x v="3"/>
    <s v="Hair Oil"/>
    <n v="2"/>
    <n v="26.48"/>
    <n v="0"/>
    <n v="52.96"/>
    <m/>
    <x v="0"/>
    <x v="0"/>
    <n v="52.96"/>
    <s v="OK"/>
  </r>
  <r>
    <s v="ORD-1817"/>
    <x v="286"/>
    <x v="0"/>
    <s v="J. Tetteh"/>
    <x v="46"/>
    <x v="2"/>
    <s v="Rice 5kg"/>
    <n v="3"/>
    <n v="140.44999999999999"/>
    <n v="0"/>
    <n v="421.35"/>
    <m/>
    <x v="0"/>
    <x v="0"/>
    <n v="421.34999999999997"/>
    <s v="OK"/>
  </r>
  <r>
    <s v="ORD-1326"/>
    <x v="278"/>
    <x v="2"/>
    <s v="J. Tetteh"/>
    <x v="161"/>
    <x v="0"/>
    <s v="Cotton T-Shirt"/>
    <n v="9"/>
    <n v="38.229999999999997"/>
    <n v="0.1"/>
    <n v="309.66000000000003"/>
    <m/>
    <x v="2"/>
    <x v="2"/>
    <n v="309.66300000000001"/>
    <s v="OK"/>
  </r>
  <r>
    <s v="ORD-1503"/>
    <x v="287"/>
    <x v="4"/>
    <s v="R. Ofori"/>
    <x v="153"/>
    <x v="1"/>
    <s v="Table Lamp"/>
    <n v="3"/>
    <n v="115.47"/>
    <n v="0.05"/>
    <n v="329.09"/>
    <m/>
    <x v="9"/>
    <x v="9"/>
    <n v="329.08949999999993"/>
    <s v="OK"/>
  </r>
  <r>
    <s v="ORD-2714"/>
    <x v="288"/>
    <x v="2"/>
    <s v="P. Amoah"/>
    <x v="161"/>
    <x v="3"/>
    <s v="Lip Balm Set"/>
    <n v="6"/>
    <n v="248.34"/>
    <n v="0.05"/>
    <n v="1415.54"/>
    <m/>
    <x v="0"/>
    <x v="0"/>
    <n v="1415.538"/>
    <s v="OK"/>
  </r>
  <r>
    <s v="ORD-1409"/>
    <x v="235"/>
    <x v="2"/>
    <s v="M. Ansah"/>
    <x v="148"/>
    <x v="1"/>
    <s v="Table Lamp"/>
    <n v="10"/>
    <n v="48.47"/>
    <n v="0.1"/>
    <n v="436.23"/>
    <m/>
    <x v="8"/>
    <x v="8"/>
    <n v="436.23"/>
    <s v="OK"/>
  </r>
  <r>
    <s v="ORD-1297"/>
    <x v="145"/>
    <x v="3"/>
    <s v="M. Ansah"/>
    <x v="164"/>
    <x v="0"/>
    <s v="Sneakers"/>
    <n v="9"/>
    <n v="159.53"/>
    <n v="0"/>
    <n v="1435.77"/>
    <m/>
    <x v="8"/>
    <x v="8"/>
    <n v="1435.77"/>
    <s v="OK"/>
  </r>
  <r>
    <s v="ORD-1721"/>
    <x v="177"/>
    <x v="2"/>
    <s v="Unassigned"/>
    <x v="19"/>
    <x v="2"/>
    <s v="Rice 5kg"/>
    <n v="3"/>
    <n v="20.239999999999998"/>
    <n v="0.05"/>
    <n v="57.68"/>
    <m/>
    <x v="0"/>
    <x v="0"/>
    <n v="57.683999999999997"/>
    <s v="OK"/>
  </r>
  <r>
    <s v="ORD-2350"/>
    <x v="289"/>
    <x v="3"/>
    <s v="M. Ansah"/>
    <x v="120"/>
    <x v="3"/>
    <s v="Shampoo 400ml"/>
    <n v="12"/>
    <n v="229.22"/>
    <n v="0.1"/>
    <n v="2475.58"/>
    <m/>
    <x v="5"/>
    <x v="5"/>
    <n v="2475.576"/>
    <s v="OK"/>
  </r>
  <r>
    <s v="ORD-2533"/>
    <x v="258"/>
    <x v="4"/>
    <s v="R. Ofori"/>
    <x v="144"/>
    <x v="4"/>
    <s v="Wireless Earbuds"/>
    <n v="2"/>
    <n v="181.71"/>
    <n v="0.1"/>
    <n v="327.08"/>
    <m/>
    <x v="3"/>
    <x v="3"/>
    <n v="327.07800000000003"/>
    <s v="OK"/>
  </r>
  <r>
    <s v="ORD-2397"/>
    <x v="43"/>
    <x v="2"/>
    <s v="M. Ansah"/>
    <x v="138"/>
    <x v="1"/>
    <s v="Storage Containers"/>
    <n v="4"/>
    <n v="161.46"/>
    <n v="0.1"/>
    <n v="581.26"/>
    <m/>
    <x v="11"/>
    <x v="11"/>
    <n v="581.25600000000009"/>
    <s v="OK"/>
  </r>
  <r>
    <s v="ORD-2059"/>
    <x v="290"/>
    <x v="0"/>
    <s v="P. Amoah"/>
    <x v="191"/>
    <x v="0"/>
    <s v="Denim Jeans"/>
    <n v="11"/>
    <n v="243.9"/>
    <n v="0"/>
    <n v="2682.9"/>
    <m/>
    <x v="9"/>
    <x v="9"/>
    <n v="2682.9"/>
    <s v="OK"/>
  </r>
  <r>
    <s v="ORD-2538"/>
    <x v="142"/>
    <x v="3"/>
    <s v="J. Tetteh"/>
    <x v="156"/>
    <x v="2"/>
    <s v="Sugar 1kg"/>
    <n v="11"/>
    <n v="221.16"/>
    <n v="0"/>
    <n v="2432.7600000000002"/>
    <m/>
    <x v="9"/>
    <x v="9"/>
    <n v="2432.7599999999998"/>
    <s v="OK"/>
  </r>
  <r>
    <s v="ORD-2403"/>
    <x v="149"/>
    <x v="2"/>
    <s v="S. Addo"/>
    <x v="192"/>
    <x v="3"/>
    <s v="Shea Butter Lotion"/>
    <n v="4"/>
    <n v="74.63"/>
    <n v="0"/>
    <n v="298.52"/>
    <m/>
    <x v="8"/>
    <x v="8"/>
    <n v="298.52"/>
    <s v="OK"/>
  </r>
  <r>
    <s v="ORD-2789"/>
    <x v="163"/>
    <x v="2"/>
    <s v="J. Tetteh"/>
    <x v="59"/>
    <x v="1"/>
    <s v="Table Lamp"/>
    <n v="10"/>
    <n v="97.64"/>
    <n v="0"/>
    <n v="976.4"/>
    <m/>
    <x v="10"/>
    <x v="10"/>
    <n v="976.4"/>
    <s v="OK"/>
  </r>
  <r>
    <s v="ORD-2478"/>
    <x v="24"/>
    <x v="3"/>
    <s v="R. Ofori"/>
    <x v="146"/>
    <x v="2"/>
    <s v="Rice 5kg"/>
    <n v="10"/>
    <n v="69.75"/>
    <n v="0.1"/>
    <n v="627.75"/>
    <m/>
    <x v="5"/>
    <x v="5"/>
    <n v="627.75"/>
    <s v="OK"/>
  </r>
  <r>
    <s v="ORD-1531"/>
    <x v="225"/>
    <x v="1"/>
    <s v="M. Ansah"/>
    <x v="47"/>
    <x v="3"/>
    <s v="Shea Butter Lotion"/>
    <n v="5"/>
    <n v="28.83"/>
    <n v="0.15"/>
    <n v="122.53"/>
    <m/>
    <x v="0"/>
    <x v="0"/>
    <n v="122.52749999999997"/>
    <s v="OK"/>
  </r>
  <r>
    <s v="ORD-1407"/>
    <x v="291"/>
    <x v="0"/>
    <s v="R. Ofori"/>
    <x v="52"/>
    <x v="1"/>
    <s v="Storage Containers"/>
    <n v="10"/>
    <n v="208.44"/>
    <n v="0"/>
    <n v="2084.4"/>
    <m/>
    <x v="11"/>
    <x v="11"/>
    <n v="2084.4"/>
    <s v="OK"/>
  </r>
  <r>
    <s v="ORD-1199"/>
    <x v="292"/>
    <x v="2"/>
    <s v="J. Tetteh"/>
    <x v="20"/>
    <x v="0"/>
    <s v="Cotton T-Shirt"/>
    <n v="6"/>
    <n v="16.100000000000001"/>
    <n v="0.15"/>
    <n v="82.11"/>
    <m/>
    <x v="7"/>
    <x v="7"/>
    <n v="82.11"/>
    <s v="OK"/>
  </r>
  <r>
    <s v="ORD-1473"/>
    <x v="293"/>
    <x v="2"/>
    <s v="S. Addo"/>
    <x v="161"/>
    <x v="3"/>
    <s v="Shea Butter Lotion"/>
    <n v="4"/>
    <n v="246.18"/>
    <n v="0"/>
    <n v="984.72"/>
    <m/>
    <x v="6"/>
    <x v="6"/>
    <n v="984.72"/>
    <s v="OK"/>
  </r>
  <r>
    <s v="ORD-1838"/>
    <x v="195"/>
    <x v="1"/>
    <s v="R. Ofori"/>
    <x v="16"/>
    <x v="2"/>
    <s v="Rice 5kg"/>
    <n v="11"/>
    <n v="181.2"/>
    <n v="0.05"/>
    <n v="1893.54"/>
    <m/>
    <x v="1"/>
    <x v="1"/>
    <n v="1893.5399999999997"/>
    <s v="OK"/>
  </r>
  <r>
    <s v="ORD-1216"/>
    <x v="294"/>
    <x v="0"/>
    <s v="S. Addo"/>
    <x v="27"/>
    <x v="2"/>
    <s v="Canned Tomatoes"/>
    <n v="8"/>
    <n v="181.48"/>
    <n v="0"/>
    <n v="1451.84"/>
    <m/>
    <x v="11"/>
    <x v="11"/>
    <n v="1451.84"/>
    <s v="OK"/>
  </r>
  <r>
    <s v="ORD-1253"/>
    <x v="45"/>
    <x v="2"/>
    <s v="M. Ansah"/>
    <x v="37"/>
    <x v="1"/>
    <s v="Blender"/>
    <n v="9"/>
    <n v="72.34"/>
    <n v="0"/>
    <n v="651.05999999999995"/>
    <m/>
    <x v="1"/>
    <x v="1"/>
    <n v="651.06000000000006"/>
    <s v="OK"/>
  </r>
  <r>
    <s v="ORD-1152"/>
    <x v="295"/>
    <x v="1"/>
    <s v="S. Addo"/>
    <x v="18"/>
    <x v="3"/>
    <s v="Shampoo 400ml"/>
    <n v="5"/>
    <n v="85.34"/>
    <n v="0"/>
    <n v="426.7"/>
    <m/>
    <x v="0"/>
    <x v="0"/>
    <n v="426.70000000000005"/>
    <s v="OK"/>
  </r>
  <r>
    <s v="ORD-1756"/>
    <x v="296"/>
    <x v="3"/>
    <s v="J. Tetteh"/>
    <x v="52"/>
    <x v="4"/>
    <s v="Power Bank"/>
    <n v="2"/>
    <n v="146.84"/>
    <n v="0"/>
    <n v="293.68"/>
    <m/>
    <x v="8"/>
    <x v="8"/>
    <n v="293.68"/>
    <s v="OK"/>
  </r>
  <r>
    <s v="ORD-2761"/>
    <x v="297"/>
    <x v="0"/>
    <s v="S. Addo"/>
    <x v="121"/>
    <x v="3"/>
    <s v="Shea Butter Lotion"/>
    <n v="7"/>
    <n v="220.18"/>
    <n v="0"/>
    <n v="1541.26"/>
    <m/>
    <x v="11"/>
    <x v="11"/>
    <n v="1541.26"/>
    <s v="OK"/>
  </r>
  <r>
    <s v="ORD-2151"/>
    <x v="166"/>
    <x v="4"/>
    <s v="M. Ansah"/>
    <x v="47"/>
    <x v="0"/>
    <s v="Leather Wallet"/>
    <n v="6"/>
    <n v="14.96"/>
    <n v="0"/>
    <n v="89.76"/>
    <m/>
    <x v="3"/>
    <x v="3"/>
    <n v="89.76"/>
    <s v="OK"/>
  </r>
  <r>
    <s v="ORD-2755"/>
    <x v="201"/>
    <x v="4"/>
    <s v="R. Ofori"/>
    <x v="176"/>
    <x v="1"/>
    <s v="Non-stick Pan"/>
    <n v="1"/>
    <n v="46.21"/>
    <n v="0.05"/>
    <n v="43.9"/>
    <m/>
    <x v="6"/>
    <x v="6"/>
    <n v="43.899499999999996"/>
    <s v="OK"/>
  </r>
  <r>
    <s v="ORD-2591"/>
    <x v="166"/>
    <x v="3"/>
    <s v="Unassigned"/>
    <x v="193"/>
    <x v="0"/>
    <s v="Leather Wallet"/>
    <n v="7"/>
    <n v="117.87"/>
    <n v="0"/>
    <n v="825.09"/>
    <m/>
    <x v="3"/>
    <x v="3"/>
    <n v="825.09"/>
    <s v="OK"/>
  </r>
  <r>
    <s v="ORD-2742"/>
    <x v="230"/>
    <x v="2"/>
    <s v="M. Ansah"/>
    <x v="81"/>
    <x v="4"/>
    <s v="Laptop Stand"/>
    <n v="1"/>
    <n v="188.15"/>
    <n v="0.15"/>
    <n v="159.93"/>
    <m/>
    <x v="10"/>
    <x v="10"/>
    <n v="159.92750000000001"/>
    <s v="OK"/>
  </r>
  <r>
    <s v="ORD-1530"/>
    <x v="108"/>
    <x v="1"/>
    <s v="Unassigned"/>
    <x v="59"/>
    <x v="2"/>
    <s v="Rice 5kg"/>
    <n v="5"/>
    <n v="156"/>
    <n v="0"/>
    <n v="780"/>
    <m/>
    <x v="7"/>
    <x v="7"/>
    <n v="780"/>
    <s v="OK"/>
  </r>
  <r>
    <s v="ORD-2042"/>
    <x v="78"/>
    <x v="0"/>
    <s v="S. Addo"/>
    <x v="14"/>
    <x v="0"/>
    <s v="Leather Wallet"/>
    <n v="2"/>
    <n v="122.28"/>
    <n v="0.15"/>
    <n v="207.88"/>
    <m/>
    <x v="11"/>
    <x v="11"/>
    <n v="207.876"/>
    <s v="OK"/>
  </r>
  <r>
    <s v="ORD-2453"/>
    <x v="168"/>
    <x v="4"/>
    <s v="M. Ansah"/>
    <x v="143"/>
    <x v="0"/>
    <s v="Sunglasses"/>
    <n v="6"/>
    <n v="27.84"/>
    <n v="0"/>
    <n v="167.04"/>
    <m/>
    <x v="1"/>
    <x v="1"/>
    <n v="167.04"/>
    <s v="OK"/>
  </r>
  <r>
    <s v="ORD-1240"/>
    <x v="151"/>
    <x v="1"/>
    <s v="P. Amoah"/>
    <x v="109"/>
    <x v="4"/>
    <s v="Bluetooth Speaker"/>
    <n v="6"/>
    <n v="241.87"/>
    <n v="0.05"/>
    <n v="1378.66"/>
    <m/>
    <x v="6"/>
    <x v="6"/>
    <n v="1378.6589999999999"/>
    <s v="OK"/>
  </r>
  <r>
    <s v="ORD-1829"/>
    <x v="298"/>
    <x v="3"/>
    <s v="S. Addo"/>
    <x v="102"/>
    <x v="2"/>
    <s v="Rice 5kg"/>
    <n v="11"/>
    <n v="122.08"/>
    <n v="0"/>
    <n v="1342.88"/>
    <m/>
    <x v="6"/>
    <x v="6"/>
    <n v="1342.8799999999999"/>
    <s v="OK"/>
  </r>
  <r>
    <s v="ORD-1816"/>
    <x v="245"/>
    <x v="4"/>
    <s v="R. Ofori"/>
    <x v="41"/>
    <x v="2"/>
    <s v="Rice 5kg"/>
    <n v="9"/>
    <n v="113.14"/>
    <n v="0.1"/>
    <n v="916.43"/>
    <m/>
    <x v="11"/>
    <x v="11"/>
    <n v="916.43399999999997"/>
    <s v="OK"/>
  </r>
  <r>
    <s v="ORD-1187"/>
    <x v="31"/>
    <x v="3"/>
    <s v="S. Addo"/>
    <x v="165"/>
    <x v="2"/>
    <s v="Canned Tomatoes"/>
    <n v="2"/>
    <n v="163.24"/>
    <n v="0.15"/>
    <n v="277.51"/>
    <m/>
    <x v="2"/>
    <x v="2"/>
    <n v="277.50799999999998"/>
    <s v="OK"/>
  </r>
  <r>
    <s v="ORD-1246"/>
    <x v="169"/>
    <x v="2"/>
    <s v="M. Ansah"/>
    <x v="170"/>
    <x v="2"/>
    <s v="Canned Tomatoes"/>
    <n v="12"/>
    <n v="100.26"/>
    <n v="0"/>
    <n v="1203.1199999999999"/>
    <m/>
    <x v="10"/>
    <x v="10"/>
    <n v="1203.1200000000001"/>
    <s v="OK"/>
  </r>
  <r>
    <s v="ORD-2276"/>
    <x v="260"/>
    <x v="0"/>
    <s v="P. Amoah"/>
    <x v="156"/>
    <x v="1"/>
    <s v="Blender"/>
    <n v="12"/>
    <n v="162.03"/>
    <n v="0"/>
    <n v="1944.36"/>
    <m/>
    <x v="7"/>
    <x v="7"/>
    <n v="1944.3600000000001"/>
    <s v="OK"/>
  </r>
  <r>
    <s v="ORD-1876"/>
    <x v="197"/>
    <x v="0"/>
    <s v="S. Addo"/>
    <x v="45"/>
    <x v="0"/>
    <s v="Leather Wallet"/>
    <n v="2"/>
    <n v="91.86"/>
    <n v="0.05"/>
    <n v="174.53"/>
    <m/>
    <x v="7"/>
    <x v="7"/>
    <n v="174.53399999999999"/>
    <s v="OK"/>
  </r>
  <r>
    <s v="ORD-1737"/>
    <x v="280"/>
    <x v="2"/>
    <s v="J. Tetteh"/>
    <x v="186"/>
    <x v="3"/>
    <s v="Hair Oil"/>
    <n v="2"/>
    <n v="140.51"/>
    <n v="0.05"/>
    <n v="266.97000000000003"/>
    <m/>
    <x v="2"/>
    <x v="2"/>
    <n v="266.96899999999999"/>
    <s v="OK"/>
  </r>
  <r>
    <s v="ORD-1302"/>
    <x v="258"/>
    <x v="1"/>
    <s v="J. Tetteh"/>
    <x v="14"/>
    <x v="4"/>
    <s v="Bluetooth Speaker"/>
    <n v="10"/>
    <n v="5.17"/>
    <n v="0"/>
    <n v="51.7"/>
    <m/>
    <x v="3"/>
    <x v="3"/>
    <n v="51.7"/>
    <s v="OK"/>
  </r>
  <r>
    <s v="ORD-1283"/>
    <x v="299"/>
    <x v="0"/>
    <s v="S. Addo"/>
    <x v="136"/>
    <x v="4"/>
    <s v="Power Bank"/>
    <n v="5"/>
    <n v="143.13"/>
    <n v="0.15"/>
    <n v="608.29999999999995"/>
    <m/>
    <x v="7"/>
    <x v="7"/>
    <n v="608.30250000000001"/>
    <s v="OK"/>
  </r>
  <r>
    <s v="ORD-1734"/>
    <x v="112"/>
    <x v="1"/>
    <s v="M. Ansah"/>
    <x v="189"/>
    <x v="4"/>
    <s v="Wireless Earbuds"/>
    <n v="2"/>
    <n v="49.75"/>
    <n v="0"/>
    <n v="99.5"/>
    <m/>
    <x v="1"/>
    <x v="1"/>
    <n v="99.5"/>
    <s v="OK"/>
  </r>
  <r>
    <s v="ORD-1505"/>
    <x v="68"/>
    <x v="4"/>
    <s v="M. Ansah"/>
    <x v="139"/>
    <x v="3"/>
    <s v="Hair Oil"/>
    <n v="3"/>
    <n v="15.76"/>
    <n v="0"/>
    <n v="47.28"/>
    <m/>
    <x v="9"/>
    <x v="9"/>
    <n v="47.28"/>
    <s v="OK"/>
  </r>
  <r>
    <s v="ORD-2753"/>
    <x v="275"/>
    <x v="1"/>
    <s v="S. Addo"/>
    <x v="145"/>
    <x v="4"/>
    <s v="Power Bank"/>
    <n v="11"/>
    <n v="15.41"/>
    <n v="0.15"/>
    <n v="144.08000000000001"/>
    <m/>
    <x v="2"/>
    <x v="2"/>
    <n v="144.08349999999999"/>
    <s v="OK"/>
  </r>
  <r>
    <s v="ORD-1893"/>
    <x v="300"/>
    <x v="1"/>
    <s v="J. Tetteh"/>
    <x v="55"/>
    <x v="0"/>
    <s v="Sneakers"/>
    <n v="9"/>
    <n v="133.32"/>
    <n v="0"/>
    <n v="1199.8800000000001"/>
    <m/>
    <x v="3"/>
    <x v="3"/>
    <n v="1199.8799999999999"/>
    <s v="OK"/>
  </r>
  <r>
    <s v="ORD-2798"/>
    <x v="299"/>
    <x v="1"/>
    <s v="M. Ansah"/>
    <x v="20"/>
    <x v="3"/>
    <s v="Lip Balm Set"/>
    <n v="3"/>
    <n v="202.22"/>
    <n v="0.15"/>
    <n v="515.66"/>
    <m/>
    <x v="7"/>
    <x v="7"/>
    <n v="515.66099999999994"/>
    <s v="OK"/>
  </r>
  <r>
    <s v="ORD-2156"/>
    <x v="262"/>
    <x v="3"/>
    <s v="M. Ansah"/>
    <x v="191"/>
    <x v="1"/>
    <s v="Electric Kettle"/>
    <n v="10"/>
    <n v="183.4"/>
    <n v="0.05"/>
    <n v="1742.3"/>
    <m/>
    <x v="0"/>
    <x v="0"/>
    <n v="1742.3"/>
    <s v="OK"/>
  </r>
  <r>
    <s v="ORD-1691"/>
    <x v="123"/>
    <x v="4"/>
    <s v="S. Addo"/>
    <x v="19"/>
    <x v="0"/>
    <s v="Denim Jeans"/>
    <n v="1"/>
    <n v="139.99"/>
    <n v="0.1"/>
    <n v="125.99"/>
    <m/>
    <x v="5"/>
    <x v="5"/>
    <n v="125.99100000000001"/>
    <s v="OK"/>
  </r>
  <r>
    <s v="ORD-1875"/>
    <x v="55"/>
    <x v="4"/>
    <s v="R. Ofori"/>
    <x v="135"/>
    <x v="1"/>
    <s v="Non-stick Pan"/>
    <n v="1"/>
    <n v="19.09"/>
    <n v="0.1"/>
    <n v="17.18"/>
    <m/>
    <x v="8"/>
    <x v="8"/>
    <n v="17.181000000000001"/>
    <s v="OK"/>
  </r>
  <r>
    <s v="ORD-1122"/>
    <x v="301"/>
    <x v="3"/>
    <s v="J. Tetteh"/>
    <x v="160"/>
    <x v="3"/>
    <s v="Hair Oil"/>
    <n v="3"/>
    <n v="241.72"/>
    <n v="0.1"/>
    <n v="652.64"/>
    <m/>
    <x v="9"/>
    <x v="9"/>
    <n v="652.64400000000001"/>
    <s v="OK"/>
  </r>
  <r>
    <s v="ORD-1666"/>
    <x v="302"/>
    <x v="3"/>
    <s v="M. Ansah"/>
    <x v="10"/>
    <x v="2"/>
    <s v="Cooking Oil 1L"/>
    <n v="2"/>
    <n v="81.86"/>
    <n v="0"/>
    <n v="163.72"/>
    <m/>
    <x v="8"/>
    <x v="8"/>
    <n v="163.72"/>
    <s v="OK"/>
  </r>
  <r>
    <s v="ORD-1280"/>
    <x v="51"/>
    <x v="4"/>
    <s v="J. Tetteh"/>
    <x v="177"/>
    <x v="1"/>
    <s v="Table Lamp"/>
    <n v="7"/>
    <n v="120.58"/>
    <n v="0"/>
    <n v="844.06"/>
    <m/>
    <x v="1"/>
    <x v="1"/>
    <n v="844.06"/>
    <s v="OK"/>
  </r>
  <r>
    <s v="ORD-2447"/>
    <x v="122"/>
    <x v="0"/>
    <s v="J. Tetteh"/>
    <x v="75"/>
    <x v="2"/>
    <s v="Pasta Pack"/>
    <n v="12"/>
    <n v="167.93"/>
    <n v="0.05"/>
    <n v="1914.4"/>
    <m/>
    <x v="9"/>
    <x v="9"/>
    <n v="1914.402"/>
    <s v="OK"/>
  </r>
  <r>
    <s v="ORD-2271"/>
    <x v="71"/>
    <x v="1"/>
    <s v="Unassigned"/>
    <x v="67"/>
    <x v="3"/>
    <s v="Shampoo 400ml"/>
    <n v="2"/>
    <n v="197.1"/>
    <n v="0.15"/>
    <n v="335.07"/>
    <m/>
    <x v="4"/>
    <x v="4"/>
    <n v="335.07"/>
    <s v="OK"/>
  </r>
  <r>
    <s v="ORD-2075"/>
    <x v="235"/>
    <x v="3"/>
    <s v="S. Addo"/>
    <x v="63"/>
    <x v="2"/>
    <s v="Cooking Oil 1L"/>
    <n v="11"/>
    <n v="231.51"/>
    <n v="0"/>
    <n v="2546.61"/>
    <m/>
    <x v="8"/>
    <x v="8"/>
    <n v="2546.6099999999997"/>
    <s v="OK"/>
  </r>
  <r>
    <s v="ORD-1860"/>
    <x v="172"/>
    <x v="1"/>
    <s v="M. Ansah"/>
    <x v="100"/>
    <x v="1"/>
    <s v="Electric Kettle"/>
    <n v="5"/>
    <n v="149.99"/>
    <n v="0"/>
    <n v="749.95"/>
    <m/>
    <x v="7"/>
    <x v="7"/>
    <n v="749.95"/>
    <s v="OK"/>
  </r>
  <r>
    <s v="ORD-1518"/>
    <x v="265"/>
    <x v="1"/>
    <s v="M. Ansah"/>
    <x v="64"/>
    <x v="2"/>
    <s v="Pasta Pack"/>
    <n v="11"/>
    <n v="209.29"/>
    <n v="0.05"/>
    <n v="2187.08"/>
    <m/>
    <x v="7"/>
    <x v="7"/>
    <n v="2187.0805"/>
    <s v="OK"/>
  </r>
  <r>
    <s v="ORD-2713"/>
    <x v="59"/>
    <x v="3"/>
    <s v="R. Ofori"/>
    <x v="154"/>
    <x v="3"/>
    <s v="Shea Butter Lotion"/>
    <n v="12"/>
    <n v="219.16"/>
    <n v="0.05"/>
    <n v="2498.42"/>
    <m/>
    <x v="3"/>
    <x v="3"/>
    <n v="2498.424"/>
    <s v="OK"/>
  </r>
  <r>
    <s v="ORD-2376"/>
    <x v="137"/>
    <x v="2"/>
    <s v="P. Amoah"/>
    <x v="0"/>
    <x v="2"/>
    <s v="Rice 5kg"/>
    <n v="7"/>
    <n v="58.06"/>
    <n v="0"/>
    <n v="406.42"/>
    <m/>
    <x v="4"/>
    <x v="4"/>
    <n v="406.42"/>
    <s v="OK"/>
  </r>
  <r>
    <s v="ORD-1067"/>
    <x v="43"/>
    <x v="3"/>
    <s v="M. Ansah"/>
    <x v="74"/>
    <x v="1"/>
    <s v="Table Lamp"/>
    <n v="10"/>
    <n v="153.55000000000001"/>
    <n v="0"/>
    <n v="1535.5"/>
    <m/>
    <x v="11"/>
    <x v="11"/>
    <n v="1535.5"/>
    <s v="OK"/>
  </r>
  <r>
    <s v="ORD-1925"/>
    <x v="219"/>
    <x v="2"/>
    <s v="P. Amoah"/>
    <x v="81"/>
    <x v="4"/>
    <s v="Wireless Earbuds"/>
    <n v="3"/>
    <n v="63.68"/>
    <n v="0.1"/>
    <n v="171.94"/>
    <m/>
    <x v="2"/>
    <x v="2"/>
    <n v="171.93600000000001"/>
    <s v="OK"/>
  </r>
  <r>
    <s v="ORD-1568"/>
    <x v="212"/>
    <x v="0"/>
    <s v="R. Ofori"/>
    <x v="53"/>
    <x v="0"/>
    <s v="Sunglasses"/>
    <n v="1"/>
    <n v="48.27"/>
    <n v="0.05"/>
    <n v="45.86"/>
    <m/>
    <x v="1"/>
    <x v="1"/>
    <n v="45.856500000000004"/>
    <s v="OK"/>
  </r>
  <r>
    <s v="ORD-1704"/>
    <x v="136"/>
    <x v="4"/>
    <s v="R. Ofori"/>
    <x v="19"/>
    <x v="0"/>
    <s v="Sneakers"/>
    <n v="12"/>
    <n v="74.2"/>
    <n v="0"/>
    <n v="890.4"/>
    <m/>
    <x v="11"/>
    <x v="11"/>
    <n v="890.40000000000009"/>
    <s v="OK"/>
  </r>
  <r>
    <s v="ORD-2097"/>
    <x v="65"/>
    <x v="3"/>
    <s v="S. Addo"/>
    <x v="35"/>
    <x v="2"/>
    <s v="Rice 5kg"/>
    <n v="10"/>
    <n v="115.81"/>
    <n v="0"/>
    <n v="1158.0999999999999"/>
    <m/>
    <x v="5"/>
    <x v="5"/>
    <n v="1158.0999999999999"/>
    <s v="OK"/>
  </r>
  <r>
    <s v="ORD-2621"/>
    <x v="83"/>
    <x v="3"/>
    <s v="S. Addo"/>
    <x v="42"/>
    <x v="3"/>
    <s v="Shampoo 400ml"/>
    <n v="12"/>
    <n v="34.93"/>
    <n v="0.15"/>
    <n v="356.29"/>
    <m/>
    <x v="1"/>
    <x v="1"/>
    <n v="356.28599999999994"/>
    <s v="OK"/>
  </r>
  <r>
    <s v="ORD-1857"/>
    <x v="303"/>
    <x v="3"/>
    <s v="S. Addo"/>
    <x v="91"/>
    <x v="1"/>
    <s v="Electric Kettle"/>
    <n v="9"/>
    <n v="245.08"/>
    <n v="0"/>
    <n v="2205.7199999999998"/>
    <m/>
    <x v="6"/>
    <x v="6"/>
    <n v="2205.7200000000003"/>
    <s v="OK"/>
  </r>
  <r>
    <s v="ORD-1472"/>
    <x v="290"/>
    <x v="1"/>
    <s v="S. Addo"/>
    <x v="33"/>
    <x v="3"/>
    <s v="Shampoo 400ml"/>
    <n v="7"/>
    <n v="114.64"/>
    <n v="0"/>
    <n v="802.48"/>
    <m/>
    <x v="9"/>
    <x v="9"/>
    <n v="802.48"/>
    <s v="OK"/>
  </r>
  <r>
    <s v="ORD-1971"/>
    <x v="197"/>
    <x v="1"/>
    <s v="R. Ofori"/>
    <x v="16"/>
    <x v="4"/>
    <s v="Wireless Earbuds"/>
    <n v="4"/>
    <n v="65.099999999999994"/>
    <n v="0.15"/>
    <n v="221.34"/>
    <m/>
    <x v="7"/>
    <x v="7"/>
    <n v="221.33999999999997"/>
    <s v="OK"/>
  </r>
  <r>
    <s v="ORD-1511"/>
    <x v="2"/>
    <x v="1"/>
    <s v="J. Tetteh"/>
    <x v="8"/>
    <x v="2"/>
    <s v="Pasta Pack"/>
    <n v="7"/>
    <n v="95.3"/>
    <n v="0"/>
    <n v="667.1"/>
    <m/>
    <x v="2"/>
    <x v="2"/>
    <n v="667.1"/>
    <s v="OK"/>
  </r>
  <r>
    <s v="ORD-2172"/>
    <x v="304"/>
    <x v="4"/>
    <s v="J. Tetteh"/>
    <x v="166"/>
    <x v="3"/>
    <s v="Hair Oil"/>
    <n v="10"/>
    <n v="190.7"/>
    <n v="0"/>
    <n v="1907"/>
    <m/>
    <x v="11"/>
    <x v="11"/>
    <n v="1907"/>
    <s v="OK"/>
  </r>
  <r>
    <s v="ORD-1740"/>
    <x v="305"/>
    <x v="3"/>
    <s v="R. Ofori"/>
    <x v="115"/>
    <x v="3"/>
    <s v="Hair Oil"/>
    <n v="3"/>
    <n v="165"/>
    <n v="0"/>
    <n v="495"/>
    <m/>
    <x v="8"/>
    <x v="8"/>
    <n v="495"/>
    <s v="OK"/>
  </r>
  <r>
    <s v="ORD-2283"/>
    <x v="74"/>
    <x v="4"/>
    <s v="J. Tetteh"/>
    <x v="163"/>
    <x v="4"/>
    <s v="Wireless Earbuds"/>
    <n v="12"/>
    <n v="46"/>
    <n v="0"/>
    <n v="552"/>
    <m/>
    <x v="7"/>
    <x v="7"/>
    <n v="552"/>
    <s v="OK"/>
  </r>
  <r>
    <s v="ORD-1318"/>
    <x v="105"/>
    <x v="2"/>
    <s v="J. Tetteh"/>
    <x v="174"/>
    <x v="3"/>
    <s v="Shampoo 400ml"/>
    <n v="9"/>
    <n v="128.01"/>
    <n v="0.1"/>
    <n v="1036.8800000000001"/>
    <m/>
    <x v="9"/>
    <x v="9"/>
    <n v="1036.8809999999999"/>
    <s v="OK"/>
  </r>
  <r>
    <s v="ORD-2565"/>
    <x v="306"/>
    <x v="0"/>
    <s v="R. Ofori"/>
    <x v="194"/>
    <x v="1"/>
    <s v="Non-stick Pan"/>
    <n v="7"/>
    <n v="151.71"/>
    <n v="0"/>
    <n v="1061.97"/>
    <m/>
    <x v="10"/>
    <x v="10"/>
    <n v="1061.97"/>
    <s v="OK"/>
  </r>
  <r>
    <s v="ORD-1832"/>
    <x v="140"/>
    <x v="3"/>
    <s v="J. Tetteh"/>
    <x v="17"/>
    <x v="3"/>
    <s v="Shea Butter Lotion"/>
    <n v="7"/>
    <n v="218.28"/>
    <n v="0.15"/>
    <n v="1298.77"/>
    <m/>
    <x v="6"/>
    <x v="6"/>
    <n v="1298.7660000000001"/>
    <s v="OK"/>
  </r>
  <r>
    <s v="ORD-1581"/>
    <x v="201"/>
    <x v="2"/>
    <s v="J. Tetteh"/>
    <x v="2"/>
    <x v="2"/>
    <s v="Canned Tomatoes"/>
    <n v="7"/>
    <n v="74.84"/>
    <n v="0"/>
    <n v="523.88"/>
    <m/>
    <x v="6"/>
    <x v="6"/>
    <n v="523.88"/>
    <s v="OK"/>
  </r>
  <r>
    <s v="ORD-1132"/>
    <x v="307"/>
    <x v="0"/>
    <s v="S. Addo"/>
    <x v="20"/>
    <x v="4"/>
    <s v="Power Bank"/>
    <n v="10"/>
    <n v="86.67"/>
    <n v="0.15"/>
    <n v="736.7"/>
    <m/>
    <x v="0"/>
    <x v="0"/>
    <n v="736.69500000000005"/>
    <s v="OK"/>
  </r>
  <r>
    <s v="ORD-1687"/>
    <x v="134"/>
    <x v="0"/>
    <s v="R. Ofori"/>
    <x v="186"/>
    <x v="0"/>
    <s v="Denim Jeans"/>
    <n v="10"/>
    <n v="226.41"/>
    <n v="0"/>
    <n v="2264.1"/>
    <m/>
    <x v="10"/>
    <x v="10"/>
    <n v="2264.1"/>
    <s v="OK"/>
  </r>
  <r>
    <s v="ORD-1986"/>
    <x v="193"/>
    <x v="2"/>
    <s v="M. Ansah"/>
    <x v="122"/>
    <x v="1"/>
    <s v="Table Lamp"/>
    <n v="10"/>
    <n v="243.89"/>
    <n v="0.1"/>
    <n v="2195.0100000000002"/>
    <m/>
    <x v="9"/>
    <x v="9"/>
    <n v="2195.0099999999998"/>
    <s v="OK"/>
  </r>
  <r>
    <s v="ORD-2773"/>
    <x v="105"/>
    <x v="1"/>
    <s v="M. Ansah"/>
    <x v="160"/>
    <x v="3"/>
    <s v="Lip Balm Set"/>
    <n v="4"/>
    <n v="61.58"/>
    <n v="0.05"/>
    <n v="234"/>
    <m/>
    <x v="9"/>
    <x v="9"/>
    <n v="234.00399999999999"/>
    <s v="OK"/>
  </r>
  <r>
    <s v="ORD-2064"/>
    <x v="308"/>
    <x v="1"/>
    <s v="R. Ofori"/>
    <x v="119"/>
    <x v="2"/>
    <s v="Sugar 1kg"/>
    <n v="9"/>
    <n v="24.52"/>
    <n v="0.1"/>
    <n v="198.61"/>
    <m/>
    <x v="9"/>
    <x v="9"/>
    <n v="198.61200000000002"/>
    <s v="OK"/>
  </r>
  <r>
    <s v="ORD-2760"/>
    <x v="309"/>
    <x v="3"/>
    <s v="R. Ofori"/>
    <x v="115"/>
    <x v="1"/>
    <s v="Blender"/>
    <n v="12"/>
    <n v="242.61"/>
    <n v="0"/>
    <n v="2911.32"/>
    <m/>
    <x v="1"/>
    <x v="1"/>
    <n v="2911.32"/>
    <s v="OK"/>
  </r>
  <r>
    <s v="ORD-1125"/>
    <x v="172"/>
    <x v="0"/>
    <s v="M. Ansah"/>
    <x v="80"/>
    <x v="4"/>
    <s v="Bluetooth Speaker"/>
    <n v="11"/>
    <n v="191.25"/>
    <n v="0"/>
    <n v="2103.75"/>
    <m/>
    <x v="7"/>
    <x v="7"/>
    <n v="2103.75"/>
    <s v="OK"/>
  </r>
  <r>
    <s v="ORD-2033"/>
    <x v="46"/>
    <x v="3"/>
    <s v="J. Tetteh"/>
    <x v="63"/>
    <x v="0"/>
    <s v="Cotton T-Shirt"/>
    <n v="10"/>
    <n v="214.03"/>
    <n v="0.1"/>
    <n v="1926.27"/>
    <m/>
    <x v="3"/>
    <x v="3"/>
    <n v="1926.2700000000002"/>
    <s v="OK"/>
  </r>
  <r>
    <s v="ORD-2144"/>
    <x v="202"/>
    <x v="1"/>
    <s v="R. Ofori"/>
    <x v="148"/>
    <x v="1"/>
    <s v="Table Lamp"/>
    <n v="11"/>
    <n v="165.19"/>
    <n v="0.05"/>
    <n v="1726.24"/>
    <m/>
    <x v="6"/>
    <x v="6"/>
    <n v="1726.2354999999998"/>
    <s v="OK"/>
  </r>
  <r>
    <s v="ORD-1256"/>
    <x v="310"/>
    <x v="2"/>
    <s v="M. Ansah"/>
    <x v="119"/>
    <x v="4"/>
    <s v="USB-C Cable"/>
    <n v="10"/>
    <n v="215.96"/>
    <n v="0.15"/>
    <n v="1835.66"/>
    <m/>
    <x v="5"/>
    <x v="5"/>
    <n v="1835.6599999999999"/>
    <s v="OK"/>
  </r>
  <r>
    <s v="ORD-2787"/>
    <x v="260"/>
    <x v="2"/>
    <s v="R. Ofori"/>
    <x v="160"/>
    <x v="0"/>
    <s v="Cotton T-Shirt"/>
    <n v="1"/>
    <n v="172.13"/>
    <n v="0"/>
    <n v="172.13"/>
    <m/>
    <x v="7"/>
    <x v="7"/>
    <n v="172.13"/>
    <s v="OK"/>
  </r>
  <r>
    <s v="ORD-2005"/>
    <x v="75"/>
    <x v="4"/>
    <s v="S. Addo"/>
    <x v="10"/>
    <x v="2"/>
    <s v="Sugar 1kg"/>
    <n v="3"/>
    <n v="17.23"/>
    <n v="0"/>
    <n v="51.69"/>
    <m/>
    <x v="4"/>
    <x v="4"/>
    <n v="51.69"/>
    <s v="OK"/>
  </r>
  <r>
    <s v="ORD-1289"/>
    <x v="205"/>
    <x v="3"/>
    <s v="Unassigned"/>
    <x v="163"/>
    <x v="1"/>
    <s v="Blender"/>
    <n v="6"/>
    <n v="34.58"/>
    <n v="0"/>
    <n v="207.48"/>
    <m/>
    <x v="2"/>
    <x v="2"/>
    <n v="207.48"/>
    <s v="OK"/>
  </r>
  <r>
    <s v="ORD-1081"/>
    <x v="140"/>
    <x v="2"/>
    <s v="S. Addo"/>
    <x v="42"/>
    <x v="0"/>
    <s v="Sneakers"/>
    <n v="10"/>
    <n v="182.88"/>
    <n v="0.1"/>
    <n v="1645.92"/>
    <m/>
    <x v="6"/>
    <x v="6"/>
    <n v="1645.92"/>
    <s v="OK"/>
  </r>
  <r>
    <s v="ORD-1053"/>
    <x v="196"/>
    <x v="0"/>
    <s v="P. Amoah"/>
    <x v="181"/>
    <x v="4"/>
    <s v="Bluetooth Speaker"/>
    <n v="11"/>
    <n v="35.92"/>
    <n v="0"/>
    <n v="395.12"/>
    <m/>
    <x v="11"/>
    <x v="11"/>
    <n v="395.12"/>
    <s v="OK"/>
  </r>
  <r>
    <s v="ORD-1879"/>
    <x v="85"/>
    <x v="2"/>
    <s v="S. Addo"/>
    <x v="83"/>
    <x v="1"/>
    <s v="Non-stick Pan"/>
    <n v="5"/>
    <n v="32.11"/>
    <n v="0"/>
    <n v="160.55000000000001"/>
    <m/>
    <x v="4"/>
    <x v="4"/>
    <n v="160.55000000000001"/>
    <s v="OK"/>
  </r>
  <r>
    <s v="ORD-2016"/>
    <x v="20"/>
    <x v="1"/>
    <s v="P. Amoah"/>
    <x v="149"/>
    <x v="1"/>
    <s v="Blender"/>
    <n v="2"/>
    <n v="18.64"/>
    <n v="0"/>
    <n v="37.28"/>
    <m/>
    <x v="10"/>
    <x v="10"/>
    <n v="37.28"/>
    <s v="OK"/>
  </r>
  <r>
    <s v="ORD-1040"/>
    <x v="95"/>
    <x v="1"/>
    <s v="R. Ofori"/>
    <x v="67"/>
    <x v="2"/>
    <s v="Pasta Pack"/>
    <n v="9"/>
    <n v="170.53"/>
    <n v="0.05"/>
    <n v="1458.03"/>
    <m/>
    <x v="10"/>
    <x v="10"/>
    <n v="1458.0314999999998"/>
    <s v="OK"/>
  </r>
  <r>
    <s v="ORD-2044"/>
    <x v="87"/>
    <x v="0"/>
    <s v="P. Amoah"/>
    <x v="42"/>
    <x v="3"/>
    <s v="Face Wash"/>
    <n v="7"/>
    <n v="89.93"/>
    <n v="0.15"/>
    <n v="535.08000000000004"/>
    <m/>
    <x v="0"/>
    <x v="0"/>
    <n v="535.08349999999996"/>
    <s v="OK"/>
  </r>
  <r>
    <s v="ORD-1261"/>
    <x v="262"/>
    <x v="2"/>
    <s v="S. Addo"/>
    <x v="104"/>
    <x v="3"/>
    <s v="Shea Butter Lotion"/>
    <n v="7"/>
    <n v="58.37"/>
    <n v="0"/>
    <n v="408.59"/>
    <m/>
    <x v="0"/>
    <x v="0"/>
    <n v="408.59"/>
    <s v="OK"/>
  </r>
  <r>
    <s v="ORD-1746"/>
    <x v="50"/>
    <x v="3"/>
    <s v="P. Amoah"/>
    <x v="41"/>
    <x v="2"/>
    <s v="Rice 5kg"/>
    <n v="12"/>
    <n v="48.41"/>
    <n v="0"/>
    <n v="580.91999999999996"/>
    <m/>
    <x v="9"/>
    <x v="9"/>
    <n v="580.91999999999996"/>
    <s v="OK"/>
  </r>
  <r>
    <s v="ORD-1083"/>
    <x v="62"/>
    <x v="1"/>
    <s v="S. Addo"/>
    <x v="83"/>
    <x v="2"/>
    <s v="Cooking Oil 1L"/>
    <n v="11"/>
    <n v="99.59"/>
    <n v="0.15"/>
    <n v="931.17"/>
    <m/>
    <x v="10"/>
    <x v="10"/>
    <n v="931.16649999999993"/>
    <s v="OK"/>
  </r>
  <r>
    <s v="ORD-2022"/>
    <x v="311"/>
    <x v="3"/>
    <s v="S. Addo"/>
    <x v="2"/>
    <x v="3"/>
    <s v="Shea Butter Lotion"/>
    <n v="3"/>
    <n v="117.57"/>
    <n v="0"/>
    <n v="352.71"/>
    <m/>
    <x v="4"/>
    <x v="4"/>
    <n v="352.71"/>
    <s v="OK"/>
  </r>
  <r>
    <s v="ORD-2113"/>
    <x v="278"/>
    <x v="4"/>
    <s v="S. Addo"/>
    <x v="128"/>
    <x v="2"/>
    <s v="Canned Tomatoes"/>
    <n v="10"/>
    <n v="135.02000000000001"/>
    <n v="0"/>
    <n v="1350.2"/>
    <m/>
    <x v="2"/>
    <x v="2"/>
    <n v="1350.2"/>
    <s v="OK"/>
  </r>
  <r>
    <s v="ORD-2414"/>
    <x v="217"/>
    <x v="3"/>
    <s v="M. Ansah"/>
    <x v="8"/>
    <x v="4"/>
    <s v="USB-C Cable"/>
    <n v="12"/>
    <n v="27.63"/>
    <n v="0.1"/>
    <n v="298.39999999999998"/>
    <m/>
    <x v="0"/>
    <x v="0"/>
    <n v="298.404"/>
    <s v="OK"/>
  </r>
  <r>
    <s v="ORD-2179"/>
    <x v="312"/>
    <x v="1"/>
    <s v="J. Tetteh"/>
    <x v="35"/>
    <x v="2"/>
    <s v="Cooking Oil 1L"/>
    <n v="5"/>
    <n v="88.88"/>
    <n v="0"/>
    <n v="444.4"/>
    <m/>
    <x v="4"/>
    <x v="4"/>
    <n v="444.4"/>
    <s v="OK"/>
  </r>
  <r>
    <s v="ORD-1030"/>
    <x v="164"/>
    <x v="3"/>
    <s v="R. Ofori"/>
    <x v="98"/>
    <x v="0"/>
    <s v="Denim Jeans"/>
    <n v="12"/>
    <n v="32.409999999999997"/>
    <n v="0"/>
    <n v="388.92"/>
    <m/>
    <x v="5"/>
    <x v="5"/>
    <n v="388.91999999999996"/>
    <s v="OK"/>
  </r>
  <r>
    <s v="ORD-1513"/>
    <x v="124"/>
    <x v="1"/>
    <s v="P. Amoah"/>
    <x v="32"/>
    <x v="1"/>
    <s v="Table Lamp"/>
    <n v="12"/>
    <n v="123.5"/>
    <n v="0.1"/>
    <n v="1333.8"/>
    <m/>
    <x v="8"/>
    <x v="8"/>
    <n v="1333.8"/>
    <s v="OK"/>
  </r>
  <r>
    <s v="ORD-2188"/>
    <x v="313"/>
    <x v="0"/>
    <s v="S. Addo"/>
    <x v="89"/>
    <x v="0"/>
    <s v="Sunglasses"/>
    <n v="2"/>
    <n v="158.35"/>
    <n v="0"/>
    <n v="316.7"/>
    <m/>
    <x v="4"/>
    <x v="4"/>
    <n v="316.7"/>
    <s v="OK"/>
  </r>
  <r>
    <s v="ORD-2771"/>
    <x v="252"/>
    <x v="4"/>
    <s v="J. Tetteh"/>
    <x v="195"/>
    <x v="0"/>
    <s v="Denim Jeans"/>
    <n v="4"/>
    <n v="101.18"/>
    <n v="0"/>
    <n v="404.72"/>
    <m/>
    <x v="0"/>
    <x v="0"/>
    <n v="404.72"/>
    <s v="OK"/>
  </r>
  <r>
    <s v="ORD-1841"/>
    <x v="174"/>
    <x v="0"/>
    <s v="S. Addo"/>
    <x v="109"/>
    <x v="4"/>
    <s v="Power Bank"/>
    <n v="10"/>
    <n v="81.150000000000006"/>
    <n v="0.1"/>
    <n v="730.35"/>
    <m/>
    <x v="9"/>
    <x v="9"/>
    <n v="730.35"/>
    <s v="OK"/>
  </r>
  <r>
    <s v="ORD-2120"/>
    <x v="265"/>
    <x v="3"/>
    <s v="S. Addo"/>
    <x v="189"/>
    <x v="4"/>
    <s v="Smartphone Case"/>
    <n v="11"/>
    <n v="86.5"/>
    <n v="0"/>
    <n v="951.5"/>
    <m/>
    <x v="7"/>
    <x v="7"/>
    <n v="951.5"/>
    <s v="OK"/>
  </r>
  <r>
    <s v="ORD-2195"/>
    <x v="230"/>
    <x v="4"/>
    <s v="S. Addo"/>
    <x v="8"/>
    <x v="0"/>
    <s v="Leather Wallet"/>
    <n v="9"/>
    <n v="84.79"/>
    <n v="0.15"/>
    <n v="648.64"/>
    <m/>
    <x v="10"/>
    <x v="10"/>
    <n v="648.64350000000002"/>
    <s v="OK"/>
  </r>
  <r>
    <s v="ORD-2499"/>
    <x v="225"/>
    <x v="2"/>
    <s v="M. Ansah"/>
    <x v="29"/>
    <x v="4"/>
    <s v="Smartphone Case"/>
    <n v="10"/>
    <n v="231.27"/>
    <n v="0"/>
    <n v="2312.6999999999998"/>
    <m/>
    <x v="0"/>
    <x v="0"/>
    <n v="2312.7000000000003"/>
    <s v="OK"/>
  </r>
  <r>
    <s v="ORD-1777"/>
    <x v="232"/>
    <x v="4"/>
    <s v="P. Amoah"/>
    <x v="21"/>
    <x v="2"/>
    <s v="Pasta Pack"/>
    <n v="6"/>
    <n v="130.5"/>
    <n v="0.05"/>
    <n v="743.85"/>
    <m/>
    <x v="6"/>
    <x v="6"/>
    <n v="743.84999999999991"/>
    <s v="OK"/>
  </r>
  <r>
    <s v="ORD-2089"/>
    <x v="93"/>
    <x v="4"/>
    <s v="M. Ansah"/>
    <x v="67"/>
    <x v="4"/>
    <s v="Power Bank"/>
    <n v="1"/>
    <n v="237.82"/>
    <n v="0.05"/>
    <n v="225.93"/>
    <m/>
    <x v="8"/>
    <x v="8"/>
    <n v="225.92899999999997"/>
    <s v="OK"/>
  </r>
  <r>
    <s v="ORD-2668"/>
    <x v="121"/>
    <x v="2"/>
    <s v="J. Tetteh"/>
    <x v="88"/>
    <x v="2"/>
    <s v="Canned Tomatoes"/>
    <n v="2"/>
    <n v="98.16"/>
    <n v="0"/>
    <n v="196.32"/>
    <m/>
    <x v="0"/>
    <x v="0"/>
    <n v="196.32"/>
    <s v="OK"/>
  </r>
  <r>
    <s v="ORD-1048"/>
    <x v="174"/>
    <x v="2"/>
    <s v="P. Amoah"/>
    <x v="37"/>
    <x v="2"/>
    <s v="Canned Tomatoes"/>
    <n v="6"/>
    <n v="6.44"/>
    <n v="0"/>
    <n v="38.64"/>
    <m/>
    <x v="9"/>
    <x v="9"/>
    <n v="38.64"/>
    <s v="OK"/>
  </r>
  <r>
    <s v="ORD-2090"/>
    <x v="33"/>
    <x v="2"/>
    <s v="P. Amoah"/>
    <x v="162"/>
    <x v="0"/>
    <s v="Sunglasses"/>
    <n v="3"/>
    <n v="136.19"/>
    <n v="0.1"/>
    <n v="367.71"/>
    <m/>
    <x v="7"/>
    <x v="7"/>
    <n v="367.71300000000002"/>
    <s v="OK"/>
  </r>
  <r>
    <s v="ORD-1467"/>
    <x v="82"/>
    <x v="0"/>
    <s v="S. Addo"/>
    <x v="136"/>
    <x v="2"/>
    <s v="Rice 5kg"/>
    <n v="12"/>
    <n v="206.4"/>
    <n v="0"/>
    <n v="2476.8000000000002"/>
    <m/>
    <x v="5"/>
    <x v="5"/>
    <n v="2476.8000000000002"/>
    <s v="OK"/>
  </r>
  <r>
    <s v="ORD-1153"/>
    <x v="232"/>
    <x v="3"/>
    <s v="R. Ofori"/>
    <x v="108"/>
    <x v="2"/>
    <s v="Cooking Oil 1L"/>
    <n v="7"/>
    <n v="155.63999999999999"/>
    <n v="0"/>
    <n v="1089.48"/>
    <m/>
    <x v="6"/>
    <x v="6"/>
    <n v="1089.48"/>
    <s v="OK"/>
  </r>
  <r>
    <s v="ORD-2705"/>
    <x v="234"/>
    <x v="0"/>
    <s v="M. Ansah"/>
    <x v="34"/>
    <x v="4"/>
    <s v="Wireless Earbuds"/>
    <n v="10"/>
    <n v="193.59"/>
    <n v="0.15"/>
    <n v="1645.52"/>
    <m/>
    <x v="10"/>
    <x v="10"/>
    <n v="1645.5150000000001"/>
    <s v="OK"/>
  </r>
  <r>
    <s v="ORD-1394"/>
    <x v="176"/>
    <x v="0"/>
    <s v="R. Ofori"/>
    <x v="88"/>
    <x v="0"/>
    <s v="Denim Jeans"/>
    <n v="8"/>
    <n v="194.82"/>
    <n v="0.1"/>
    <n v="1402.7"/>
    <m/>
    <x v="10"/>
    <x v="10"/>
    <n v="1402.704"/>
    <s v="OK"/>
  </r>
  <r>
    <s v="ORD-1123"/>
    <x v="98"/>
    <x v="0"/>
    <s v="M. Ansah"/>
    <x v="166"/>
    <x v="0"/>
    <s v="Cotton T-Shirt"/>
    <n v="7"/>
    <n v="133.37"/>
    <n v="0"/>
    <n v="933.59"/>
    <m/>
    <x v="10"/>
    <x v="10"/>
    <n v="933.59"/>
    <s v="OK"/>
  </r>
  <r>
    <s v="ORD-1355"/>
    <x v="87"/>
    <x v="4"/>
    <s v="M. Ansah"/>
    <x v="107"/>
    <x v="1"/>
    <s v="Blender"/>
    <n v="8"/>
    <n v="228.25"/>
    <n v="0.1"/>
    <n v="1643.4"/>
    <m/>
    <x v="0"/>
    <x v="0"/>
    <n v="1643.4"/>
    <s v="OK"/>
  </r>
  <r>
    <s v="ORD-1134"/>
    <x v="282"/>
    <x v="2"/>
    <s v="S. Addo"/>
    <x v="8"/>
    <x v="2"/>
    <s v="Pasta Pack"/>
    <n v="6"/>
    <n v="238.04"/>
    <n v="0.05"/>
    <n v="1356.83"/>
    <m/>
    <x v="9"/>
    <x v="9"/>
    <n v="1356.828"/>
    <s v="OK"/>
  </r>
  <r>
    <s v="ORD-1268"/>
    <x v="302"/>
    <x v="4"/>
    <s v="M. Ansah"/>
    <x v="108"/>
    <x v="3"/>
    <s v="Shampoo 400ml"/>
    <n v="10"/>
    <n v="230.37"/>
    <n v="0.15"/>
    <n v="1958.14"/>
    <m/>
    <x v="8"/>
    <x v="8"/>
    <n v="1958.1449999999998"/>
    <s v="MISMATCH"/>
  </r>
  <r>
    <s v="ORD-1385"/>
    <x v="134"/>
    <x v="3"/>
    <s v="R. Ofori"/>
    <x v="128"/>
    <x v="0"/>
    <s v="Sneakers"/>
    <n v="11"/>
    <n v="9.14"/>
    <n v="0"/>
    <n v="100.54"/>
    <m/>
    <x v="10"/>
    <x v="10"/>
    <n v="100.54"/>
    <s v="OK"/>
  </r>
  <r>
    <s v="ORD-1609"/>
    <x v="122"/>
    <x v="0"/>
    <s v="P. Amoah"/>
    <x v="7"/>
    <x v="4"/>
    <s v="Power Bank"/>
    <n v="10"/>
    <n v="125.16"/>
    <n v="0.1"/>
    <n v="1126.44"/>
    <m/>
    <x v="9"/>
    <x v="9"/>
    <n v="1126.44"/>
    <s v="OK"/>
  </r>
  <r>
    <s v="ORD-1220"/>
    <x v="314"/>
    <x v="3"/>
    <s v="M. Ansah"/>
    <x v="161"/>
    <x v="4"/>
    <s v="Wireless Earbuds"/>
    <n v="5"/>
    <n v="204.73"/>
    <n v="0.05"/>
    <n v="972.47"/>
    <m/>
    <x v="7"/>
    <x v="7"/>
    <n v="972.46749999999997"/>
    <s v="OK"/>
  </r>
  <r>
    <s v="ORD-1041"/>
    <x v="225"/>
    <x v="4"/>
    <s v="S. Addo"/>
    <x v="139"/>
    <x v="4"/>
    <s v="Smartphone Case"/>
    <n v="4"/>
    <n v="169.83"/>
    <n v="0"/>
    <n v="679.32"/>
    <m/>
    <x v="0"/>
    <x v="0"/>
    <n v="679.32"/>
    <s v="OK"/>
  </r>
  <r>
    <s v="ORD-1219"/>
    <x v="112"/>
    <x v="0"/>
    <s v="P. Amoah"/>
    <x v="168"/>
    <x v="4"/>
    <s v="Wireless Earbuds"/>
    <n v="12"/>
    <n v="128.04"/>
    <n v="0.15"/>
    <n v="1306.01"/>
    <m/>
    <x v="1"/>
    <x v="1"/>
    <n v="1306.008"/>
    <s v="OK"/>
  </r>
  <r>
    <s v="ORD-1597"/>
    <x v="315"/>
    <x v="1"/>
    <s v="R. Ofori"/>
    <x v="17"/>
    <x v="4"/>
    <s v="Wireless Earbuds"/>
    <n v="9"/>
    <n v="120.19"/>
    <n v="0.15"/>
    <n v="919.45"/>
    <m/>
    <x v="3"/>
    <x v="3"/>
    <n v="919.45349999999996"/>
    <s v="OK"/>
  </r>
  <r>
    <s v="ORD-2153"/>
    <x v="54"/>
    <x v="0"/>
    <s v="S. Addo"/>
    <x v="90"/>
    <x v="2"/>
    <s v="Rice 5kg"/>
    <n v="1"/>
    <n v="175.09"/>
    <n v="0"/>
    <n v="175.09"/>
    <m/>
    <x v="7"/>
    <x v="7"/>
    <n v="175.09"/>
    <s v="OK"/>
  </r>
  <r>
    <s v="ORD-2370"/>
    <x v="54"/>
    <x v="3"/>
    <s v="R. Ofori"/>
    <x v="100"/>
    <x v="4"/>
    <s v="Laptop Stand"/>
    <n v="2"/>
    <n v="137.78"/>
    <n v="0"/>
    <n v="275.56"/>
    <m/>
    <x v="7"/>
    <x v="7"/>
    <n v="275.56"/>
    <s v="OK"/>
  </r>
  <r>
    <s v="ORD-1680"/>
    <x v="95"/>
    <x v="3"/>
    <s v="J. Tetteh"/>
    <x v="183"/>
    <x v="2"/>
    <s v="Canned Tomatoes"/>
    <n v="9"/>
    <n v="247.26"/>
    <n v="0.05"/>
    <n v="2114.0700000000002"/>
    <m/>
    <x v="10"/>
    <x v="10"/>
    <n v="2114.0729999999999"/>
    <s v="OK"/>
  </r>
  <r>
    <s v="ORD-1953"/>
    <x v="135"/>
    <x v="2"/>
    <s v="R. Ofori"/>
    <x v="119"/>
    <x v="3"/>
    <s v="Hair Oil"/>
    <n v="8"/>
    <n v="242.07"/>
    <n v="0.05"/>
    <n v="1839.73"/>
    <m/>
    <x v="11"/>
    <x v="11"/>
    <n v="1839.732"/>
    <s v="OK"/>
  </r>
  <r>
    <s v="ORD-2732"/>
    <x v="240"/>
    <x v="3"/>
    <s v="S. Addo"/>
    <x v="108"/>
    <x v="1"/>
    <s v="Blender"/>
    <n v="2"/>
    <n v="243.02"/>
    <n v="0.05"/>
    <n v="461.74"/>
    <m/>
    <x v="3"/>
    <x v="3"/>
    <n v="461.738"/>
    <s v="OK"/>
  </r>
  <r>
    <s v="ORD-1541"/>
    <x v="269"/>
    <x v="4"/>
    <s v="J. Tetteh"/>
    <x v="39"/>
    <x v="4"/>
    <s v="Laptop Stand"/>
    <n v="12"/>
    <n v="62.63"/>
    <n v="0.1"/>
    <n v="676.4"/>
    <m/>
    <x v="1"/>
    <x v="1"/>
    <n v="676.40400000000011"/>
    <s v="OK"/>
  </r>
  <r>
    <s v="ORD-2431"/>
    <x v="68"/>
    <x v="2"/>
    <s v="M. Ansah"/>
    <x v="11"/>
    <x v="3"/>
    <s v="Lip Balm Set"/>
    <n v="8"/>
    <n v="166.85"/>
    <n v="0.15"/>
    <n v="1134.58"/>
    <m/>
    <x v="9"/>
    <x v="9"/>
    <n v="1134.58"/>
    <s v="OK"/>
  </r>
  <r>
    <s v="ORD-1905"/>
    <x v="253"/>
    <x v="1"/>
    <s v="J. Tetteh"/>
    <x v="45"/>
    <x v="2"/>
    <s v="Rice 5kg"/>
    <n v="5"/>
    <n v="193.68"/>
    <n v="0"/>
    <n v="968.4"/>
    <m/>
    <x v="10"/>
    <x v="10"/>
    <n v="968.40000000000009"/>
    <s v="OK"/>
  </r>
  <r>
    <s v="ORD-2020"/>
    <x v="191"/>
    <x v="1"/>
    <s v="P. Amoah"/>
    <x v="141"/>
    <x v="4"/>
    <s v="Power Bank"/>
    <n v="11"/>
    <n v="163.05000000000001"/>
    <n v="0.1"/>
    <n v="1614.2"/>
    <m/>
    <x v="2"/>
    <x v="2"/>
    <n v="1614.1950000000002"/>
    <s v="OK"/>
  </r>
  <r>
    <s v="ORD-2711"/>
    <x v="316"/>
    <x v="1"/>
    <s v="S. Addo"/>
    <x v="110"/>
    <x v="0"/>
    <s v="Leather Wallet"/>
    <n v="9"/>
    <n v="18.100000000000001"/>
    <n v="0"/>
    <n v="162.9"/>
    <m/>
    <x v="1"/>
    <x v="1"/>
    <n v="162.9"/>
    <s v="OK"/>
  </r>
  <r>
    <s v="ORD-1946"/>
    <x v="233"/>
    <x v="4"/>
    <s v="S. Addo"/>
    <x v="69"/>
    <x v="1"/>
    <s v="Storage Containers"/>
    <n v="12"/>
    <n v="69.39"/>
    <n v="0"/>
    <n v="832.68"/>
    <m/>
    <x v="0"/>
    <x v="0"/>
    <n v="832.68000000000006"/>
    <s v="OK"/>
  </r>
  <r>
    <s v="ORD-2083"/>
    <x v="174"/>
    <x v="2"/>
    <s v="P. Amoah"/>
    <x v="160"/>
    <x v="1"/>
    <s v="Blender"/>
    <n v="8"/>
    <n v="161.24"/>
    <n v="0.1"/>
    <n v="1160.93"/>
    <m/>
    <x v="9"/>
    <x v="9"/>
    <n v="1160.9280000000001"/>
    <s v="OK"/>
  </r>
  <r>
    <s v="ORD-2433"/>
    <x v="317"/>
    <x v="0"/>
    <s v="R. Ofori"/>
    <x v="12"/>
    <x v="1"/>
    <s v="Storage Containers"/>
    <n v="5"/>
    <n v="139.03"/>
    <n v="0"/>
    <n v="695.15"/>
    <m/>
    <x v="11"/>
    <x v="11"/>
    <n v="695.15"/>
    <s v="OK"/>
  </r>
  <r>
    <s v="ORD-2227"/>
    <x v="43"/>
    <x v="1"/>
    <s v="R. Ofori"/>
    <x v="142"/>
    <x v="2"/>
    <s v="Pasta Pack"/>
    <n v="9"/>
    <n v="165.59"/>
    <n v="0"/>
    <n v="1490.31"/>
    <m/>
    <x v="11"/>
    <x v="11"/>
    <n v="1490.31"/>
    <s v="OK"/>
  </r>
  <r>
    <s v="ORD-2438"/>
    <x v="227"/>
    <x v="3"/>
    <s v="M. Ansah"/>
    <x v="84"/>
    <x v="1"/>
    <s v="Table Lamp"/>
    <n v="12"/>
    <n v="231.88"/>
    <n v="0.1"/>
    <n v="2504.3000000000002"/>
    <m/>
    <x v="10"/>
    <x v="10"/>
    <n v="2504.3040000000001"/>
    <s v="OK"/>
  </r>
  <r>
    <s v="ORD-2306"/>
    <x v="192"/>
    <x v="1"/>
    <s v="M. Ansah"/>
    <x v="45"/>
    <x v="1"/>
    <s v="Storage Containers"/>
    <n v="3"/>
    <n v="97.95"/>
    <n v="0"/>
    <n v="293.85000000000002"/>
    <m/>
    <x v="9"/>
    <x v="9"/>
    <n v="293.85000000000002"/>
    <s v="OK"/>
  </r>
  <r>
    <s v="ORD-2628"/>
    <x v="34"/>
    <x v="1"/>
    <s v="J. Tetteh"/>
    <x v="50"/>
    <x v="1"/>
    <s v="Electric Kettle"/>
    <n v="5"/>
    <n v="9.25"/>
    <n v="0"/>
    <n v="46.25"/>
    <m/>
    <x v="6"/>
    <x v="6"/>
    <n v="46.25"/>
    <s v="OK"/>
  </r>
  <r>
    <s v="ORD-2127"/>
    <x v="193"/>
    <x v="2"/>
    <s v="P. Amoah"/>
    <x v="146"/>
    <x v="0"/>
    <s v="Cotton T-Shirt"/>
    <n v="9"/>
    <n v="194.23"/>
    <n v="0.05"/>
    <n v="1660.67"/>
    <m/>
    <x v="9"/>
    <x v="9"/>
    <n v="1660.6664999999998"/>
    <s v="OK"/>
  </r>
  <r>
    <s v="ORD-2658"/>
    <x v="153"/>
    <x v="0"/>
    <s v="P. Amoah"/>
    <x v="124"/>
    <x v="1"/>
    <s v="Blender"/>
    <n v="5"/>
    <n v="202.92"/>
    <n v="0.15"/>
    <n v="862.41"/>
    <m/>
    <x v="3"/>
    <x v="3"/>
    <n v="862.40999999999985"/>
    <s v="OK"/>
  </r>
  <r>
    <s v="ORD-2072"/>
    <x v="195"/>
    <x v="4"/>
    <s v="P. Amoah"/>
    <x v="196"/>
    <x v="0"/>
    <s v="Sneakers"/>
    <n v="8"/>
    <n v="61.9"/>
    <n v="0"/>
    <n v="495.2"/>
    <m/>
    <x v="1"/>
    <x v="1"/>
    <n v="495.2"/>
    <s v="OK"/>
  </r>
  <r>
    <s v="ORD-1728"/>
    <x v="261"/>
    <x v="4"/>
    <s v="M. Ansah"/>
    <x v="25"/>
    <x v="0"/>
    <s v="Sneakers"/>
    <n v="11"/>
    <n v="191.61"/>
    <n v="0.05"/>
    <n v="2002.32"/>
    <m/>
    <x v="11"/>
    <x v="11"/>
    <n v="2002.3244999999999"/>
    <s v="OK"/>
  </r>
  <r>
    <s v="ORD-1336"/>
    <x v="243"/>
    <x v="4"/>
    <s v="S. Addo"/>
    <x v="15"/>
    <x v="0"/>
    <s v="Denim Jeans"/>
    <n v="11"/>
    <n v="212.13"/>
    <n v="0.1"/>
    <n v="2100.09"/>
    <m/>
    <x v="3"/>
    <x v="3"/>
    <n v="2100.087"/>
    <s v="OK"/>
  </r>
  <r>
    <s v="ORD-1232"/>
    <x v="81"/>
    <x v="3"/>
    <s v="M. Ansah"/>
    <x v="134"/>
    <x v="3"/>
    <s v="Lip Balm Set"/>
    <n v="8"/>
    <n v="78.78"/>
    <n v="0"/>
    <n v="630.24"/>
    <m/>
    <x v="11"/>
    <x v="11"/>
    <n v="630.24"/>
    <s v="OK"/>
  </r>
  <r>
    <s v="ORD-1828"/>
    <x v="296"/>
    <x v="0"/>
    <s v="R. Ofori"/>
    <x v="60"/>
    <x v="1"/>
    <s v="Electric Kettle"/>
    <n v="3"/>
    <n v="217.75"/>
    <n v="0"/>
    <n v="653.25"/>
    <m/>
    <x v="8"/>
    <x v="8"/>
    <n v="653.25"/>
    <s v="OK"/>
  </r>
  <r>
    <s v="ORD-2302"/>
    <x v="161"/>
    <x v="1"/>
    <s v="J. Tetteh"/>
    <x v="135"/>
    <x v="3"/>
    <s v="Lip Balm Set"/>
    <n v="1"/>
    <n v="10.26"/>
    <n v="0"/>
    <n v="10.26"/>
    <m/>
    <x v="0"/>
    <x v="0"/>
    <n v="10.26"/>
    <s v="OK"/>
  </r>
  <r>
    <s v="ORD-2508"/>
    <x v="301"/>
    <x v="4"/>
    <s v="M. Ansah"/>
    <x v="181"/>
    <x v="0"/>
    <s v="Sunglasses"/>
    <n v="9"/>
    <n v="97"/>
    <n v="0.05"/>
    <n v="829.35"/>
    <m/>
    <x v="9"/>
    <x v="9"/>
    <n v="829.34999999999991"/>
    <s v="OK"/>
  </r>
  <r>
    <s v="ORD-1468"/>
    <x v="215"/>
    <x v="4"/>
    <s v="J. Tetteh"/>
    <x v="22"/>
    <x v="3"/>
    <s v="Shea Butter Lotion"/>
    <n v="4"/>
    <n v="29.8"/>
    <n v="0.1"/>
    <n v="107.28"/>
    <m/>
    <x v="7"/>
    <x v="7"/>
    <n v="107.28"/>
    <s v="OK"/>
  </r>
  <r>
    <s v="ORD-1720"/>
    <x v="167"/>
    <x v="1"/>
    <s v="M. Ansah"/>
    <x v="156"/>
    <x v="0"/>
    <s v="Leather Wallet"/>
    <n v="9"/>
    <n v="30.78"/>
    <n v="0.1"/>
    <n v="249.32"/>
    <m/>
    <x v="4"/>
    <x v="4"/>
    <n v="249.31799999999998"/>
    <s v="OK"/>
  </r>
  <r>
    <s v="ORD-1936"/>
    <x v="316"/>
    <x v="2"/>
    <s v="R. Ofori"/>
    <x v="95"/>
    <x v="4"/>
    <s v="Laptop Stand"/>
    <n v="11"/>
    <n v="157.05000000000001"/>
    <n v="0"/>
    <n v="1727.55"/>
    <m/>
    <x v="1"/>
    <x v="1"/>
    <n v="1727.5500000000002"/>
    <s v="OK"/>
  </r>
  <r>
    <s v="ORD-1892"/>
    <x v="151"/>
    <x v="4"/>
    <s v="M. Ansah"/>
    <x v="159"/>
    <x v="0"/>
    <s v="Sneakers"/>
    <n v="9"/>
    <n v="51.97"/>
    <n v="0.15"/>
    <n v="397.57"/>
    <m/>
    <x v="6"/>
    <x v="6"/>
    <n v="397.57049999999998"/>
    <s v="OK"/>
  </r>
  <r>
    <s v="ORD-2028"/>
    <x v="226"/>
    <x v="3"/>
    <s v="S. Addo"/>
    <x v="1"/>
    <x v="1"/>
    <s v="Non-stick Pan"/>
    <n v="7"/>
    <n v="186.83"/>
    <n v="0.1"/>
    <n v="1177.03"/>
    <m/>
    <x v="7"/>
    <x v="7"/>
    <n v="1177.0290000000002"/>
    <s v="OK"/>
  </r>
  <r>
    <s v="ORD-1585"/>
    <x v="318"/>
    <x v="2"/>
    <s v="S. Addo"/>
    <x v="134"/>
    <x v="3"/>
    <s v="Hair Oil"/>
    <n v="11"/>
    <n v="181.36"/>
    <n v="0"/>
    <n v="1994.96"/>
    <m/>
    <x v="11"/>
    <x v="11"/>
    <n v="1994.96"/>
    <s v="OK"/>
  </r>
  <r>
    <s v="ORD-1205"/>
    <x v="292"/>
    <x v="1"/>
    <s v="P. Amoah"/>
    <x v="93"/>
    <x v="4"/>
    <s v="USB-C Cable"/>
    <n v="5"/>
    <n v="39.33"/>
    <n v="0"/>
    <n v="196.65"/>
    <m/>
    <x v="7"/>
    <x v="7"/>
    <n v="196.64999999999998"/>
    <s v="OK"/>
  </r>
  <r>
    <s v="ORD-1003"/>
    <x v="68"/>
    <x v="1"/>
    <s v="J. Tetteh"/>
    <x v="98"/>
    <x v="4"/>
    <s v="Laptop Stand"/>
    <n v="11"/>
    <n v="140.25"/>
    <n v="0.1"/>
    <n v="1388.48"/>
    <m/>
    <x v="9"/>
    <x v="9"/>
    <n v="1388.4750000000001"/>
    <s v="OK"/>
  </r>
  <r>
    <s v="ORD-2038"/>
    <x v="206"/>
    <x v="3"/>
    <s v="P. Amoah"/>
    <x v="66"/>
    <x v="4"/>
    <s v="Wireless Earbuds"/>
    <n v="12"/>
    <n v="172.08"/>
    <n v="0"/>
    <n v="2064.96"/>
    <m/>
    <x v="8"/>
    <x v="8"/>
    <n v="2064.96"/>
    <s v="OK"/>
  </r>
  <r>
    <s v="ORD-1748"/>
    <x v="187"/>
    <x v="4"/>
    <s v="R. Ofori"/>
    <x v="84"/>
    <x v="3"/>
    <s v="Face Wash"/>
    <n v="12"/>
    <n v="73.790000000000006"/>
    <n v="0.15"/>
    <n v="752.66"/>
    <m/>
    <x v="9"/>
    <x v="9"/>
    <n v="752.65800000000002"/>
    <s v="OK"/>
  </r>
  <r>
    <s v="ORD-2604"/>
    <x v="142"/>
    <x v="3"/>
    <s v="P. Amoah"/>
    <x v="97"/>
    <x v="2"/>
    <s v="Rice 5kg"/>
    <n v="5"/>
    <n v="137.03"/>
    <n v="0"/>
    <n v="685.15"/>
    <m/>
    <x v="9"/>
    <x v="9"/>
    <n v="685.15"/>
    <s v="OK"/>
  </r>
  <r>
    <s v="ORD-2679"/>
    <x v="231"/>
    <x v="0"/>
    <s v="R. Ofori"/>
    <x v="84"/>
    <x v="2"/>
    <s v="Rice 5kg"/>
    <n v="4"/>
    <n v="88.72"/>
    <n v="0"/>
    <n v="354.88"/>
    <m/>
    <x v="9"/>
    <x v="9"/>
    <n v="354.88"/>
    <s v="OK"/>
  </r>
  <r>
    <s v="ORD-2629"/>
    <x v="319"/>
    <x v="2"/>
    <s v="J. Tetteh"/>
    <x v="173"/>
    <x v="4"/>
    <s v="Power Bank"/>
    <n v="3"/>
    <n v="89.99"/>
    <n v="0"/>
    <n v="269.97000000000003"/>
    <m/>
    <x v="10"/>
    <x v="10"/>
    <n v="269.96999999999997"/>
    <s v="OK"/>
  </r>
  <r>
    <s v="ORD-1693"/>
    <x v="106"/>
    <x v="3"/>
    <s v="J. Tetteh"/>
    <x v="141"/>
    <x v="1"/>
    <s v="Electric Kettle"/>
    <n v="12"/>
    <n v="81.92"/>
    <n v="0.05"/>
    <n v="933.89"/>
    <m/>
    <x v="10"/>
    <x v="10"/>
    <n v="933.88799999999992"/>
    <s v="OK"/>
  </r>
  <r>
    <s v="ORD-2528"/>
    <x v="320"/>
    <x v="2"/>
    <s v="R. Ofori"/>
    <x v="188"/>
    <x v="0"/>
    <s v="Leather Wallet"/>
    <n v="11"/>
    <n v="88.28"/>
    <n v="0"/>
    <n v="971.08"/>
    <m/>
    <x v="7"/>
    <x v="7"/>
    <n v="971.08"/>
    <s v="OK"/>
  </r>
  <r>
    <s v="ORD-2509"/>
    <x v="321"/>
    <x v="2"/>
    <s v="J. Tetteh"/>
    <x v="28"/>
    <x v="1"/>
    <s v="Blender"/>
    <n v="11"/>
    <n v="101.68"/>
    <n v="0.1"/>
    <n v="1006.63"/>
    <m/>
    <x v="5"/>
    <x v="5"/>
    <n v="1006.6320000000001"/>
    <s v="OK"/>
  </r>
  <r>
    <s v="ORD-1714"/>
    <x v="158"/>
    <x v="1"/>
    <s v="J. Tetteh"/>
    <x v="43"/>
    <x v="4"/>
    <s v="Laptop Stand"/>
    <n v="11"/>
    <n v="107.73"/>
    <n v="0.15"/>
    <n v="1007.28"/>
    <m/>
    <x v="8"/>
    <x v="8"/>
    <n v="1007.2755"/>
    <s v="OK"/>
  </r>
  <r>
    <s v="ORD-2203"/>
    <x v="283"/>
    <x v="1"/>
    <s v="S. Addo"/>
    <x v="145"/>
    <x v="3"/>
    <s v="Hair Oil"/>
    <n v="6"/>
    <n v="74.25"/>
    <n v="0.15"/>
    <n v="378.68"/>
    <m/>
    <x v="5"/>
    <x v="5"/>
    <n v="378.67500000000001"/>
    <s v="OK"/>
  </r>
  <r>
    <s v="ORD-2687"/>
    <x v="313"/>
    <x v="3"/>
    <s v="P. Amoah"/>
    <x v="171"/>
    <x v="4"/>
    <s v="Wireless Earbuds"/>
    <n v="11"/>
    <n v="19.350000000000001"/>
    <n v="0.05"/>
    <n v="202.21"/>
    <m/>
    <x v="4"/>
    <x v="4"/>
    <n v="202.20750000000001"/>
    <s v="OK"/>
  </r>
  <r>
    <s v="ORD-2707"/>
    <x v="174"/>
    <x v="3"/>
    <s v="P. Amoah"/>
    <x v="159"/>
    <x v="1"/>
    <s v="Blender"/>
    <n v="8"/>
    <n v="205.81"/>
    <n v="0"/>
    <n v="1646.48"/>
    <m/>
    <x v="9"/>
    <x v="9"/>
    <n v="1646.48"/>
    <s v="OK"/>
  </r>
  <r>
    <s v="ORD-1833"/>
    <x v="90"/>
    <x v="4"/>
    <s v="M. Ansah"/>
    <x v="168"/>
    <x v="3"/>
    <s v="Shea Butter Lotion"/>
    <n v="11"/>
    <n v="156.5"/>
    <n v="0.05"/>
    <n v="1635.42"/>
    <m/>
    <x v="9"/>
    <x v="9"/>
    <n v="1635.425"/>
    <s v="MISMATCH"/>
  </r>
  <r>
    <s v="ORD-2649"/>
    <x v="322"/>
    <x v="1"/>
    <s v="J. Tetteh"/>
    <x v="3"/>
    <x v="3"/>
    <s v="Shea Butter Lotion"/>
    <n v="2"/>
    <n v="217.77"/>
    <n v="0"/>
    <n v="435.54"/>
    <m/>
    <x v="11"/>
    <x v="11"/>
    <n v="435.54"/>
    <s v="OK"/>
  </r>
  <r>
    <s v="ORD-2010"/>
    <x v="218"/>
    <x v="1"/>
    <s v="R. Ofori"/>
    <x v="130"/>
    <x v="0"/>
    <s v="Sneakers"/>
    <n v="1"/>
    <n v="228.58"/>
    <n v="0.05"/>
    <n v="217.15"/>
    <m/>
    <x v="10"/>
    <x v="10"/>
    <n v="217.15100000000001"/>
    <s v="OK"/>
  </r>
  <r>
    <s v="ORD-2102"/>
    <x v="323"/>
    <x v="1"/>
    <s v="J. Tetteh"/>
    <x v="56"/>
    <x v="2"/>
    <s v="Pasta Pack"/>
    <n v="1"/>
    <n v="97.04"/>
    <n v="0"/>
    <n v="97.04"/>
    <m/>
    <x v="10"/>
    <x v="10"/>
    <n v="97.04"/>
    <s v="OK"/>
  </r>
  <r>
    <s v="ORD-2626"/>
    <x v="151"/>
    <x v="4"/>
    <s v="J. Tetteh"/>
    <x v="131"/>
    <x v="4"/>
    <s v="Power Bank"/>
    <n v="8"/>
    <n v="191.44"/>
    <n v="0.1"/>
    <n v="1378.37"/>
    <m/>
    <x v="6"/>
    <x v="6"/>
    <n v="1378.3679999999999"/>
    <s v="OK"/>
  </r>
  <r>
    <s v="ORD-1157"/>
    <x v="125"/>
    <x v="0"/>
    <s v="R. Ofori"/>
    <x v="193"/>
    <x v="3"/>
    <s v="Shea Butter Lotion"/>
    <n v="8"/>
    <n v="175.03"/>
    <n v="0"/>
    <n v="1400.24"/>
    <m/>
    <x v="7"/>
    <x v="7"/>
    <n v="1400.24"/>
    <s v="OK"/>
  </r>
  <r>
    <s v="ORD-2138"/>
    <x v="324"/>
    <x v="2"/>
    <s v="R. Ofori"/>
    <x v="35"/>
    <x v="2"/>
    <s v="Cooking Oil 1L"/>
    <n v="2"/>
    <n v="191.95"/>
    <n v="0.05"/>
    <n v="364.7"/>
    <m/>
    <x v="4"/>
    <x v="4"/>
    <n v="364.70499999999998"/>
    <s v="MISMATCH"/>
  </r>
  <r>
    <s v="ORD-2587"/>
    <x v="260"/>
    <x v="3"/>
    <s v="R. Ofori"/>
    <x v="15"/>
    <x v="2"/>
    <s v="Pasta Pack"/>
    <n v="10"/>
    <n v="214.97"/>
    <n v="0.05"/>
    <n v="2042.21"/>
    <m/>
    <x v="7"/>
    <x v="7"/>
    <n v="2042.2149999999997"/>
    <s v="MISMATCH"/>
  </r>
  <r>
    <s v="ORD-1462"/>
    <x v="24"/>
    <x v="1"/>
    <s v="S. Addo"/>
    <x v="86"/>
    <x v="3"/>
    <s v="Shampoo 400ml"/>
    <n v="11"/>
    <n v="116.25"/>
    <n v="0.1"/>
    <n v="1150.8800000000001"/>
    <m/>
    <x v="5"/>
    <x v="5"/>
    <n v="1150.875"/>
    <s v="OK"/>
  </r>
  <r>
    <s v="ORD-1652"/>
    <x v="218"/>
    <x v="0"/>
    <s v="S. Addo"/>
    <x v="101"/>
    <x v="3"/>
    <s v="Shea Butter Lotion"/>
    <n v="12"/>
    <n v="63.89"/>
    <n v="0.15"/>
    <n v="651.67999999999995"/>
    <m/>
    <x v="10"/>
    <x v="10"/>
    <n v="651.678"/>
    <s v="OK"/>
  </r>
  <r>
    <s v="ORD-1160"/>
    <x v="256"/>
    <x v="0"/>
    <s v="R. Ofori"/>
    <x v="173"/>
    <x v="0"/>
    <s v="Sunglasses"/>
    <n v="2"/>
    <n v="154.93"/>
    <n v="0"/>
    <n v="309.86"/>
    <m/>
    <x v="3"/>
    <x v="3"/>
    <n v="309.86"/>
    <s v="OK"/>
  </r>
  <r>
    <s v="ORD-1305"/>
    <x v="325"/>
    <x v="4"/>
    <s v="S. Addo"/>
    <x v="19"/>
    <x v="0"/>
    <s v="Denim Jeans"/>
    <n v="12"/>
    <n v="97.7"/>
    <n v="0.15"/>
    <n v="996.54"/>
    <m/>
    <x v="7"/>
    <x v="7"/>
    <n v="996.54000000000008"/>
    <s v="OK"/>
  </r>
  <r>
    <s v="ORD-1656"/>
    <x v="307"/>
    <x v="0"/>
    <s v="J. Tetteh"/>
    <x v="149"/>
    <x v="4"/>
    <s v="Laptop Stand"/>
    <n v="2"/>
    <n v="152.38999999999999"/>
    <n v="0.05"/>
    <n v="289.54000000000002"/>
    <m/>
    <x v="0"/>
    <x v="0"/>
    <n v="289.54099999999994"/>
    <s v="OK"/>
  </r>
  <r>
    <s v="ORD-1547"/>
    <x v="133"/>
    <x v="1"/>
    <s v="J. Tetteh"/>
    <x v="29"/>
    <x v="0"/>
    <s v="Cotton T-Shirt"/>
    <n v="2"/>
    <n v="118.91"/>
    <n v="0.1"/>
    <n v="214.04"/>
    <m/>
    <x v="11"/>
    <x v="11"/>
    <n v="214.03800000000001"/>
    <s v="OK"/>
  </r>
  <r>
    <s v="ORD-1713"/>
    <x v="30"/>
    <x v="2"/>
    <s v="J. Tetteh"/>
    <x v="197"/>
    <x v="2"/>
    <s v="Cooking Oil 1L"/>
    <n v="3"/>
    <n v="82.13"/>
    <n v="0.05"/>
    <n v="234.07"/>
    <m/>
    <x v="0"/>
    <x v="0"/>
    <n v="234.07049999999998"/>
    <s v="OK"/>
  </r>
  <r>
    <s v="ORD-1395"/>
    <x v="260"/>
    <x v="4"/>
    <s v="P. Amoah"/>
    <x v="62"/>
    <x v="3"/>
    <s v="Shea Butter Lotion"/>
    <n v="11"/>
    <n v="184.72"/>
    <n v="0"/>
    <n v="2031.92"/>
    <m/>
    <x v="7"/>
    <x v="7"/>
    <n v="2031.92"/>
    <s v="OK"/>
  </r>
  <r>
    <s v="ORD-1399"/>
    <x v="88"/>
    <x v="0"/>
    <s v="R. Ofori"/>
    <x v="157"/>
    <x v="2"/>
    <s v="Sugar 1kg"/>
    <n v="4"/>
    <n v="69.77"/>
    <n v="0"/>
    <n v="279.08"/>
    <m/>
    <x v="7"/>
    <x v="7"/>
    <n v="279.08"/>
    <s v="OK"/>
  </r>
  <r>
    <s v="ORD-2305"/>
    <x v="326"/>
    <x v="2"/>
    <s v="P. Amoah"/>
    <x v="85"/>
    <x v="3"/>
    <s v="Lip Balm Set"/>
    <n v="5"/>
    <n v="176.47"/>
    <n v="0.15"/>
    <n v="750"/>
    <m/>
    <x v="5"/>
    <x v="5"/>
    <n v="749.99749999999995"/>
    <s v="OK"/>
  </r>
  <r>
    <s v="ORD-2504"/>
    <x v="7"/>
    <x v="0"/>
    <s v="J. Tetteh"/>
    <x v="107"/>
    <x v="1"/>
    <s v="Table Lamp"/>
    <n v="5"/>
    <n v="158.65"/>
    <n v="0.15"/>
    <n v="674.26"/>
    <m/>
    <x v="7"/>
    <x v="7"/>
    <n v="674.26249999999993"/>
    <s v="OK"/>
  </r>
  <r>
    <s v="ORD-2470"/>
    <x v="109"/>
    <x v="3"/>
    <s v="S. Addo"/>
    <x v="8"/>
    <x v="4"/>
    <s v="Power Bank"/>
    <n v="1"/>
    <n v="106.81"/>
    <n v="0"/>
    <n v="106.81"/>
    <m/>
    <x v="8"/>
    <x v="8"/>
    <n v="106.81"/>
    <s v="OK"/>
  </r>
  <r>
    <s v="ORD-2259"/>
    <x v="327"/>
    <x v="3"/>
    <s v="S. Addo"/>
    <x v="126"/>
    <x v="3"/>
    <s v="Hair Oil"/>
    <n v="6"/>
    <n v="20.63"/>
    <n v="0"/>
    <n v="123.78"/>
    <m/>
    <x v="6"/>
    <x v="6"/>
    <n v="123.78"/>
    <s v="OK"/>
  </r>
  <r>
    <s v="ORD-1736"/>
    <x v="48"/>
    <x v="3"/>
    <s v="J. Tetteh"/>
    <x v="24"/>
    <x v="0"/>
    <s v="Leather Wallet"/>
    <n v="10"/>
    <n v="189.27"/>
    <n v="0"/>
    <n v="1892.7"/>
    <m/>
    <x v="7"/>
    <x v="7"/>
    <n v="1892.7"/>
    <s v="OK"/>
  </r>
  <r>
    <s v="ORD-2531"/>
    <x v="146"/>
    <x v="4"/>
    <s v="S. Addo"/>
    <x v="172"/>
    <x v="3"/>
    <s v="Shea Butter Lotion"/>
    <n v="5"/>
    <n v="248.32"/>
    <n v="0"/>
    <n v="1241.5999999999999"/>
    <m/>
    <x v="4"/>
    <x v="4"/>
    <n v="1241.5999999999999"/>
    <s v="OK"/>
  </r>
  <r>
    <s v="ORD-1863"/>
    <x v="118"/>
    <x v="4"/>
    <s v="R. Ofori"/>
    <x v="169"/>
    <x v="2"/>
    <s v="Cooking Oil 1L"/>
    <n v="2"/>
    <n v="23.99"/>
    <n v="0.1"/>
    <n v="43.18"/>
    <m/>
    <x v="6"/>
    <x v="6"/>
    <n v="43.181999999999995"/>
    <s v="OK"/>
  </r>
  <r>
    <s v="ORD-1459"/>
    <x v="244"/>
    <x v="4"/>
    <s v="P. Amoah"/>
    <x v="109"/>
    <x v="4"/>
    <s v="Wireless Earbuds"/>
    <n v="6"/>
    <n v="124.52"/>
    <n v="0.1"/>
    <n v="672.41"/>
    <m/>
    <x v="0"/>
    <x v="0"/>
    <n v="672.40800000000002"/>
    <s v="OK"/>
  </r>
  <r>
    <s v="ORD-1062"/>
    <x v="328"/>
    <x v="4"/>
    <s v="R. Ofori"/>
    <x v="111"/>
    <x v="2"/>
    <s v="Pasta Pack"/>
    <n v="8"/>
    <n v="91.19"/>
    <n v="0"/>
    <n v="729.52"/>
    <m/>
    <x v="5"/>
    <x v="5"/>
    <n v="729.52"/>
    <s v="OK"/>
  </r>
  <r>
    <s v="ORD-1935"/>
    <x v="305"/>
    <x v="0"/>
    <s v="R. Ofori"/>
    <x v="112"/>
    <x v="4"/>
    <s v="Smartphone Case"/>
    <n v="9"/>
    <n v="113"/>
    <n v="0.1"/>
    <n v="915.3"/>
    <m/>
    <x v="8"/>
    <x v="8"/>
    <n v="915.30000000000007"/>
    <s v="OK"/>
  </r>
  <r>
    <s v="ORD-1798"/>
    <x v="312"/>
    <x v="2"/>
    <s v="M. Ansah"/>
    <x v="19"/>
    <x v="2"/>
    <s v="Rice 5kg"/>
    <n v="5"/>
    <n v="120.34"/>
    <n v="0"/>
    <n v="601.70000000000005"/>
    <m/>
    <x v="4"/>
    <x v="4"/>
    <n v="601.70000000000005"/>
    <s v="OK"/>
  </r>
  <r>
    <s v="ORD-1457"/>
    <x v="245"/>
    <x v="3"/>
    <s v="J. Tetteh"/>
    <x v="13"/>
    <x v="4"/>
    <s v="Bluetooth Speaker"/>
    <n v="7"/>
    <n v="148.25"/>
    <n v="0"/>
    <n v="1037.75"/>
    <m/>
    <x v="11"/>
    <x v="11"/>
    <n v="1037.75"/>
    <s v="OK"/>
  </r>
  <r>
    <s v="ORD-2418"/>
    <x v="196"/>
    <x v="2"/>
    <s v="M. Ansah"/>
    <x v="39"/>
    <x v="4"/>
    <s v="USB-C Cable"/>
    <n v="1"/>
    <n v="65.180000000000007"/>
    <n v="0"/>
    <n v="65.180000000000007"/>
    <m/>
    <x v="11"/>
    <x v="11"/>
    <n v="65.180000000000007"/>
    <s v="OK"/>
  </r>
  <r>
    <s v="ORD-1478"/>
    <x v="181"/>
    <x v="2"/>
    <s v="P. Amoah"/>
    <x v="42"/>
    <x v="3"/>
    <s v="Shea Butter Lotion"/>
    <n v="4"/>
    <n v="128.09"/>
    <n v="0"/>
    <n v="512.36"/>
    <m/>
    <x v="11"/>
    <x v="11"/>
    <n v="512.36"/>
    <s v="OK"/>
  </r>
  <r>
    <s v="ORD-1912"/>
    <x v="181"/>
    <x v="0"/>
    <s v="J. Tetteh"/>
    <x v="102"/>
    <x v="2"/>
    <s v="Sugar 1kg"/>
    <n v="7"/>
    <n v="83.46"/>
    <n v="0.05"/>
    <n v="555.01"/>
    <m/>
    <x v="11"/>
    <x v="11"/>
    <n v="555.0089999999999"/>
    <s v="OK"/>
  </r>
  <r>
    <s v="ORD-2706"/>
    <x v="208"/>
    <x v="0"/>
    <s v="R. Ofori"/>
    <x v="140"/>
    <x v="3"/>
    <s v="Shea Butter Lotion"/>
    <n v="11"/>
    <n v="167.8"/>
    <n v="0.15"/>
    <n v="1568.93"/>
    <m/>
    <x v="7"/>
    <x v="7"/>
    <n v="1568.93"/>
    <s v="OK"/>
  </r>
  <r>
    <s v="ORD-1617"/>
    <x v="220"/>
    <x v="3"/>
    <s v="J. Tetteh"/>
    <x v="139"/>
    <x v="4"/>
    <s v="Smartphone Case"/>
    <n v="3"/>
    <n v="147.51"/>
    <n v="0"/>
    <n v="442.53"/>
    <m/>
    <x v="4"/>
    <x v="4"/>
    <n v="442.53"/>
    <s v="OK"/>
  </r>
  <r>
    <s v="ORD-2690"/>
    <x v="76"/>
    <x v="4"/>
    <s v="S. Addo"/>
    <x v="110"/>
    <x v="3"/>
    <s v="Lip Balm Set"/>
    <n v="1"/>
    <n v="97.85"/>
    <n v="0"/>
    <n v="97.85"/>
    <m/>
    <x v="8"/>
    <x v="8"/>
    <n v="97.85"/>
    <s v="OK"/>
  </r>
  <r>
    <s v="ORD-1903"/>
    <x v="228"/>
    <x v="4"/>
    <s v="M. Ansah"/>
    <x v="121"/>
    <x v="1"/>
    <s v="Non-stick Pan"/>
    <n v="4"/>
    <n v="173.4"/>
    <n v="0"/>
    <n v="693.6"/>
    <m/>
    <x v="11"/>
    <x v="11"/>
    <n v="693.6"/>
    <s v="OK"/>
  </r>
  <r>
    <s v="ORD-2301"/>
    <x v="280"/>
    <x v="0"/>
    <s v="R. Ofori"/>
    <x v="131"/>
    <x v="2"/>
    <s v="Pasta Pack"/>
    <n v="12"/>
    <n v="65.2"/>
    <n v="0"/>
    <n v="782.4"/>
    <m/>
    <x v="2"/>
    <x v="2"/>
    <n v="782.40000000000009"/>
    <s v="OK"/>
  </r>
  <r>
    <s v="ORD-2048"/>
    <x v="104"/>
    <x v="4"/>
    <s v="R. Ofori"/>
    <x v="77"/>
    <x v="1"/>
    <s v="Electric Kettle"/>
    <n v="1"/>
    <n v="166.8"/>
    <n v="0.1"/>
    <n v="150.12"/>
    <m/>
    <x v="3"/>
    <x v="3"/>
    <n v="150.12"/>
    <s v="OK"/>
  </r>
  <r>
    <s v="ORD-2483"/>
    <x v="161"/>
    <x v="2"/>
    <s v="P. Amoah"/>
    <x v="125"/>
    <x v="0"/>
    <s v="Denim Jeans"/>
    <n v="1"/>
    <n v="37.450000000000003"/>
    <n v="0"/>
    <n v="37.450000000000003"/>
    <m/>
    <x v="0"/>
    <x v="0"/>
    <n v="37.450000000000003"/>
    <s v="OK"/>
  </r>
  <r>
    <s v="ORD-1347"/>
    <x v="174"/>
    <x v="4"/>
    <s v="R. Ofori"/>
    <x v="55"/>
    <x v="4"/>
    <s v="Laptop Stand"/>
    <n v="8"/>
    <n v="139.08000000000001"/>
    <n v="0.15"/>
    <n v="945.74"/>
    <m/>
    <x v="9"/>
    <x v="9"/>
    <n v="945.74400000000003"/>
    <s v="OK"/>
  </r>
  <r>
    <s v="ORD-1837"/>
    <x v="297"/>
    <x v="4"/>
    <s v="P. Amoah"/>
    <x v="183"/>
    <x v="1"/>
    <s v="Storage Containers"/>
    <n v="11"/>
    <n v="56.85"/>
    <n v="0.15"/>
    <n v="531.54999999999995"/>
    <m/>
    <x v="11"/>
    <x v="11"/>
    <n v="531.54750000000001"/>
    <s v="OK"/>
  </r>
  <r>
    <s v="ORD-1190"/>
    <x v="255"/>
    <x v="3"/>
    <s v="M. Ansah"/>
    <x v="86"/>
    <x v="1"/>
    <s v="Table Lamp"/>
    <n v="8"/>
    <n v="44.81"/>
    <n v="0.15"/>
    <n v="304.70999999999998"/>
    <m/>
    <x v="0"/>
    <x v="0"/>
    <n v="304.70800000000003"/>
    <s v="OK"/>
  </r>
  <r>
    <s v="ORD-2104"/>
    <x v="43"/>
    <x v="0"/>
    <s v="S. Addo"/>
    <x v="19"/>
    <x v="3"/>
    <s v="Hair Oil"/>
    <n v="12"/>
    <n v="248.96"/>
    <n v="0.15"/>
    <n v="2539.39"/>
    <m/>
    <x v="11"/>
    <x v="11"/>
    <n v="2539.3919999999998"/>
    <s v="OK"/>
  </r>
  <r>
    <s v="ORD-1760"/>
    <x v="89"/>
    <x v="4"/>
    <s v="J. Tetteh"/>
    <x v="106"/>
    <x v="0"/>
    <s v="Sunglasses"/>
    <n v="4"/>
    <n v="150.26"/>
    <n v="0.1"/>
    <n v="540.94000000000005"/>
    <m/>
    <x v="6"/>
    <x v="6"/>
    <n v="540.93600000000004"/>
    <s v="OK"/>
  </r>
  <r>
    <s v="ORD-1446"/>
    <x v="318"/>
    <x v="1"/>
    <s v="R. Ofori"/>
    <x v="129"/>
    <x v="3"/>
    <s v="Lip Balm Set"/>
    <n v="8"/>
    <n v="202.15"/>
    <n v="0"/>
    <n v="1617.2"/>
    <m/>
    <x v="11"/>
    <x v="11"/>
    <n v="1617.2"/>
    <s v="OK"/>
  </r>
  <r>
    <s v="ORD-1650"/>
    <x v="183"/>
    <x v="0"/>
    <s v="Unassigned"/>
    <x v="118"/>
    <x v="2"/>
    <s v="Pasta Pack"/>
    <n v="8"/>
    <n v="158.12"/>
    <n v="0.15"/>
    <n v="1075.22"/>
    <m/>
    <x v="9"/>
    <x v="9"/>
    <n v="1075.2159999999999"/>
    <s v="OK"/>
  </r>
  <r>
    <s v="ORD-2134"/>
    <x v="268"/>
    <x v="1"/>
    <s v="J. Tetteh"/>
    <x v="155"/>
    <x v="0"/>
    <s v="Sunglasses"/>
    <n v="10"/>
    <n v="230.98"/>
    <n v="0.15"/>
    <n v="1963.33"/>
    <m/>
    <x v="11"/>
    <x v="11"/>
    <n v="1963.3299999999997"/>
    <s v="OK"/>
  </r>
  <r>
    <s v="ORD-2638"/>
    <x v="9"/>
    <x v="2"/>
    <s v="S. Addo"/>
    <x v="12"/>
    <x v="1"/>
    <s v="Blender"/>
    <n v="2"/>
    <n v="210.71"/>
    <n v="0.15"/>
    <n v="358.21"/>
    <m/>
    <x v="2"/>
    <x v="2"/>
    <n v="358.20699999999999"/>
    <s v="OK"/>
  </r>
  <r>
    <s v="ORD-1379"/>
    <x v="152"/>
    <x v="0"/>
    <s v="S. Addo"/>
    <x v="96"/>
    <x v="1"/>
    <s v="Electric Kettle"/>
    <n v="10"/>
    <n v="237.83"/>
    <n v="0.1"/>
    <n v="2140.4699999999998"/>
    <m/>
    <x v="1"/>
    <x v="1"/>
    <n v="2140.4700000000003"/>
    <s v="OK"/>
  </r>
  <r>
    <s v="ORD-1564"/>
    <x v="145"/>
    <x v="0"/>
    <s v="P. Amoah"/>
    <x v="72"/>
    <x v="1"/>
    <s v="Table Lamp"/>
    <n v="12"/>
    <n v="228.59"/>
    <n v="0"/>
    <n v="2743.08"/>
    <m/>
    <x v="8"/>
    <x v="8"/>
    <n v="2743.08"/>
    <s v="OK"/>
  </r>
  <r>
    <s v="ORD-2586"/>
    <x v="118"/>
    <x v="3"/>
    <s v="M. Ansah"/>
    <x v="159"/>
    <x v="2"/>
    <s v="Canned Tomatoes"/>
    <n v="2"/>
    <n v="72.349999999999994"/>
    <n v="0.1"/>
    <n v="130.22999999999999"/>
    <m/>
    <x v="6"/>
    <x v="6"/>
    <n v="130.22999999999999"/>
    <s v="OK"/>
  </r>
  <r>
    <s v="ORD-2074"/>
    <x v="329"/>
    <x v="1"/>
    <s v="S. Addo"/>
    <x v="54"/>
    <x v="3"/>
    <s v="Face Wash"/>
    <n v="2"/>
    <n v="74.77"/>
    <n v="0"/>
    <n v="149.54"/>
    <m/>
    <x v="0"/>
    <x v="0"/>
    <n v="149.54"/>
    <s v="OK"/>
  </r>
  <r>
    <s v="ORD-2744"/>
    <x v="330"/>
    <x v="4"/>
    <s v="P. Amoah"/>
    <x v="102"/>
    <x v="4"/>
    <s v="USB-C Cable"/>
    <n v="6"/>
    <n v="142.63"/>
    <n v="0.15"/>
    <n v="727.41"/>
    <m/>
    <x v="5"/>
    <x v="5"/>
    <n v="727.41300000000001"/>
    <s v="OK"/>
  </r>
  <r>
    <s v="ORD-2186"/>
    <x v="255"/>
    <x v="4"/>
    <s v="R. Ofori"/>
    <x v="170"/>
    <x v="0"/>
    <s v="Sunglasses"/>
    <n v="4"/>
    <n v="195.46"/>
    <n v="0.1"/>
    <n v="703.66"/>
    <m/>
    <x v="0"/>
    <x v="0"/>
    <n v="703.65600000000006"/>
    <s v="OK"/>
  </r>
  <r>
    <s v="ORD-1231"/>
    <x v="45"/>
    <x v="3"/>
    <s v="J. Tetteh"/>
    <x v="169"/>
    <x v="3"/>
    <s v="Lip Balm Set"/>
    <n v="2"/>
    <n v="100.01"/>
    <n v="0.15"/>
    <n v="170.02"/>
    <m/>
    <x v="1"/>
    <x v="1"/>
    <n v="170.017"/>
    <s v="OK"/>
  </r>
  <r>
    <s v="ORD-2510"/>
    <x v="171"/>
    <x v="0"/>
    <s v="M. Ansah"/>
    <x v="71"/>
    <x v="3"/>
    <s v="Shampoo 400ml"/>
    <n v="10"/>
    <n v="129.56"/>
    <n v="0.1"/>
    <n v="1166.04"/>
    <m/>
    <x v="1"/>
    <x v="1"/>
    <n v="1166.04"/>
    <s v="OK"/>
  </r>
  <r>
    <s v="ORD-1382"/>
    <x v="132"/>
    <x v="0"/>
    <s v="J. Tetteh"/>
    <x v="42"/>
    <x v="0"/>
    <s v="Denim Jeans"/>
    <n v="9"/>
    <n v="243.05"/>
    <n v="0.1"/>
    <n v="1968.71"/>
    <m/>
    <x v="0"/>
    <x v="0"/>
    <n v="1968.7050000000004"/>
    <s v="OK"/>
  </r>
  <r>
    <s v="ORD-2078"/>
    <x v="331"/>
    <x v="4"/>
    <s v="R. Ofori"/>
    <x v="183"/>
    <x v="4"/>
    <s v="Laptop Stand"/>
    <n v="3"/>
    <n v="26.28"/>
    <n v="0"/>
    <n v="78.84"/>
    <m/>
    <x v="3"/>
    <x v="3"/>
    <n v="78.84"/>
    <s v="OK"/>
  </r>
  <r>
    <s v="ORD-2623"/>
    <x v="264"/>
    <x v="4"/>
    <s v="P. Amoah"/>
    <x v="19"/>
    <x v="3"/>
    <s v="Shea Butter Lotion"/>
    <n v="10"/>
    <n v="5.66"/>
    <n v="0"/>
    <n v="56.6"/>
    <m/>
    <x v="5"/>
    <x v="5"/>
    <n v="56.6"/>
    <s v="OK"/>
  </r>
  <r>
    <s v="ORD-1072"/>
    <x v="267"/>
    <x v="4"/>
    <s v="R. Ofori"/>
    <x v="86"/>
    <x v="2"/>
    <s v="Rice 5kg"/>
    <n v="10"/>
    <n v="112.25"/>
    <n v="0"/>
    <n v="1122.5"/>
    <m/>
    <x v="1"/>
    <x v="1"/>
    <n v="1122.5"/>
    <s v="OK"/>
  </r>
  <r>
    <s v="ORD-1070"/>
    <x v="12"/>
    <x v="0"/>
    <s v="Unassigned"/>
    <x v="75"/>
    <x v="0"/>
    <s v="Cotton T-Shirt"/>
    <n v="4"/>
    <n v="22.44"/>
    <n v="0"/>
    <n v="89.76"/>
    <m/>
    <x v="4"/>
    <x v="4"/>
    <n v="89.76"/>
    <s v="OK"/>
  </r>
  <r>
    <s v="ORD-2693"/>
    <x v="101"/>
    <x v="0"/>
    <s v="J. Tetteh"/>
    <x v="42"/>
    <x v="2"/>
    <s v="Canned Tomatoes"/>
    <n v="5"/>
    <n v="196.72"/>
    <n v="0"/>
    <n v="983.6"/>
    <m/>
    <x v="5"/>
    <x v="5"/>
    <n v="983.6"/>
    <s v="OK"/>
  </r>
  <r>
    <s v="ORD-2366"/>
    <x v="296"/>
    <x v="4"/>
    <s v="P. Amoah"/>
    <x v="113"/>
    <x v="3"/>
    <s v="Shampoo 400ml"/>
    <n v="9"/>
    <n v="151.69999999999999"/>
    <n v="0.15"/>
    <n v="1160.5"/>
    <m/>
    <x v="8"/>
    <x v="8"/>
    <n v="1160.5049999999999"/>
    <s v="MISMATCH"/>
  </r>
  <r>
    <s v="ORD-1171"/>
    <x v="156"/>
    <x v="2"/>
    <s v="J. Tetteh"/>
    <x v="173"/>
    <x v="1"/>
    <s v="Electric Kettle"/>
    <n v="11"/>
    <n v="126.25"/>
    <n v="0.15"/>
    <n v="1180.44"/>
    <m/>
    <x v="6"/>
    <x v="6"/>
    <n v="1180.4375"/>
    <s v="OK"/>
  </r>
  <r>
    <s v="ORD-1872"/>
    <x v="232"/>
    <x v="1"/>
    <s v="P. Amoah"/>
    <x v="28"/>
    <x v="3"/>
    <s v="Face Wash"/>
    <n v="11"/>
    <n v="241.34"/>
    <n v="0.1"/>
    <n v="2389.27"/>
    <m/>
    <x v="6"/>
    <x v="6"/>
    <n v="2389.2660000000001"/>
    <s v="OK"/>
  </r>
  <r>
    <s v="ORD-1168"/>
    <x v="107"/>
    <x v="0"/>
    <s v="M. Ansah"/>
    <x v="41"/>
    <x v="0"/>
    <s v="Leather Wallet"/>
    <n v="8"/>
    <n v="83.18"/>
    <n v="0"/>
    <n v="665.44"/>
    <m/>
    <x v="9"/>
    <x v="9"/>
    <n v="665.44"/>
    <s v="OK"/>
  </r>
  <r>
    <s v="ORD-1493"/>
    <x v="208"/>
    <x v="4"/>
    <s v="M. Ansah"/>
    <x v="98"/>
    <x v="3"/>
    <s v="Face Wash"/>
    <n v="11"/>
    <n v="147.35"/>
    <n v="0"/>
    <n v="1620.85"/>
    <m/>
    <x v="7"/>
    <x v="7"/>
    <n v="1620.85"/>
    <s v="OK"/>
  </r>
  <r>
    <s v="ORD-2747"/>
    <x v="84"/>
    <x v="2"/>
    <s v="S. Addo"/>
    <x v="87"/>
    <x v="1"/>
    <s v="Blender"/>
    <n v="9"/>
    <n v="91.19"/>
    <n v="0.15"/>
    <n v="697.6"/>
    <m/>
    <x v="6"/>
    <x v="6"/>
    <n v="697.60350000000005"/>
    <s v="OK"/>
  </r>
  <r>
    <s v="ORD-1964"/>
    <x v="272"/>
    <x v="4"/>
    <s v="S. Addo"/>
    <x v="32"/>
    <x v="3"/>
    <s v="Lip Balm Set"/>
    <n v="10"/>
    <n v="248.75"/>
    <n v="0.1"/>
    <n v="2238.75"/>
    <m/>
    <x v="2"/>
    <x v="2"/>
    <n v="2238.75"/>
    <s v="OK"/>
  </r>
  <r>
    <s v="ORD-2298"/>
    <x v="125"/>
    <x v="0"/>
    <s v="Unassigned"/>
    <x v="13"/>
    <x v="2"/>
    <s v="Pasta Pack"/>
    <n v="2"/>
    <n v="39.630000000000003"/>
    <n v="0.1"/>
    <n v="71.33"/>
    <m/>
    <x v="7"/>
    <x v="7"/>
    <n v="71.334000000000003"/>
    <s v="OK"/>
  </r>
  <r>
    <s v="ORD-1272"/>
    <x v="89"/>
    <x v="4"/>
    <s v="P. Amoah"/>
    <x v="152"/>
    <x v="1"/>
    <s v="Storage Containers"/>
    <n v="3"/>
    <n v="233.81"/>
    <n v="0.05"/>
    <n v="666.36"/>
    <m/>
    <x v="6"/>
    <x v="6"/>
    <n v="666.35850000000005"/>
    <s v="OK"/>
  </r>
  <r>
    <s v="ORD-2187"/>
    <x v="331"/>
    <x v="4"/>
    <s v="S. Addo"/>
    <x v="94"/>
    <x v="4"/>
    <s v="Smartphone Case"/>
    <n v="8"/>
    <n v="85.52"/>
    <n v="0.1"/>
    <n v="615.74"/>
    <m/>
    <x v="3"/>
    <x v="3"/>
    <n v="615.74400000000003"/>
    <s v="OK"/>
  </r>
  <r>
    <s v="ORD-1420"/>
    <x v="311"/>
    <x v="2"/>
    <s v="M. Ansah"/>
    <x v="113"/>
    <x v="3"/>
    <s v="Shampoo 400ml"/>
    <n v="2"/>
    <n v="244.03"/>
    <n v="0"/>
    <n v="488.06"/>
    <m/>
    <x v="4"/>
    <x v="4"/>
    <n v="488.06"/>
    <s v="OK"/>
  </r>
  <r>
    <s v="ORD-1094"/>
    <x v="217"/>
    <x v="2"/>
    <s v="M. Ansah"/>
    <x v="173"/>
    <x v="2"/>
    <s v="Rice 5kg"/>
    <n v="7"/>
    <n v="85.05"/>
    <n v="0"/>
    <n v="595.35"/>
    <m/>
    <x v="0"/>
    <x v="0"/>
    <n v="595.35"/>
    <s v="OK"/>
  </r>
  <r>
    <s v="ORD-2253"/>
    <x v="325"/>
    <x v="2"/>
    <s v="Unassigned"/>
    <x v="194"/>
    <x v="3"/>
    <s v="Shampoo 400ml"/>
    <n v="4"/>
    <n v="65.11"/>
    <n v="0.05"/>
    <n v="247.42"/>
    <m/>
    <x v="7"/>
    <x v="7"/>
    <n v="247.41799999999998"/>
    <s v="OK"/>
  </r>
  <r>
    <s v="ORD-2443"/>
    <x v="79"/>
    <x v="2"/>
    <s v="J. Tetteh"/>
    <x v="198"/>
    <x v="1"/>
    <s v="Table Lamp"/>
    <n v="1"/>
    <n v="248"/>
    <n v="0.05"/>
    <n v="235.6"/>
    <m/>
    <x v="4"/>
    <x v="4"/>
    <n v="235.6"/>
    <s v="OK"/>
  </r>
  <r>
    <s v="ORD-2454"/>
    <x v="48"/>
    <x v="3"/>
    <s v="S. Addo"/>
    <x v="52"/>
    <x v="1"/>
    <s v="Table Lamp"/>
    <n v="1"/>
    <n v="107.38"/>
    <n v="0.15"/>
    <n v="91.27"/>
    <m/>
    <x v="7"/>
    <x v="7"/>
    <n v="91.272999999999996"/>
    <s v="OK"/>
  </r>
  <r>
    <s v="ORD-1042"/>
    <x v="102"/>
    <x v="4"/>
    <s v="J. Tetteh"/>
    <x v="25"/>
    <x v="4"/>
    <s v="Bluetooth Speaker"/>
    <n v="10"/>
    <n v="222.1"/>
    <n v="0"/>
    <n v="2221"/>
    <m/>
    <x v="10"/>
    <x v="10"/>
    <n v="2221"/>
    <s v="OK"/>
  </r>
  <r>
    <s v="ORD-1056"/>
    <x v="75"/>
    <x v="0"/>
    <s v="R. Ofori"/>
    <x v="199"/>
    <x v="3"/>
    <s v="Shea Butter Lotion"/>
    <n v="11"/>
    <n v="21.89"/>
    <n v="0"/>
    <n v="240.79"/>
    <m/>
    <x v="4"/>
    <x v="4"/>
    <n v="240.79000000000002"/>
    <s v="OK"/>
  </r>
  <r>
    <s v="ORD-2627"/>
    <x v="332"/>
    <x v="1"/>
    <s v="S. Addo"/>
    <x v="29"/>
    <x v="3"/>
    <s v="Lip Balm Set"/>
    <n v="12"/>
    <n v="174.86"/>
    <n v="0.15"/>
    <n v="1783.57"/>
    <m/>
    <x v="4"/>
    <x v="4"/>
    <n v="1783.5720000000001"/>
    <s v="OK"/>
  </r>
  <r>
    <s v="ORD-2008"/>
    <x v="299"/>
    <x v="0"/>
    <s v="P. Amoah"/>
    <x v="164"/>
    <x v="1"/>
    <s v="Non-stick Pan"/>
    <n v="5"/>
    <n v="79.72"/>
    <n v="0.1"/>
    <n v="358.74"/>
    <m/>
    <x v="7"/>
    <x v="7"/>
    <n v="358.74"/>
    <s v="OK"/>
  </r>
  <r>
    <s v="ORD-2617"/>
    <x v="236"/>
    <x v="1"/>
    <s v="J. Tetteh"/>
    <x v="55"/>
    <x v="3"/>
    <s v="Shampoo 400ml"/>
    <n v="2"/>
    <n v="180.98"/>
    <n v="0.15"/>
    <n v="307.67"/>
    <m/>
    <x v="10"/>
    <x v="10"/>
    <n v="307.666"/>
    <s v="OK"/>
  </r>
  <r>
    <s v="ORD-2757"/>
    <x v="207"/>
    <x v="1"/>
    <s v="J. Tetteh"/>
    <x v="134"/>
    <x v="4"/>
    <s v="Wireless Earbuds"/>
    <n v="4"/>
    <n v="32.19"/>
    <n v="0.15"/>
    <n v="109.45"/>
    <m/>
    <x v="0"/>
    <x v="0"/>
    <n v="109.44599999999998"/>
    <s v="OK"/>
  </r>
  <r>
    <s v="ORD-1038"/>
    <x v="167"/>
    <x v="1"/>
    <s v="S. Addo"/>
    <x v="132"/>
    <x v="4"/>
    <s v="Laptop Stand"/>
    <n v="12"/>
    <n v="84.91"/>
    <n v="0"/>
    <n v="1018.92"/>
    <m/>
    <x v="4"/>
    <x v="4"/>
    <n v="1018.92"/>
    <s v="OK"/>
  </r>
  <r>
    <s v="ORD-1306"/>
    <x v="119"/>
    <x v="4"/>
    <s v="P. Amoah"/>
    <x v="70"/>
    <x v="1"/>
    <s v="Blender"/>
    <n v="10"/>
    <n v="152.59"/>
    <n v="0"/>
    <n v="1525.9"/>
    <m/>
    <x v="6"/>
    <x v="6"/>
    <n v="1525.9"/>
    <s v="OK"/>
  </r>
  <r>
    <s v="ORD-2166"/>
    <x v="98"/>
    <x v="2"/>
    <s v="S. Addo"/>
    <x v="83"/>
    <x v="3"/>
    <s v="Lip Balm Set"/>
    <n v="11"/>
    <n v="45.78"/>
    <n v="0.05"/>
    <n v="478.4"/>
    <m/>
    <x v="10"/>
    <x v="10"/>
    <n v="478.40100000000001"/>
    <s v="OK"/>
  </r>
  <r>
    <s v="ORD-1978"/>
    <x v="333"/>
    <x v="0"/>
    <s v="S. Addo"/>
    <x v="40"/>
    <x v="2"/>
    <s v="Pasta Pack"/>
    <n v="11"/>
    <n v="125.87"/>
    <n v="0"/>
    <n v="1384.57"/>
    <m/>
    <x v="4"/>
    <x v="4"/>
    <n v="1384.5700000000002"/>
    <s v="OK"/>
  </r>
  <r>
    <s v="ORD-1915"/>
    <x v="104"/>
    <x v="4"/>
    <s v="R. Ofori"/>
    <x v="26"/>
    <x v="3"/>
    <s v="Hair Oil"/>
    <n v="10"/>
    <n v="99.23"/>
    <n v="0.15"/>
    <n v="843.46"/>
    <m/>
    <x v="3"/>
    <x v="3"/>
    <n v="843.45500000000004"/>
    <s v="OK"/>
  </r>
  <r>
    <s v="ORD-1782"/>
    <x v="248"/>
    <x v="4"/>
    <s v="M. Ansah"/>
    <x v="164"/>
    <x v="2"/>
    <s v="Pasta Pack"/>
    <n v="9"/>
    <n v="121.24"/>
    <n v="0.1"/>
    <n v="982.04"/>
    <m/>
    <x v="7"/>
    <x v="7"/>
    <n v="982.04399999999987"/>
    <s v="OK"/>
  </r>
  <r>
    <s v="ORD-1408"/>
    <x v="257"/>
    <x v="1"/>
    <s v="S. Addo"/>
    <x v="62"/>
    <x v="3"/>
    <s v="Lip Balm Set"/>
    <n v="7"/>
    <n v="61.3"/>
    <n v="0"/>
    <n v="429.1"/>
    <m/>
    <x v="10"/>
    <x v="10"/>
    <n v="429.09999999999997"/>
    <s v="OK"/>
  </r>
  <r>
    <s v="ORD-1820"/>
    <x v="334"/>
    <x v="1"/>
    <s v="R. Ofori"/>
    <x v="178"/>
    <x v="2"/>
    <s v="Sugar 1kg"/>
    <n v="10"/>
    <n v="99.28"/>
    <n v="0"/>
    <n v="992.8"/>
    <m/>
    <x v="6"/>
    <x v="6"/>
    <n v="992.8"/>
    <s v="OK"/>
  </r>
  <r>
    <s v="ORD-1781"/>
    <x v="2"/>
    <x v="1"/>
    <s v="J. Tetteh"/>
    <x v="18"/>
    <x v="3"/>
    <s v="Shampoo 400ml"/>
    <n v="7"/>
    <n v="206.47"/>
    <n v="0.05"/>
    <n v="1373.03"/>
    <m/>
    <x v="2"/>
    <x v="2"/>
    <n v="1373.0255"/>
    <s v="OK"/>
  </r>
  <r>
    <s v="ORD-1166"/>
    <x v="302"/>
    <x v="1"/>
    <s v="R. Ofori"/>
    <x v="64"/>
    <x v="3"/>
    <s v="Hair Oil"/>
    <n v="5"/>
    <n v="162.27000000000001"/>
    <n v="0.05"/>
    <n v="770.78"/>
    <m/>
    <x v="8"/>
    <x v="8"/>
    <n v="770.78250000000003"/>
    <s v="OK"/>
  </r>
  <r>
    <s v="ORD-1534"/>
    <x v="185"/>
    <x v="3"/>
    <s v="S. Addo"/>
    <x v="24"/>
    <x v="3"/>
    <s v="Shea Butter Lotion"/>
    <n v="9"/>
    <n v="199.15"/>
    <n v="0.05"/>
    <n v="1702.73"/>
    <m/>
    <x v="5"/>
    <x v="5"/>
    <n v="1702.7325000000001"/>
    <s v="OK"/>
  </r>
  <r>
    <s v="ORD-1583"/>
    <x v="172"/>
    <x v="2"/>
    <s v="R. Ofori"/>
    <x v="173"/>
    <x v="2"/>
    <s v="Pasta Pack"/>
    <n v="2"/>
    <n v="61.37"/>
    <n v="0"/>
    <n v="122.74"/>
    <m/>
    <x v="7"/>
    <x v="7"/>
    <n v="122.74"/>
    <s v="OK"/>
  </r>
  <r>
    <s v="ORD-2741"/>
    <x v="217"/>
    <x v="4"/>
    <s v="J. Tetteh"/>
    <x v="199"/>
    <x v="4"/>
    <s v="Wireless Earbuds"/>
    <n v="1"/>
    <n v="145.72"/>
    <n v="0.1"/>
    <n v="131.15"/>
    <m/>
    <x v="0"/>
    <x v="0"/>
    <n v="131.148"/>
    <s v="OK"/>
  </r>
  <r>
    <s v="ORD-2734"/>
    <x v="261"/>
    <x v="4"/>
    <s v="R. Ofori"/>
    <x v="58"/>
    <x v="0"/>
    <s v="Cotton T-Shirt"/>
    <n v="3"/>
    <n v="70.239999999999995"/>
    <n v="0"/>
    <n v="210.72"/>
    <m/>
    <x v="11"/>
    <x v="11"/>
    <n v="210.71999999999997"/>
    <s v="OK"/>
  </r>
  <r>
    <s v="ORD-2307"/>
    <x v="271"/>
    <x v="0"/>
    <s v="R. Ofori"/>
    <x v="125"/>
    <x v="2"/>
    <s v="Pasta Pack"/>
    <n v="10"/>
    <n v="236.92"/>
    <n v="0"/>
    <n v="2369.1999999999998"/>
    <m/>
    <x v="6"/>
    <x v="6"/>
    <n v="2369.1999999999998"/>
    <s v="OK"/>
  </r>
  <r>
    <s v="ORD-2158"/>
    <x v="52"/>
    <x v="4"/>
    <s v="M. Ansah"/>
    <x v="159"/>
    <x v="2"/>
    <s v="Canned Tomatoes"/>
    <n v="1"/>
    <n v="67.64"/>
    <n v="0.15"/>
    <n v="57.49"/>
    <m/>
    <x v="4"/>
    <x v="4"/>
    <n v="57.494"/>
    <s v="OK"/>
  </r>
  <r>
    <s v="ORD-2724"/>
    <x v="98"/>
    <x v="3"/>
    <s v="J. Tetteh"/>
    <x v="172"/>
    <x v="2"/>
    <s v="Rice 5kg"/>
    <n v="11"/>
    <n v="243.25"/>
    <n v="0.05"/>
    <n v="2541.96"/>
    <m/>
    <x v="10"/>
    <x v="10"/>
    <n v="2541.9625000000001"/>
    <s v="OK"/>
  </r>
  <r>
    <s v="ORD-2025"/>
    <x v="335"/>
    <x v="3"/>
    <s v="R. Ofori"/>
    <x v="183"/>
    <x v="4"/>
    <s v="Laptop Stand"/>
    <n v="12"/>
    <n v="245.43"/>
    <n v="0"/>
    <n v="2945.16"/>
    <m/>
    <x v="2"/>
    <x v="2"/>
    <n v="2945.16"/>
    <s v="OK"/>
  </r>
  <r>
    <s v="ORD-2751"/>
    <x v="194"/>
    <x v="3"/>
    <s v="J. Tetteh"/>
    <x v="154"/>
    <x v="0"/>
    <s v="Sneakers"/>
    <n v="8"/>
    <n v="18"/>
    <n v="0"/>
    <n v="144"/>
    <m/>
    <x v="2"/>
    <x v="2"/>
    <n v="144"/>
    <s v="OK"/>
  </r>
  <r>
    <s v="ORD-1813"/>
    <x v="124"/>
    <x v="3"/>
    <s v="R. Ofori"/>
    <x v="184"/>
    <x v="2"/>
    <s v="Pasta Pack"/>
    <n v="8"/>
    <n v="20.83"/>
    <n v="0"/>
    <n v="166.64"/>
    <m/>
    <x v="8"/>
    <x v="8"/>
    <n v="166.64"/>
    <s v="OK"/>
  </r>
  <r>
    <s v="ORD-1316"/>
    <x v="226"/>
    <x v="3"/>
    <s v="S. Addo"/>
    <x v="140"/>
    <x v="4"/>
    <s v="Smartphone Case"/>
    <n v="3"/>
    <n v="143.24"/>
    <n v="0.15"/>
    <n v="365.26"/>
    <m/>
    <x v="7"/>
    <x v="7"/>
    <n v="365.262"/>
    <s v="OK"/>
  </r>
  <r>
    <s v="ORD-2180"/>
    <x v="3"/>
    <x v="4"/>
    <s v="S. Addo"/>
    <x v="119"/>
    <x v="0"/>
    <s v="Sunglasses"/>
    <n v="11"/>
    <n v="144.5"/>
    <n v="0"/>
    <n v="1589.5"/>
    <m/>
    <x v="3"/>
    <x v="3"/>
    <n v="1589.5"/>
    <s v="OK"/>
  </r>
  <r>
    <s v="ORD-2573"/>
    <x v="203"/>
    <x v="2"/>
    <s v="Unassigned"/>
    <x v="193"/>
    <x v="4"/>
    <s v="USB-C Cable"/>
    <n v="5"/>
    <n v="55.2"/>
    <n v="0"/>
    <n v="276"/>
    <m/>
    <x v="1"/>
    <x v="1"/>
    <n v="276"/>
    <s v="OK"/>
  </r>
  <r>
    <s v="ORD-1516"/>
    <x v="287"/>
    <x v="3"/>
    <s v="R. Ofori"/>
    <x v="90"/>
    <x v="4"/>
    <s v="Laptop Stand"/>
    <n v="9"/>
    <n v="86.78"/>
    <n v="0.15"/>
    <n v="663.87"/>
    <m/>
    <x v="9"/>
    <x v="9"/>
    <n v="663.86699999999996"/>
    <s v="OK"/>
  </r>
  <r>
    <s v="ORD-2344"/>
    <x v="67"/>
    <x v="1"/>
    <s v="Unassigned"/>
    <x v="68"/>
    <x v="4"/>
    <s v="Wireless Earbuds"/>
    <n v="4"/>
    <n v="235.33"/>
    <n v="0"/>
    <n v="941.32"/>
    <m/>
    <x v="3"/>
    <x v="3"/>
    <n v="941.32"/>
    <s v="OK"/>
  </r>
  <r>
    <s v="ORD-2529"/>
    <x v="250"/>
    <x v="4"/>
    <s v="R. Ofori"/>
    <x v="104"/>
    <x v="4"/>
    <s v="Laptop Stand"/>
    <n v="5"/>
    <n v="199.06"/>
    <n v="0.1"/>
    <n v="895.77"/>
    <m/>
    <x v="2"/>
    <x v="2"/>
    <n v="895.77"/>
    <s v="OK"/>
  </r>
  <r>
    <s v="ORD-2516"/>
    <x v="251"/>
    <x v="1"/>
    <s v="J. Tetteh"/>
    <x v="169"/>
    <x v="1"/>
    <s v="Non-stick Pan"/>
    <n v="5"/>
    <n v="189.37"/>
    <n v="0"/>
    <n v="946.85"/>
    <m/>
    <x v="3"/>
    <x v="3"/>
    <n v="946.85"/>
    <s v="OK"/>
  </r>
  <r>
    <s v="ORD-1533"/>
    <x v="9"/>
    <x v="1"/>
    <s v="J. Tetteh"/>
    <x v="104"/>
    <x v="2"/>
    <s v="Rice 5kg"/>
    <n v="3"/>
    <n v="118"/>
    <n v="0"/>
    <n v="354"/>
    <m/>
    <x v="2"/>
    <x v="2"/>
    <n v="354"/>
    <s v="OK"/>
  </r>
  <r>
    <s v="ORD-2525"/>
    <x v="313"/>
    <x v="0"/>
    <s v="P. Amoah"/>
    <x v="164"/>
    <x v="1"/>
    <s v="Blender"/>
    <n v="9"/>
    <n v="182.87"/>
    <n v="0.1"/>
    <n v="1481.25"/>
    <m/>
    <x v="4"/>
    <x v="4"/>
    <n v="1481.2470000000001"/>
    <s v="OK"/>
  </r>
  <r>
    <s v="ORD-1887"/>
    <x v="195"/>
    <x v="1"/>
    <s v="S. Addo"/>
    <x v="186"/>
    <x v="4"/>
    <s v="Smartphone Case"/>
    <n v="4"/>
    <n v="179.34"/>
    <n v="0"/>
    <n v="717.36"/>
    <m/>
    <x v="1"/>
    <x v="1"/>
    <n v="717.36"/>
    <s v="OK"/>
  </r>
  <r>
    <s v="ORD-1271"/>
    <x v="160"/>
    <x v="4"/>
    <s v="R. Ofori"/>
    <x v="101"/>
    <x v="3"/>
    <s v="Lip Balm Set"/>
    <n v="4"/>
    <n v="197.03"/>
    <n v="0.05"/>
    <n v="748.71"/>
    <m/>
    <x v="1"/>
    <x v="1"/>
    <n v="748.71399999999994"/>
    <s v="OK"/>
  </r>
  <r>
    <s v="ORD-1548"/>
    <x v="278"/>
    <x v="3"/>
    <s v="P. Amoah"/>
    <x v="91"/>
    <x v="1"/>
    <s v="Storage Containers"/>
    <n v="9"/>
    <n v="226.38"/>
    <n v="0"/>
    <n v="2037.42"/>
    <m/>
    <x v="2"/>
    <x v="2"/>
    <n v="2037.42"/>
    <s v="OK"/>
  </r>
  <r>
    <s v="ORD-1668"/>
    <x v="142"/>
    <x v="3"/>
    <s v="J. Tetteh"/>
    <x v="100"/>
    <x v="3"/>
    <s v="Face Wash"/>
    <n v="7"/>
    <n v="49.56"/>
    <n v="0.1"/>
    <n v="312.23"/>
    <m/>
    <x v="9"/>
    <x v="9"/>
    <n v="312.22800000000001"/>
    <s v="OK"/>
  </r>
  <r>
    <s v="ORD-2718"/>
    <x v="41"/>
    <x v="0"/>
    <s v="P. Amoah"/>
    <x v="73"/>
    <x v="3"/>
    <s v="Lip Balm Set"/>
    <n v="1"/>
    <n v="40.700000000000003"/>
    <n v="0"/>
    <n v="40.700000000000003"/>
    <m/>
    <x v="7"/>
    <x v="7"/>
    <n v="40.700000000000003"/>
    <s v="OK"/>
  </r>
  <r>
    <s v="ORD-1453"/>
    <x v="227"/>
    <x v="1"/>
    <s v="S. Addo"/>
    <x v="176"/>
    <x v="0"/>
    <s v="Sneakers"/>
    <n v="3"/>
    <n v="85.91"/>
    <n v="0"/>
    <n v="257.73"/>
    <m/>
    <x v="10"/>
    <x v="10"/>
    <n v="257.73"/>
    <s v="OK"/>
  </r>
  <r>
    <s v="ORD-1606"/>
    <x v="17"/>
    <x v="1"/>
    <s v="S. Addo"/>
    <x v="26"/>
    <x v="4"/>
    <s v="Laptop Stand"/>
    <n v="5"/>
    <n v="121.11"/>
    <n v="0.1"/>
    <n v="545"/>
    <m/>
    <x v="8"/>
    <x v="8"/>
    <n v="544.995"/>
    <s v="OK"/>
  </r>
  <r>
    <s v="ORD-2552"/>
    <x v="282"/>
    <x v="3"/>
    <s v="P. Amoah"/>
    <x v="79"/>
    <x v="4"/>
    <s v="Power Bank"/>
    <n v="10"/>
    <n v="161.01"/>
    <n v="0"/>
    <n v="1610.1"/>
    <m/>
    <x v="9"/>
    <x v="9"/>
    <n v="1610.1"/>
    <s v="OK"/>
  </r>
  <r>
    <s v="ORD-2491"/>
    <x v="184"/>
    <x v="3"/>
    <s v="P. Amoah"/>
    <x v="28"/>
    <x v="2"/>
    <s v="Canned Tomatoes"/>
    <n v="12"/>
    <n v="31.91"/>
    <n v="0"/>
    <n v="382.92"/>
    <m/>
    <x v="8"/>
    <x v="8"/>
    <n v="382.92"/>
    <s v="OK"/>
  </r>
  <r>
    <s v="ORD-1598"/>
    <x v="336"/>
    <x v="3"/>
    <s v="M. Ansah"/>
    <x v="49"/>
    <x v="2"/>
    <s v="Pasta Pack"/>
    <n v="3"/>
    <n v="24.64"/>
    <n v="0"/>
    <n v="73.92"/>
    <m/>
    <x v="10"/>
    <x v="10"/>
    <n v="73.92"/>
    <s v="OK"/>
  </r>
  <r>
    <s v="ORD-1956"/>
    <x v="128"/>
    <x v="1"/>
    <s v="J. Tetteh"/>
    <x v="180"/>
    <x v="2"/>
    <s v="Cooking Oil 1L"/>
    <n v="11"/>
    <n v="36.57"/>
    <n v="0.05"/>
    <n v="382.16"/>
    <m/>
    <x v="5"/>
    <x v="5"/>
    <n v="382.15649999999994"/>
    <s v="OK"/>
  </r>
  <r>
    <s v="ORD-2564"/>
    <x v="264"/>
    <x v="3"/>
    <s v="M. Ansah"/>
    <x v="196"/>
    <x v="2"/>
    <s v="Canned Tomatoes"/>
    <n v="11"/>
    <n v="162.31"/>
    <n v="0"/>
    <n v="1785.41"/>
    <m/>
    <x v="5"/>
    <x v="5"/>
    <n v="1785.41"/>
    <s v="OK"/>
  </r>
  <r>
    <s v="ORD-1751"/>
    <x v="4"/>
    <x v="3"/>
    <s v="S. Addo"/>
    <x v="78"/>
    <x v="4"/>
    <s v="Laptop Stand"/>
    <n v="7"/>
    <n v="5.48"/>
    <n v="0.15"/>
    <n v="32.61"/>
    <m/>
    <x v="4"/>
    <x v="4"/>
    <n v="32.606000000000002"/>
    <s v="OK"/>
  </r>
  <r>
    <s v="ORD-1570"/>
    <x v="8"/>
    <x v="4"/>
    <s v="J. Tetteh"/>
    <x v="35"/>
    <x v="3"/>
    <s v="Shampoo 400ml"/>
    <n v="8"/>
    <n v="127.42"/>
    <n v="0"/>
    <n v="1019.36"/>
    <m/>
    <x v="5"/>
    <x v="5"/>
    <n v="1019.36"/>
    <s v="OK"/>
  </r>
  <r>
    <s v="ORD-2557"/>
    <x v="133"/>
    <x v="4"/>
    <s v="J. Tetteh"/>
    <x v="41"/>
    <x v="0"/>
    <s v="Cotton T-Shirt"/>
    <n v="9"/>
    <n v="88.63"/>
    <n v="0"/>
    <n v="797.67"/>
    <m/>
    <x v="11"/>
    <x v="11"/>
    <n v="797.67"/>
    <s v="OK"/>
  </r>
  <r>
    <s v="ORD-1061"/>
    <x v="152"/>
    <x v="2"/>
    <s v="J. Tetteh"/>
    <x v="136"/>
    <x v="2"/>
    <s v="Canned Tomatoes"/>
    <n v="4"/>
    <n v="104.08"/>
    <n v="0"/>
    <n v="416.32"/>
    <m/>
    <x v="1"/>
    <x v="1"/>
    <n v="416.32"/>
    <s v="OK"/>
  </r>
  <r>
    <s v="ORD-2266"/>
    <x v="235"/>
    <x v="4"/>
    <s v="J. Tetteh"/>
    <x v="168"/>
    <x v="2"/>
    <s v="Rice 5kg"/>
    <n v="1"/>
    <n v="245.59"/>
    <n v="0.15"/>
    <n v="208.75"/>
    <m/>
    <x v="8"/>
    <x v="8"/>
    <n v="208.75149999999999"/>
    <s v="OK"/>
  </r>
  <r>
    <s v="ORD-1536"/>
    <x v="337"/>
    <x v="2"/>
    <s v="M. Ansah"/>
    <x v="42"/>
    <x v="2"/>
    <s v="Pasta Pack"/>
    <n v="12"/>
    <n v="186.14"/>
    <n v="0.1"/>
    <n v="2010.31"/>
    <m/>
    <x v="11"/>
    <x v="11"/>
    <n v="2010.3119999999999"/>
    <s v="OK"/>
  </r>
  <r>
    <s v="ORD-2407"/>
    <x v="223"/>
    <x v="1"/>
    <s v="P. Amoah"/>
    <x v="94"/>
    <x v="1"/>
    <s v="Non-stick Pan"/>
    <n v="2"/>
    <n v="57.28"/>
    <n v="0"/>
    <n v="114.56"/>
    <m/>
    <x v="9"/>
    <x v="9"/>
    <n v="114.56"/>
    <s v="OK"/>
  </r>
  <r>
    <s v="ORD-2122"/>
    <x v="172"/>
    <x v="3"/>
    <s v="P. Amoah"/>
    <x v="87"/>
    <x v="1"/>
    <s v="Storage Containers"/>
    <n v="12"/>
    <n v="47.38"/>
    <n v="0"/>
    <n v="568.55999999999995"/>
    <m/>
    <x v="7"/>
    <x v="7"/>
    <n v="568.56000000000006"/>
    <s v="OK"/>
  </r>
  <r>
    <s v="ORD-1957"/>
    <x v="329"/>
    <x v="0"/>
    <s v="M. Ansah"/>
    <x v="134"/>
    <x v="0"/>
    <s v="Sunglasses"/>
    <n v="11"/>
    <n v="128.54"/>
    <n v="0.1"/>
    <n v="1272.55"/>
    <m/>
    <x v="0"/>
    <x v="0"/>
    <n v="1272.5459999999998"/>
    <s v="OK"/>
  </r>
  <r>
    <s v="ORD-1244"/>
    <x v="338"/>
    <x v="4"/>
    <s v="J. Tetteh"/>
    <x v="32"/>
    <x v="4"/>
    <s v="Smartphone Case"/>
    <n v="3"/>
    <n v="170.9"/>
    <n v="0.15"/>
    <n v="435.8"/>
    <m/>
    <x v="2"/>
    <x v="2"/>
    <n v="435.79500000000002"/>
    <s v="OK"/>
  </r>
  <r>
    <s v="ORD-1025"/>
    <x v="105"/>
    <x v="1"/>
    <s v="S. Addo"/>
    <x v="118"/>
    <x v="0"/>
    <s v="Denim Jeans"/>
    <n v="5"/>
    <n v="169.56"/>
    <n v="0.05"/>
    <n v="805.41"/>
    <m/>
    <x v="9"/>
    <x v="9"/>
    <n v="805.41"/>
    <s v="OK"/>
  </r>
  <r>
    <s v="ORD-2295"/>
    <x v="183"/>
    <x v="3"/>
    <s v="M. Ansah"/>
    <x v="95"/>
    <x v="4"/>
    <s v="USB-C Cable"/>
    <n v="6"/>
    <n v="210.83"/>
    <n v="0"/>
    <n v="1264.98"/>
    <m/>
    <x v="9"/>
    <x v="9"/>
    <n v="1264.98"/>
    <s v="OK"/>
  </r>
  <r>
    <s v="ORD-1882"/>
    <x v="44"/>
    <x v="2"/>
    <s v="S. Addo"/>
    <x v="158"/>
    <x v="3"/>
    <s v="Shea Butter Lotion"/>
    <n v="5"/>
    <n v="111.41"/>
    <n v="0"/>
    <n v="557.04999999999995"/>
    <m/>
    <x v="10"/>
    <x v="10"/>
    <n v="557.04999999999995"/>
    <s v="OK"/>
  </r>
  <r>
    <s v="ORD-1222"/>
    <x v="198"/>
    <x v="1"/>
    <s v="J. Tetteh"/>
    <x v="15"/>
    <x v="2"/>
    <s v="Canned Tomatoes"/>
    <n v="2"/>
    <n v="177.2"/>
    <n v="0.05"/>
    <n v="336.68"/>
    <m/>
    <x v="8"/>
    <x v="8"/>
    <n v="336.67999999999995"/>
    <s v="OK"/>
  </r>
  <r>
    <s v="ORD-2599"/>
    <x v="257"/>
    <x v="2"/>
    <s v="S. Addo"/>
    <x v="81"/>
    <x v="2"/>
    <s v="Sugar 1kg"/>
    <n v="6"/>
    <n v="85.06"/>
    <n v="0"/>
    <n v="510.36"/>
    <m/>
    <x v="10"/>
    <x v="10"/>
    <n v="510.36"/>
    <s v="OK"/>
  </r>
  <r>
    <s v="ORD-1105"/>
    <x v="61"/>
    <x v="1"/>
    <s v="M. Ansah"/>
    <x v="172"/>
    <x v="1"/>
    <s v="Table Lamp"/>
    <n v="7"/>
    <n v="36.06"/>
    <n v="0.1"/>
    <n v="227.18"/>
    <m/>
    <x v="1"/>
    <x v="1"/>
    <n v="227.17800000000003"/>
    <s v="OK"/>
  </r>
  <r>
    <s v="ORD-1673"/>
    <x v="264"/>
    <x v="0"/>
    <s v="S. Addo"/>
    <x v="93"/>
    <x v="1"/>
    <s v="Table Lamp"/>
    <n v="8"/>
    <n v="26.01"/>
    <n v="0"/>
    <n v="208.08"/>
    <m/>
    <x v="5"/>
    <x v="5"/>
    <n v="208.08"/>
    <s v="OK"/>
  </r>
  <r>
    <s v="ORD-1642"/>
    <x v="288"/>
    <x v="0"/>
    <s v="S. Addo"/>
    <x v="185"/>
    <x v="2"/>
    <s v="Pasta Pack"/>
    <n v="3"/>
    <n v="149.66"/>
    <n v="0"/>
    <n v="448.98"/>
    <m/>
    <x v="0"/>
    <x v="0"/>
    <n v="448.98"/>
    <s v="OK"/>
  </r>
  <r>
    <s v="ORD-2164"/>
    <x v="140"/>
    <x v="4"/>
    <s v="S. Addo"/>
    <x v="134"/>
    <x v="2"/>
    <s v="Cooking Oil 1L"/>
    <n v="11"/>
    <n v="191.92"/>
    <n v="0"/>
    <n v="2111.12"/>
    <m/>
    <x v="6"/>
    <x v="6"/>
    <n v="2111.12"/>
    <s v="OK"/>
  </r>
  <r>
    <s v="ORD-1665"/>
    <x v="257"/>
    <x v="3"/>
    <s v="S. Addo"/>
    <x v="117"/>
    <x v="0"/>
    <s v="Sneakers"/>
    <n v="11"/>
    <n v="191.68"/>
    <n v="0.15"/>
    <n v="1792.21"/>
    <m/>
    <x v="10"/>
    <x v="10"/>
    <n v="1792.2079999999999"/>
    <s v="OK"/>
  </r>
  <r>
    <s v="ORD-1509"/>
    <x v="186"/>
    <x v="4"/>
    <s v="J. Tetteh"/>
    <x v="71"/>
    <x v="0"/>
    <s v="Sunglasses"/>
    <n v="6"/>
    <n v="18.489999999999998"/>
    <n v="0"/>
    <n v="110.94"/>
    <m/>
    <x v="7"/>
    <x v="7"/>
    <n v="110.94"/>
    <s v="OK"/>
  </r>
  <r>
    <s v="ORD-1131"/>
    <x v="247"/>
    <x v="2"/>
    <s v="R. Ofori"/>
    <x v="112"/>
    <x v="0"/>
    <s v="Leather Wallet"/>
    <n v="11"/>
    <n v="198.36"/>
    <n v="0"/>
    <n v="2181.96"/>
    <m/>
    <x v="2"/>
    <x v="2"/>
    <n v="2181.96"/>
    <s v="OK"/>
  </r>
  <r>
    <s v="ORD-2242"/>
    <x v="326"/>
    <x v="3"/>
    <s v="P. Amoah"/>
    <x v="165"/>
    <x v="4"/>
    <s v="Laptop Stand"/>
    <n v="11"/>
    <n v="149.82"/>
    <n v="0"/>
    <n v="1648.02"/>
    <m/>
    <x v="5"/>
    <x v="5"/>
    <n v="1648.02"/>
    <s v="OK"/>
  </r>
  <r>
    <s v="ORD-1444"/>
    <x v="291"/>
    <x v="1"/>
    <s v="P. Amoah"/>
    <x v="68"/>
    <x v="0"/>
    <s v="Sneakers"/>
    <n v="6"/>
    <n v="13.61"/>
    <n v="0"/>
    <n v="81.66"/>
    <m/>
    <x v="11"/>
    <x v="11"/>
    <n v="81.66"/>
    <s v="OK"/>
  </r>
  <r>
    <s v="ORD-1961"/>
    <x v="319"/>
    <x v="2"/>
    <s v="J. Tetteh"/>
    <x v="178"/>
    <x v="1"/>
    <s v="Blender"/>
    <n v="5"/>
    <n v="31.23"/>
    <n v="0"/>
    <n v="156.15"/>
    <m/>
    <x v="10"/>
    <x v="10"/>
    <n v="156.15"/>
    <s v="OK"/>
  </r>
  <r>
    <s v="ORD-1508"/>
    <x v="308"/>
    <x v="4"/>
    <s v="R. Ofori"/>
    <x v="29"/>
    <x v="1"/>
    <s v="Electric Kettle"/>
    <n v="10"/>
    <n v="24.45"/>
    <n v="0"/>
    <n v="244.5"/>
    <m/>
    <x v="9"/>
    <x v="9"/>
    <n v="244.5"/>
    <s v="OK"/>
  </r>
  <r>
    <s v="ORD-1866"/>
    <x v="329"/>
    <x v="2"/>
    <s v="P. Amoah"/>
    <x v="18"/>
    <x v="3"/>
    <s v="Face Wash"/>
    <n v="7"/>
    <n v="46.83"/>
    <n v="0"/>
    <n v="327.81"/>
    <m/>
    <x v="0"/>
    <x v="0"/>
    <n v="327.81"/>
    <s v="OK"/>
  </r>
  <r>
    <s v="ORD-1992"/>
    <x v="14"/>
    <x v="2"/>
    <s v="J. Tetteh"/>
    <x v="45"/>
    <x v="4"/>
    <s v="Bluetooth Speaker"/>
    <n v="9"/>
    <n v="63.5"/>
    <n v="0"/>
    <n v="571.5"/>
    <m/>
    <x v="5"/>
    <x v="5"/>
    <n v="571.5"/>
    <s v="OK"/>
  </r>
  <r>
    <s v="ORD-2543"/>
    <x v="44"/>
    <x v="1"/>
    <s v="R. Ofori"/>
    <x v="65"/>
    <x v="4"/>
    <s v="Smartphone Case"/>
    <n v="12"/>
    <n v="241.74"/>
    <n v="0"/>
    <n v="2900.88"/>
    <m/>
    <x v="10"/>
    <x v="10"/>
    <n v="2900.88"/>
    <s v="OK"/>
  </r>
  <r>
    <s v="ORD-2274"/>
    <x v="97"/>
    <x v="0"/>
    <s v="R. Ofori"/>
    <x v="82"/>
    <x v="1"/>
    <s v="Storage Containers"/>
    <n v="8"/>
    <n v="97.38"/>
    <n v="0"/>
    <n v="779.04"/>
    <m/>
    <x v="9"/>
    <x v="9"/>
    <n v="779.04"/>
    <s v="OK"/>
  </r>
  <r>
    <s v="ORD-1075"/>
    <x v="148"/>
    <x v="3"/>
    <s v="M. Ansah"/>
    <x v="53"/>
    <x v="2"/>
    <s v="Sugar 1kg"/>
    <n v="5"/>
    <n v="174.95"/>
    <n v="0.15"/>
    <n v="743.54"/>
    <m/>
    <x v="2"/>
    <x v="2"/>
    <n v="743.53750000000002"/>
    <s v="OK"/>
  </r>
  <r>
    <s v="ORD-1036"/>
    <x v="21"/>
    <x v="3"/>
    <s v="R. Ofori"/>
    <x v="144"/>
    <x v="0"/>
    <s v="Cotton T-Shirt"/>
    <n v="9"/>
    <n v="111.92"/>
    <n v="0"/>
    <n v="1007.28"/>
    <m/>
    <x v="2"/>
    <x v="2"/>
    <n v="1007.28"/>
    <s v="OK"/>
  </r>
  <r>
    <s v="ORD-2619"/>
    <x v="18"/>
    <x v="2"/>
    <s v="M. Ansah"/>
    <x v="54"/>
    <x v="1"/>
    <s v="Table Lamp"/>
    <n v="12"/>
    <n v="239.06"/>
    <n v="0.05"/>
    <n v="2725.28"/>
    <m/>
    <x v="9"/>
    <x v="9"/>
    <n v="2725.2840000000001"/>
    <s v="OK"/>
  </r>
  <r>
    <s v="ORD-1057"/>
    <x v="103"/>
    <x v="4"/>
    <s v="R. Ofori"/>
    <x v="13"/>
    <x v="2"/>
    <s v="Rice 5kg"/>
    <n v="12"/>
    <n v="111.69"/>
    <n v="0.1"/>
    <n v="1206.25"/>
    <m/>
    <x v="4"/>
    <x v="4"/>
    <n v="1206.252"/>
    <s v="OK"/>
  </r>
  <r>
    <s v="ORD-1196"/>
    <x v="339"/>
    <x v="0"/>
    <s v="R. Ofori"/>
    <x v="91"/>
    <x v="1"/>
    <s v="Table Lamp"/>
    <n v="10"/>
    <n v="24.14"/>
    <n v="0"/>
    <n v="241.4"/>
    <m/>
    <x v="3"/>
    <x v="3"/>
    <n v="241.4"/>
    <s v="OK"/>
  </r>
  <r>
    <s v="ORD-2558"/>
    <x v="225"/>
    <x v="2"/>
    <s v="S. Addo"/>
    <x v="164"/>
    <x v="0"/>
    <s v="Sunglasses"/>
    <n v="6"/>
    <n v="145.36000000000001"/>
    <n v="0.05"/>
    <n v="828.55"/>
    <m/>
    <x v="0"/>
    <x v="0"/>
    <n v="828.55200000000002"/>
    <s v="OK"/>
  </r>
  <r>
    <s v="ORD-1967"/>
    <x v="340"/>
    <x v="0"/>
    <s v="R. Ofori"/>
    <x v="140"/>
    <x v="3"/>
    <s v="Face Wash"/>
    <n v="5"/>
    <n v="230.98"/>
    <n v="0"/>
    <n v="1154.9000000000001"/>
    <m/>
    <x v="3"/>
    <x v="3"/>
    <n v="1154.8999999999999"/>
    <s v="OK"/>
  </r>
  <r>
    <s v="ORD-2360"/>
    <x v="298"/>
    <x v="1"/>
    <s v="R. Ofori"/>
    <x v="59"/>
    <x v="1"/>
    <s v="Electric Kettle"/>
    <n v="8"/>
    <n v="126.87"/>
    <n v="0.05"/>
    <n v="964.21"/>
    <m/>
    <x v="6"/>
    <x v="6"/>
    <n v="964.21199999999999"/>
    <s v="OK"/>
  </r>
  <r>
    <s v="ORD-1321"/>
    <x v="19"/>
    <x v="2"/>
    <s v="P. Amoah"/>
    <x v="58"/>
    <x v="4"/>
    <s v="Laptop Stand"/>
    <n v="3"/>
    <n v="106.54"/>
    <n v="0.1"/>
    <n v="287.66000000000003"/>
    <m/>
    <x v="10"/>
    <x v="10"/>
    <n v="287.65800000000002"/>
    <s v="OK"/>
  </r>
  <r>
    <s v="ORD-2476"/>
    <x v="207"/>
    <x v="1"/>
    <s v="P. Amoah"/>
    <x v="132"/>
    <x v="4"/>
    <s v="Smartphone Case"/>
    <n v="11"/>
    <n v="227.05"/>
    <n v="0"/>
    <n v="2497.5500000000002"/>
    <m/>
    <x v="0"/>
    <x v="0"/>
    <n v="2497.5500000000002"/>
    <s v="OK"/>
  </r>
  <r>
    <s v="ORD-1984"/>
    <x v="41"/>
    <x v="2"/>
    <s v="J. Tetteh"/>
    <x v="104"/>
    <x v="1"/>
    <s v="Blender"/>
    <n v="8"/>
    <n v="169.27"/>
    <n v="0.05"/>
    <n v="1286.45"/>
    <m/>
    <x v="7"/>
    <x v="7"/>
    <n v="1286.452"/>
    <s v="OK"/>
  </r>
  <r>
    <s v="ORD-1477"/>
    <x v="248"/>
    <x v="4"/>
    <s v="J. Tetteh"/>
    <x v="133"/>
    <x v="0"/>
    <s v="Leather Wallet"/>
    <n v="11"/>
    <n v="160.30000000000001"/>
    <n v="0.05"/>
    <n v="1675.13"/>
    <m/>
    <x v="7"/>
    <x v="7"/>
    <n v="1675.135"/>
    <s v="MISMATCH"/>
  </r>
  <r>
    <s v="ORD-1086"/>
    <x v="210"/>
    <x v="4"/>
    <s v="P. Amoah"/>
    <x v="126"/>
    <x v="0"/>
    <s v="Sneakers"/>
    <n v="5"/>
    <n v="159.63"/>
    <n v="0"/>
    <n v="798.15"/>
    <m/>
    <x v="1"/>
    <x v="1"/>
    <n v="798.15"/>
    <s v="OK"/>
  </r>
  <r>
    <s v="ORD-2686"/>
    <x v="49"/>
    <x v="2"/>
    <s v="S. Addo"/>
    <x v="155"/>
    <x v="0"/>
    <s v="Sunglasses"/>
    <n v="10"/>
    <n v="85.2"/>
    <n v="0"/>
    <n v="852"/>
    <m/>
    <x v="4"/>
    <x v="4"/>
    <n v="852"/>
    <s v="OK"/>
  </r>
  <r>
    <s v="ORD-1561"/>
    <x v="91"/>
    <x v="4"/>
    <s v="Unassigned"/>
    <x v="155"/>
    <x v="3"/>
    <s v="Shampoo 400ml"/>
    <n v="8"/>
    <n v="67.069999999999993"/>
    <n v="0.15"/>
    <n v="456.08"/>
    <m/>
    <x v="0"/>
    <x v="0"/>
    <n v="456.07599999999996"/>
    <s v="OK"/>
  </r>
  <r>
    <s v="ORD-1771"/>
    <x v="314"/>
    <x v="2"/>
    <s v="M. Ansah"/>
    <x v="68"/>
    <x v="4"/>
    <s v="Wireless Earbuds"/>
    <n v="6"/>
    <n v="175.12"/>
    <n v="0.1"/>
    <n v="945.65"/>
    <m/>
    <x v="7"/>
    <x v="7"/>
    <n v="945.64800000000002"/>
    <s v="OK"/>
  </r>
  <r>
    <s v="ORD-1334"/>
    <x v="191"/>
    <x v="1"/>
    <s v="S. Addo"/>
    <x v="193"/>
    <x v="0"/>
    <s v="Leather Wallet"/>
    <n v="4"/>
    <n v="131.74"/>
    <n v="0"/>
    <n v="526.96"/>
    <m/>
    <x v="2"/>
    <x v="2"/>
    <n v="526.96"/>
    <s v="OK"/>
  </r>
  <r>
    <s v="ORD-2561"/>
    <x v="293"/>
    <x v="0"/>
    <s v="Unassigned"/>
    <x v="165"/>
    <x v="4"/>
    <s v="Bluetooth Speaker"/>
    <n v="7"/>
    <n v="152.1"/>
    <n v="0"/>
    <n v="1064.7"/>
    <m/>
    <x v="6"/>
    <x v="6"/>
    <n v="1064.7"/>
    <s v="OK"/>
  </r>
  <r>
    <s v="ORD-2490"/>
    <x v="211"/>
    <x v="4"/>
    <s v="M. Ansah"/>
    <x v="20"/>
    <x v="0"/>
    <s v="Sneakers"/>
    <n v="3"/>
    <n v="112.34"/>
    <n v="0"/>
    <n v="337.02"/>
    <m/>
    <x v="0"/>
    <x v="0"/>
    <n v="337.02"/>
    <s v="OK"/>
  </r>
  <r>
    <s v="ORD-2659"/>
    <x v="17"/>
    <x v="1"/>
    <s v="Unassigned"/>
    <x v="76"/>
    <x v="2"/>
    <s v="Pasta Pack"/>
    <n v="10"/>
    <n v="53.67"/>
    <n v="0.05"/>
    <n v="509.87"/>
    <m/>
    <x v="8"/>
    <x v="8"/>
    <n v="509.86500000000001"/>
    <s v="OK"/>
  </r>
  <r>
    <s v="ORD-2109"/>
    <x v="242"/>
    <x v="2"/>
    <s v="R. Ofori"/>
    <x v="182"/>
    <x v="3"/>
    <s v="Face Wash"/>
    <n v="3"/>
    <n v="23.98"/>
    <n v="0"/>
    <n v="71.94"/>
    <m/>
    <x v="5"/>
    <x v="5"/>
    <n v="71.94"/>
    <s v="OK"/>
  </r>
  <r>
    <s v="ORD-1708"/>
    <x v="73"/>
    <x v="3"/>
    <s v="J. Tetteh"/>
    <x v="152"/>
    <x v="1"/>
    <s v="Table Lamp"/>
    <n v="2"/>
    <n v="240.85"/>
    <n v="0"/>
    <n v="481.7"/>
    <m/>
    <x v="10"/>
    <x v="10"/>
    <n v="481.7"/>
    <s v="OK"/>
  </r>
  <r>
    <s v="ORD-2177"/>
    <x v="41"/>
    <x v="3"/>
    <s v="J. Tetteh"/>
    <x v="80"/>
    <x v="0"/>
    <s v="Sneakers"/>
    <n v="1"/>
    <n v="41.35"/>
    <n v="0"/>
    <n v="41.35"/>
    <m/>
    <x v="7"/>
    <x v="7"/>
    <n v="41.35"/>
    <s v="OK"/>
  </r>
  <r>
    <s v="ORD-2419"/>
    <x v="122"/>
    <x v="0"/>
    <s v="J. Tetteh"/>
    <x v="116"/>
    <x v="3"/>
    <s v="Shea Butter Lotion"/>
    <n v="8"/>
    <n v="45.92"/>
    <n v="0"/>
    <n v="367.36"/>
    <m/>
    <x v="9"/>
    <x v="9"/>
    <n v="367.36"/>
    <s v="OK"/>
  </r>
  <r>
    <s v="ORD-2221"/>
    <x v="278"/>
    <x v="1"/>
    <s v="J. Tetteh"/>
    <x v="43"/>
    <x v="3"/>
    <s v="Hair Oil"/>
    <n v="5"/>
    <n v="120.02"/>
    <n v="0"/>
    <n v="600.1"/>
    <m/>
    <x v="2"/>
    <x v="2"/>
    <n v="600.1"/>
    <s v="OK"/>
  </r>
  <r>
    <s v="ORD-2228"/>
    <x v="220"/>
    <x v="4"/>
    <s v="R. Ofori"/>
    <x v="190"/>
    <x v="0"/>
    <s v="Leather Wallet"/>
    <n v="6"/>
    <n v="168.66"/>
    <n v="0.1"/>
    <n v="910.76"/>
    <m/>
    <x v="4"/>
    <x v="4"/>
    <n v="910.76400000000001"/>
    <s v="OK"/>
  </r>
  <r>
    <s v="ORD-2520"/>
    <x v="248"/>
    <x v="4"/>
    <s v="P. Amoah"/>
    <x v="44"/>
    <x v="1"/>
    <s v="Storage Containers"/>
    <n v="1"/>
    <n v="95.54"/>
    <n v="0"/>
    <n v="95.54"/>
    <m/>
    <x v="7"/>
    <x v="7"/>
    <n v="95.54"/>
    <s v="OK"/>
  </r>
  <r>
    <s v="ORD-1538"/>
    <x v="217"/>
    <x v="3"/>
    <s v="Unassigned"/>
    <x v="88"/>
    <x v="3"/>
    <s v="Hair Oil"/>
    <n v="10"/>
    <n v="205.17"/>
    <n v="0.15"/>
    <n v="1743.94"/>
    <m/>
    <x v="0"/>
    <x v="0"/>
    <n v="1743.9449999999997"/>
    <s v="MISMATCH"/>
  </r>
  <r>
    <s v="ORD-2082"/>
    <x v="341"/>
    <x v="3"/>
    <s v="J. Tetteh"/>
    <x v="34"/>
    <x v="2"/>
    <s v="Sugar 1kg"/>
    <n v="2"/>
    <n v="5.78"/>
    <n v="0.05"/>
    <n v="10.98"/>
    <m/>
    <x v="3"/>
    <x v="3"/>
    <n v="10.981999999999999"/>
    <s v="OK"/>
  </r>
  <r>
    <s v="ORD-2776"/>
    <x v="121"/>
    <x v="4"/>
    <s v="M. Ansah"/>
    <x v="144"/>
    <x v="2"/>
    <s v="Cooking Oil 1L"/>
    <n v="9"/>
    <n v="227.19"/>
    <n v="0"/>
    <n v="2044.71"/>
    <m/>
    <x v="0"/>
    <x v="0"/>
    <n v="2044.71"/>
    <s v="OK"/>
  </r>
  <r>
    <s v="ORD-2240"/>
    <x v="252"/>
    <x v="2"/>
    <s v="J. Tetteh"/>
    <x v="28"/>
    <x v="2"/>
    <s v="Sugar 1kg"/>
    <n v="11"/>
    <n v="64.12"/>
    <n v="0.05"/>
    <n v="670.05"/>
    <m/>
    <x v="0"/>
    <x v="0"/>
    <n v="670.05399999999997"/>
    <s v="OK"/>
  </r>
  <r>
    <s v="ORD-2764"/>
    <x v="89"/>
    <x v="0"/>
    <s v="P. Amoah"/>
    <x v="25"/>
    <x v="4"/>
    <s v="USB-C Cable"/>
    <n v="7"/>
    <n v="102.46"/>
    <n v="0.1"/>
    <n v="645.5"/>
    <m/>
    <x v="6"/>
    <x v="6"/>
    <n v="645.49799999999993"/>
    <s v="OK"/>
  </r>
  <r>
    <s v="ORD-2568"/>
    <x v="48"/>
    <x v="1"/>
    <s v="M. Ansah"/>
    <x v="4"/>
    <x v="3"/>
    <s v="Face Wash"/>
    <n v="3"/>
    <n v="61.87"/>
    <n v="0"/>
    <n v="185.61"/>
    <m/>
    <x v="7"/>
    <x v="7"/>
    <n v="185.60999999999999"/>
    <s v="OK"/>
  </r>
  <r>
    <s v="ORD-1418"/>
    <x v="311"/>
    <x v="1"/>
    <s v="P. Amoah"/>
    <x v="46"/>
    <x v="3"/>
    <s v="Shea Butter Lotion"/>
    <n v="10"/>
    <n v="179.34"/>
    <n v="0"/>
    <n v="1793.4"/>
    <m/>
    <x v="4"/>
    <x v="4"/>
    <n v="1793.4"/>
    <s v="OK"/>
  </r>
  <r>
    <s v="ORD-2206"/>
    <x v="152"/>
    <x v="2"/>
    <s v="P. Amoah"/>
    <x v="10"/>
    <x v="3"/>
    <s v="Hair Oil"/>
    <n v="7"/>
    <n v="157.80000000000001"/>
    <n v="0"/>
    <n v="1104.5999999999999"/>
    <m/>
    <x v="1"/>
    <x v="1"/>
    <n v="1104.6000000000001"/>
    <s v="OK"/>
  </r>
  <r>
    <s v="ORD-2708"/>
    <x v="279"/>
    <x v="1"/>
    <s v="J. Tetteh"/>
    <x v="120"/>
    <x v="4"/>
    <s v="Power Bank"/>
    <n v="4"/>
    <n v="180.12"/>
    <n v="0"/>
    <n v="720.48"/>
    <m/>
    <x v="1"/>
    <x v="1"/>
    <n v="720.48"/>
    <s v="OK"/>
  </r>
  <r>
    <s v="ORD-2681"/>
    <x v="44"/>
    <x v="2"/>
    <s v="J. Tetteh"/>
    <x v="144"/>
    <x v="1"/>
    <s v="Non-stick Pan"/>
    <n v="4"/>
    <n v="164.32"/>
    <n v="0.15"/>
    <n v="558.69000000000005"/>
    <m/>
    <x v="10"/>
    <x v="10"/>
    <n v="558.68799999999999"/>
    <s v="OK"/>
  </r>
  <r>
    <s v="ORD-1573"/>
    <x v="291"/>
    <x v="0"/>
    <s v="P. Amoah"/>
    <x v="183"/>
    <x v="4"/>
    <s v="Smartphone Case"/>
    <n v="2"/>
    <n v="205.36"/>
    <n v="0"/>
    <n v="410.72"/>
    <m/>
    <x v="11"/>
    <x v="11"/>
    <n v="410.72"/>
    <s v="OK"/>
  </r>
  <r>
    <s v="ORD-1943"/>
    <x v="44"/>
    <x v="3"/>
    <s v="Unassigned"/>
    <x v="143"/>
    <x v="1"/>
    <s v="Non-stick Pan"/>
    <n v="5"/>
    <n v="241.02"/>
    <n v="0"/>
    <n v="1205.0999999999999"/>
    <m/>
    <x v="10"/>
    <x v="10"/>
    <n v="1205.1000000000001"/>
    <s v="OK"/>
  </r>
  <r>
    <s v="ORD-2553"/>
    <x v="282"/>
    <x v="1"/>
    <s v="P. Amoah"/>
    <x v="151"/>
    <x v="3"/>
    <s v="Shea Butter Lotion"/>
    <n v="4"/>
    <n v="238.56"/>
    <n v="0"/>
    <n v="954.24"/>
    <m/>
    <x v="9"/>
    <x v="9"/>
    <n v="954.24"/>
    <s v="OK"/>
  </r>
  <r>
    <s v="ORD-1332"/>
    <x v="342"/>
    <x v="2"/>
    <s v="M. Ansah"/>
    <x v="86"/>
    <x v="2"/>
    <s v="Sugar 1kg"/>
    <n v="10"/>
    <n v="170.91"/>
    <n v="0.05"/>
    <n v="1623.64"/>
    <m/>
    <x v="10"/>
    <x v="10"/>
    <n v="1623.6449999999998"/>
    <s v="MISMATCH"/>
  </r>
  <r>
    <s v="ORD-1851"/>
    <x v="337"/>
    <x v="2"/>
    <s v="P. Amoah"/>
    <x v="19"/>
    <x v="1"/>
    <s v="Storage Containers"/>
    <n v="11"/>
    <n v="195.08"/>
    <n v="0.15"/>
    <n v="1824"/>
    <m/>
    <x v="11"/>
    <x v="11"/>
    <n v="1823.998"/>
    <s v="OK"/>
  </r>
  <r>
    <s v="ORD-1810"/>
    <x v="206"/>
    <x v="1"/>
    <s v="M. Ansah"/>
    <x v="100"/>
    <x v="0"/>
    <s v="Sneakers"/>
    <n v="4"/>
    <n v="162.30000000000001"/>
    <n v="0.15"/>
    <n v="551.82000000000005"/>
    <m/>
    <x v="8"/>
    <x v="8"/>
    <n v="551.82000000000005"/>
    <s v="OK"/>
  </r>
  <r>
    <s v="ORD-1735"/>
    <x v="118"/>
    <x v="4"/>
    <s v="M. Ansah"/>
    <x v="67"/>
    <x v="1"/>
    <s v="Blender"/>
    <n v="2"/>
    <n v="78.02"/>
    <n v="0"/>
    <n v="156.04"/>
    <m/>
    <x v="6"/>
    <x v="6"/>
    <n v="156.04"/>
    <s v="OK"/>
  </r>
  <r>
    <s v="ORD-1901"/>
    <x v="343"/>
    <x v="0"/>
    <s v="Unassigned"/>
    <x v="0"/>
    <x v="2"/>
    <s v="Cooking Oil 1L"/>
    <n v="4"/>
    <n v="43.13"/>
    <n v="0.15"/>
    <n v="146.63999999999999"/>
    <m/>
    <x v="5"/>
    <x v="5"/>
    <n v="146.642"/>
    <s v="OK"/>
  </r>
  <r>
    <s v="ORD-2645"/>
    <x v="344"/>
    <x v="0"/>
    <s v="S. Addo"/>
    <x v="41"/>
    <x v="3"/>
    <s v="Hair Oil"/>
    <n v="10"/>
    <n v="95.87"/>
    <n v="0.15"/>
    <n v="814.89"/>
    <m/>
    <x v="8"/>
    <x v="8"/>
    <n v="814.89499999999998"/>
    <s v="MISMATCH"/>
  </r>
  <r>
    <s v="ORD-1574"/>
    <x v="32"/>
    <x v="1"/>
    <s v="R. Ofori"/>
    <x v="4"/>
    <x v="3"/>
    <s v="Shampoo 400ml"/>
    <n v="11"/>
    <n v="84.44"/>
    <n v="0.1"/>
    <n v="835.96"/>
    <m/>
    <x v="2"/>
    <x v="2"/>
    <n v="835.9559999999999"/>
    <s v="OK"/>
  </r>
  <r>
    <s v="ORD-2571"/>
    <x v="345"/>
    <x v="2"/>
    <s v="S. Addo"/>
    <x v="78"/>
    <x v="2"/>
    <s v="Canned Tomatoes"/>
    <n v="8"/>
    <n v="51.64"/>
    <n v="0"/>
    <n v="413.12"/>
    <m/>
    <x v="9"/>
    <x v="9"/>
    <n v="413.12"/>
    <s v="OK"/>
  </r>
  <r>
    <s v="ORD-2342"/>
    <x v="345"/>
    <x v="2"/>
    <s v="S. Addo"/>
    <x v="109"/>
    <x v="3"/>
    <s v="Hair Oil"/>
    <n v="11"/>
    <n v="159.08000000000001"/>
    <n v="0"/>
    <n v="1749.88"/>
    <m/>
    <x v="9"/>
    <x v="9"/>
    <n v="1749.88"/>
    <s v="OK"/>
  </r>
  <r>
    <s v="ORD-2535"/>
    <x v="251"/>
    <x v="2"/>
    <s v="P. Amoah"/>
    <x v="187"/>
    <x v="4"/>
    <s v="Laptop Stand"/>
    <n v="6"/>
    <n v="190.81"/>
    <n v="0.05"/>
    <n v="1087.6199999999999"/>
    <m/>
    <x v="3"/>
    <x v="3"/>
    <n v="1087.617"/>
    <s v="OK"/>
  </r>
  <r>
    <s v="ORD-2666"/>
    <x v="273"/>
    <x v="2"/>
    <s v="M. Ansah"/>
    <x v="153"/>
    <x v="0"/>
    <s v="Leather Wallet"/>
    <n v="6"/>
    <n v="236.97"/>
    <n v="0.1"/>
    <n v="1279.6400000000001"/>
    <m/>
    <x v="11"/>
    <x v="11"/>
    <n v="1279.6379999999999"/>
    <s v="OK"/>
  </r>
  <r>
    <s v="ORD-2477"/>
    <x v="346"/>
    <x v="4"/>
    <s v="S. Addo"/>
    <x v="166"/>
    <x v="4"/>
    <s v="Smartphone Case"/>
    <n v="2"/>
    <n v="38.54"/>
    <n v="0.1"/>
    <n v="69.37"/>
    <m/>
    <x v="1"/>
    <x v="1"/>
    <n v="69.372"/>
    <s v="OK"/>
  </r>
  <r>
    <s v="ORD-2056"/>
    <x v="306"/>
    <x v="4"/>
    <s v="P. Amoah"/>
    <x v="188"/>
    <x v="1"/>
    <s v="Blender"/>
    <n v="12"/>
    <n v="15.28"/>
    <n v="0"/>
    <n v="183.36"/>
    <m/>
    <x v="10"/>
    <x v="10"/>
    <n v="183.35999999999999"/>
    <s v="OK"/>
  </r>
  <r>
    <s v="ORD-2364"/>
    <x v="183"/>
    <x v="1"/>
    <s v="P. Amoah"/>
    <x v="85"/>
    <x v="0"/>
    <s v="Leather Wallet"/>
    <n v="6"/>
    <n v="119.53"/>
    <n v="0"/>
    <n v="717.18"/>
    <m/>
    <x v="9"/>
    <x v="9"/>
    <n v="717.18000000000006"/>
    <s v="OK"/>
  </r>
  <r>
    <s v="ORD-2432"/>
    <x v="347"/>
    <x v="4"/>
    <s v="R. Ofori"/>
    <x v="92"/>
    <x v="1"/>
    <s v="Electric Kettle"/>
    <n v="1"/>
    <n v="58.96"/>
    <n v="0"/>
    <n v="58.96"/>
    <m/>
    <x v="1"/>
    <x v="1"/>
    <n v="58.96"/>
    <s v="OK"/>
  </r>
  <r>
    <s v="ORD-1008"/>
    <x v="63"/>
    <x v="1"/>
    <s v="S. Addo"/>
    <x v="70"/>
    <x v="3"/>
    <s v="Hair Oil"/>
    <n v="2"/>
    <n v="129.83000000000001"/>
    <n v="0"/>
    <n v="259.66000000000003"/>
    <m/>
    <x v="7"/>
    <x v="7"/>
    <n v="259.66000000000003"/>
    <s v="OK"/>
  </r>
  <r>
    <s v="ORD-2046"/>
    <x v="271"/>
    <x v="2"/>
    <s v="J. Tetteh"/>
    <x v="140"/>
    <x v="4"/>
    <s v="Bluetooth Speaker"/>
    <n v="5"/>
    <n v="209.9"/>
    <n v="0"/>
    <n v="1049.5"/>
    <m/>
    <x v="6"/>
    <x v="6"/>
    <n v="1049.5"/>
    <s v="OK"/>
  </r>
  <r>
    <s v="ORD-2691"/>
    <x v="108"/>
    <x v="0"/>
    <s v="S. Addo"/>
    <x v="139"/>
    <x v="1"/>
    <s v="Non-stick Pan"/>
    <n v="7"/>
    <n v="76.86"/>
    <n v="0.05"/>
    <n v="511.12"/>
    <m/>
    <x v="7"/>
    <x v="7"/>
    <n v="511.11899999999997"/>
    <s v="OK"/>
  </r>
  <r>
    <s v="ORD-2574"/>
    <x v="68"/>
    <x v="4"/>
    <s v="R. Ofori"/>
    <x v="69"/>
    <x v="3"/>
    <s v="Shea Butter Lotion"/>
    <n v="2"/>
    <n v="229.22"/>
    <n v="0"/>
    <n v="458.44"/>
    <m/>
    <x v="9"/>
    <x v="9"/>
    <n v="458.44"/>
    <s v="OK"/>
  </r>
  <r>
    <s v="ORD-2233"/>
    <x v="348"/>
    <x v="4"/>
    <s v="M. Ansah"/>
    <x v="180"/>
    <x v="1"/>
    <s v="Table Lamp"/>
    <n v="7"/>
    <n v="239.97"/>
    <n v="0"/>
    <n v="1679.79"/>
    <m/>
    <x v="1"/>
    <x v="1"/>
    <n v="1679.79"/>
    <s v="OK"/>
  </r>
  <r>
    <s v="ORD-2636"/>
    <x v="181"/>
    <x v="2"/>
    <s v="J. Tetteh"/>
    <x v="132"/>
    <x v="1"/>
    <s v="Storage Containers"/>
    <n v="2"/>
    <n v="48.15"/>
    <n v="0"/>
    <n v="96.3"/>
    <m/>
    <x v="11"/>
    <x v="11"/>
    <n v="96.3"/>
    <s v="OK"/>
  </r>
  <r>
    <s v="ORD-1304"/>
    <x v="335"/>
    <x v="3"/>
    <s v="S. Addo"/>
    <x v="105"/>
    <x v="2"/>
    <s v="Pasta Pack"/>
    <n v="12"/>
    <n v="244.09"/>
    <n v="0.05"/>
    <n v="2782.63"/>
    <m/>
    <x v="2"/>
    <x v="2"/>
    <n v="2782.6259999999997"/>
    <s v="OK"/>
  </r>
  <r>
    <s v="ORD-2381"/>
    <x v="222"/>
    <x v="0"/>
    <s v="M. Ansah"/>
    <x v="122"/>
    <x v="2"/>
    <s v="Rice 5kg"/>
    <n v="6"/>
    <n v="112.33"/>
    <n v="0.15"/>
    <n v="572.88"/>
    <m/>
    <x v="11"/>
    <x v="11"/>
    <n v="572.88300000000004"/>
    <s v="OK"/>
  </r>
  <r>
    <s v="ORD-2585"/>
    <x v="217"/>
    <x v="4"/>
    <s v="R. Ofori"/>
    <x v="136"/>
    <x v="3"/>
    <s v="Lip Balm Set"/>
    <n v="4"/>
    <n v="231.29"/>
    <n v="0.1"/>
    <n v="832.64"/>
    <m/>
    <x v="0"/>
    <x v="0"/>
    <n v="832.64400000000001"/>
    <s v="OK"/>
  </r>
  <r>
    <s v="ORD-1074"/>
    <x v="28"/>
    <x v="4"/>
    <s v="S. Addo"/>
    <x v="76"/>
    <x v="1"/>
    <s v="Storage Containers"/>
    <n v="8"/>
    <n v="160.52000000000001"/>
    <n v="0"/>
    <n v="1284.1600000000001"/>
    <m/>
    <x v="7"/>
    <x v="7"/>
    <n v="1284.1600000000001"/>
    <s v="OK"/>
  </r>
  <r>
    <s v="ORD-2285"/>
    <x v="126"/>
    <x v="1"/>
    <s v="R. Ofori"/>
    <x v="135"/>
    <x v="1"/>
    <s v="Electric Kettle"/>
    <n v="1"/>
    <n v="32.29"/>
    <n v="0.05"/>
    <n v="30.68"/>
    <m/>
    <x v="3"/>
    <x v="3"/>
    <n v="30.675499999999996"/>
    <s v="OK"/>
  </r>
  <r>
    <s v="ORD-1522"/>
    <x v="349"/>
    <x v="4"/>
    <s v="M. Ansah"/>
    <x v="104"/>
    <x v="0"/>
    <s v="Sneakers"/>
    <n v="5"/>
    <n v="208.22"/>
    <n v="0"/>
    <n v="1041.0999999999999"/>
    <m/>
    <x v="9"/>
    <x v="9"/>
    <n v="1041.0999999999999"/>
    <s v="OK"/>
  </r>
  <r>
    <s v="ORD-1335"/>
    <x v="165"/>
    <x v="3"/>
    <s v="S. Addo"/>
    <x v="6"/>
    <x v="0"/>
    <s v="Denim Jeans"/>
    <n v="12"/>
    <n v="104.13"/>
    <n v="0"/>
    <n v="1249.56"/>
    <m/>
    <x v="1"/>
    <x v="1"/>
    <n v="1249.56"/>
    <s v="OK"/>
  </r>
  <r>
    <s v="ORD-1569"/>
    <x v="158"/>
    <x v="0"/>
    <s v="J. Tetteh"/>
    <x v="3"/>
    <x v="2"/>
    <s v="Rice 5kg"/>
    <n v="3"/>
    <n v="185.15"/>
    <n v="0"/>
    <n v="555.45000000000005"/>
    <m/>
    <x v="8"/>
    <x v="8"/>
    <n v="555.45000000000005"/>
    <s v="OK"/>
  </r>
  <r>
    <s v="ORD-1590"/>
    <x v="126"/>
    <x v="2"/>
    <s v="R. Ofori"/>
    <x v="95"/>
    <x v="3"/>
    <s v="Shea Butter Lotion"/>
    <n v="4"/>
    <n v="115.85"/>
    <n v="0"/>
    <n v="463.4"/>
    <m/>
    <x v="3"/>
    <x v="3"/>
    <n v="463.4"/>
    <s v="OK"/>
  </r>
  <r>
    <s v="ORD-1088"/>
    <x v="11"/>
    <x v="2"/>
    <s v="M. Ansah"/>
    <x v="85"/>
    <x v="0"/>
    <s v="Leather Wallet"/>
    <n v="3"/>
    <n v="143.65"/>
    <n v="0"/>
    <n v="430.95"/>
    <m/>
    <x v="3"/>
    <x v="3"/>
    <n v="430.95000000000005"/>
    <s v="OK"/>
  </r>
  <r>
    <s v="ORD-1874"/>
    <x v="300"/>
    <x v="4"/>
    <s v="S. Addo"/>
    <x v="186"/>
    <x v="1"/>
    <s v="Table Lamp"/>
    <n v="1"/>
    <n v="69.86"/>
    <n v="0.15"/>
    <n v="59.38"/>
    <m/>
    <x v="3"/>
    <x v="3"/>
    <n v="59.381"/>
    <s v="OK"/>
  </r>
  <r>
    <s v="ORD-1809"/>
    <x v="203"/>
    <x v="1"/>
    <s v="S. Addo"/>
    <x v="152"/>
    <x v="1"/>
    <s v="Blender"/>
    <n v="10"/>
    <n v="190.53"/>
    <n v="0"/>
    <n v="1905.3"/>
    <m/>
    <x v="1"/>
    <x v="1"/>
    <n v="1905.3"/>
    <s v="OK"/>
  </r>
  <r>
    <s v="ORD-2333"/>
    <x v="128"/>
    <x v="4"/>
    <s v="S. Addo"/>
    <x v="142"/>
    <x v="0"/>
    <s v="Sneakers"/>
    <n v="3"/>
    <n v="176.09"/>
    <n v="0"/>
    <n v="528.27"/>
    <m/>
    <x v="5"/>
    <x v="5"/>
    <n v="528.27"/>
    <s v="OK"/>
  </r>
  <r>
    <s v="ORD-1217"/>
    <x v="287"/>
    <x v="2"/>
    <s v="J. Tetteh"/>
    <x v="162"/>
    <x v="3"/>
    <s v="Shea Butter Lotion"/>
    <n v="4"/>
    <n v="211.42"/>
    <n v="0"/>
    <n v="845.68"/>
    <m/>
    <x v="9"/>
    <x v="9"/>
    <n v="845.68"/>
    <s v="OK"/>
  </r>
  <r>
    <s v="ORD-1888"/>
    <x v="112"/>
    <x v="1"/>
    <s v="M. Ansah"/>
    <x v="113"/>
    <x v="4"/>
    <s v="Wireless Earbuds"/>
    <n v="10"/>
    <n v="73.64"/>
    <n v="0"/>
    <n v="736.4"/>
    <m/>
    <x v="1"/>
    <x v="1"/>
    <n v="736.4"/>
    <s v="OK"/>
  </r>
  <r>
    <s v="ORD-2015"/>
    <x v="121"/>
    <x v="1"/>
    <s v="J. Tetteh"/>
    <x v="14"/>
    <x v="4"/>
    <s v="USB-C Cable"/>
    <n v="2"/>
    <n v="42.49"/>
    <n v="0.1"/>
    <n v="76.48"/>
    <m/>
    <x v="0"/>
    <x v="0"/>
    <n v="76.481999999999999"/>
    <s v="OK"/>
  </r>
  <r>
    <s v="ORD-1712"/>
    <x v="44"/>
    <x v="4"/>
    <s v="M. Ansah"/>
    <x v="72"/>
    <x v="1"/>
    <s v="Table Lamp"/>
    <n v="8"/>
    <n v="229.91"/>
    <n v="0.1"/>
    <n v="1655.35"/>
    <m/>
    <x v="10"/>
    <x v="10"/>
    <n v="1655.3520000000001"/>
    <s v="OK"/>
  </r>
  <r>
    <s v="ORD-2257"/>
    <x v="87"/>
    <x v="2"/>
    <s v="S. Addo"/>
    <x v="190"/>
    <x v="4"/>
    <s v="Power Bank"/>
    <n v="12"/>
    <n v="181.43"/>
    <n v="0.15"/>
    <n v="1850.59"/>
    <m/>
    <x v="0"/>
    <x v="0"/>
    <n v="1850.5859999999998"/>
    <s v="OK"/>
  </r>
  <r>
    <s v="ORD-1856"/>
    <x v="185"/>
    <x v="0"/>
    <s v="J. Tetteh"/>
    <x v="171"/>
    <x v="4"/>
    <s v="Bluetooth Speaker"/>
    <n v="2"/>
    <n v="201.13"/>
    <n v="0"/>
    <n v="402.26"/>
    <m/>
    <x v="5"/>
    <x v="5"/>
    <n v="402.26"/>
    <s v="OK"/>
  </r>
  <r>
    <s v="ORD-1173"/>
    <x v="309"/>
    <x v="4"/>
    <s v="P. Amoah"/>
    <x v="31"/>
    <x v="3"/>
    <s v="Lip Balm Set"/>
    <n v="8"/>
    <n v="99.66"/>
    <n v="0.1"/>
    <n v="717.55"/>
    <m/>
    <x v="1"/>
    <x v="1"/>
    <n v="717.55200000000002"/>
    <s v="OK"/>
  </r>
  <r>
    <s v="ORD-2683"/>
    <x v="124"/>
    <x v="1"/>
    <s v="P. Amoah"/>
    <x v="78"/>
    <x v="0"/>
    <s v="Sunglasses"/>
    <n v="12"/>
    <n v="138.94"/>
    <n v="0"/>
    <n v="1667.28"/>
    <m/>
    <x v="8"/>
    <x v="8"/>
    <n v="1667.28"/>
    <s v="OK"/>
  </r>
  <r>
    <s v="ORD-2345"/>
    <x v="331"/>
    <x v="2"/>
    <s v="J. Tetteh"/>
    <x v="13"/>
    <x v="0"/>
    <s v="Cotton T-Shirt"/>
    <n v="9"/>
    <n v="138.55000000000001"/>
    <n v="0.05"/>
    <n v="1184.5999999999999"/>
    <m/>
    <x v="3"/>
    <x v="3"/>
    <n v="1184.6025"/>
    <s v="OK"/>
  </r>
  <r>
    <s v="ORD-1221"/>
    <x v="2"/>
    <x v="4"/>
    <s v="M. Ansah"/>
    <x v="12"/>
    <x v="2"/>
    <s v="Canned Tomatoes"/>
    <n v="11"/>
    <n v="165.17"/>
    <n v="0"/>
    <n v="1816.87"/>
    <m/>
    <x v="2"/>
    <x v="2"/>
    <n v="1816.87"/>
    <s v="OK"/>
  </r>
  <r>
    <s v="ORD-1319"/>
    <x v="86"/>
    <x v="1"/>
    <s v="M. Ansah"/>
    <x v="2"/>
    <x v="4"/>
    <s v="USB-C Cable"/>
    <n v="2"/>
    <n v="15.46"/>
    <n v="0.15"/>
    <n v="26.28"/>
    <m/>
    <x v="10"/>
    <x v="10"/>
    <n v="26.282"/>
    <s v="OK"/>
  </r>
  <r>
    <s v="ORD-2597"/>
    <x v="111"/>
    <x v="1"/>
    <s v="J. Tetteh"/>
    <x v="156"/>
    <x v="4"/>
    <s v="Bluetooth Speaker"/>
    <n v="2"/>
    <n v="231.95"/>
    <n v="0.05"/>
    <n v="440.7"/>
    <m/>
    <x v="4"/>
    <x v="4"/>
    <n v="440.70499999999998"/>
    <s v="MISMATCH"/>
  </r>
  <r>
    <s v="ORD-2620"/>
    <x v="178"/>
    <x v="3"/>
    <s v="M. Ansah"/>
    <x v="19"/>
    <x v="0"/>
    <s v="Denim Jeans"/>
    <n v="6"/>
    <n v="84.65"/>
    <n v="0.15"/>
    <n v="431.72"/>
    <m/>
    <x v="6"/>
    <x v="6"/>
    <n v="431.71500000000003"/>
    <s v="OK"/>
  </r>
  <r>
    <s v="ORD-1878"/>
    <x v="74"/>
    <x v="2"/>
    <s v="R. Ofori"/>
    <x v="129"/>
    <x v="2"/>
    <s v="Sugar 1kg"/>
    <n v="8"/>
    <n v="31.63"/>
    <n v="0.15"/>
    <n v="215.08"/>
    <m/>
    <x v="7"/>
    <x v="7"/>
    <n v="215.08399999999997"/>
    <s v="OK"/>
  </r>
  <r>
    <s v="ORD-2671"/>
    <x v="86"/>
    <x v="4"/>
    <s v="P. Amoah"/>
    <x v="102"/>
    <x v="1"/>
    <s v="Blender"/>
    <n v="1"/>
    <n v="91.88"/>
    <n v="0.05"/>
    <n v="87.29"/>
    <m/>
    <x v="10"/>
    <x v="10"/>
    <n v="87.285999999999987"/>
    <s v="OK"/>
  </r>
  <r>
    <s v="ORD-2070"/>
    <x v="124"/>
    <x v="2"/>
    <s v="R. Ofori"/>
    <x v="3"/>
    <x v="4"/>
    <s v="Wireless Earbuds"/>
    <n v="7"/>
    <n v="186.47"/>
    <n v="0"/>
    <n v="1305.29"/>
    <m/>
    <x v="8"/>
    <x v="8"/>
    <n v="1305.29"/>
    <s v="OK"/>
  </r>
  <r>
    <s v="ORD-1825"/>
    <x v="47"/>
    <x v="0"/>
    <s v="M. Ansah"/>
    <x v="44"/>
    <x v="3"/>
    <s v="Face Wash"/>
    <n v="3"/>
    <n v="6.57"/>
    <n v="0.05"/>
    <n v="18.72"/>
    <m/>
    <x v="9"/>
    <x v="9"/>
    <n v="18.724499999999999"/>
    <s v="OK"/>
  </r>
  <r>
    <s v="ORD-2375"/>
    <x v="51"/>
    <x v="3"/>
    <s v="J. Tetteh"/>
    <x v="56"/>
    <x v="2"/>
    <s v="Sugar 1kg"/>
    <n v="12"/>
    <n v="116.4"/>
    <n v="0"/>
    <n v="1396.8"/>
    <m/>
    <x v="1"/>
    <x v="1"/>
    <n v="1396.8000000000002"/>
    <s v="OK"/>
  </r>
  <r>
    <s v="ORD-1266"/>
    <x v="314"/>
    <x v="0"/>
    <s v="J. Tetteh"/>
    <x v="191"/>
    <x v="2"/>
    <s v="Rice 5kg"/>
    <n v="4"/>
    <n v="122.04"/>
    <n v="0.05"/>
    <n v="463.75"/>
    <m/>
    <x v="7"/>
    <x v="7"/>
    <n v="463.75200000000001"/>
    <s v="OK"/>
  </r>
  <r>
    <s v="ORD-1006"/>
    <x v="320"/>
    <x v="2"/>
    <s v="J. Tetteh"/>
    <x v="89"/>
    <x v="0"/>
    <s v="Sunglasses"/>
    <n v="7"/>
    <n v="202.24"/>
    <n v="0"/>
    <n v="1415.68"/>
    <m/>
    <x v="7"/>
    <x v="7"/>
    <n v="1415.68"/>
    <s v="OK"/>
  </r>
  <r>
    <s v="ORD-2232"/>
    <x v="56"/>
    <x v="3"/>
    <s v="S. Addo"/>
    <x v="161"/>
    <x v="3"/>
    <s v="Shampoo 400ml"/>
    <n v="11"/>
    <n v="171.7"/>
    <n v="0.15"/>
    <n v="1605.39"/>
    <m/>
    <x v="11"/>
    <x v="11"/>
    <n v="1605.3949999999998"/>
    <s v="MISMATCH"/>
  </r>
  <r>
    <s v="ORD-2338"/>
    <x v="140"/>
    <x v="2"/>
    <s v="S. Addo"/>
    <x v="152"/>
    <x v="1"/>
    <s v="Table Lamp"/>
    <n v="9"/>
    <n v="133.26"/>
    <n v="0"/>
    <n v="1199.3399999999999"/>
    <m/>
    <x v="6"/>
    <x v="6"/>
    <n v="1199.3399999999999"/>
    <s v="OK"/>
  </r>
  <r>
    <s v="ORD-1738"/>
    <x v="111"/>
    <x v="1"/>
    <s v="P. Amoah"/>
    <x v="142"/>
    <x v="1"/>
    <s v="Blender"/>
    <n v="9"/>
    <n v="65.349999999999994"/>
    <n v="0.15"/>
    <n v="499.93"/>
    <m/>
    <x v="4"/>
    <x v="4"/>
    <n v="499.92749999999995"/>
    <s v="OK"/>
  </r>
  <r>
    <s v="ORD-1138"/>
    <x v="35"/>
    <x v="4"/>
    <s v="P. Amoah"/>
    <x v="33"/>
    <x v="2"/>
    <s v="Sugar 1kg"/>
    <n v="10"/>
    <n v="205.14"/>
    <n v="0"/>
    <n v="2051.4"/>
    <m/>
    <x v="0"/>
    <x v="0"/>
    <n v="2051.3999999999996"/>
    <s v="OK"/>
  </r>
  <r>
    <s v="ORD-1163"/>
    <x v="272"/>
    <x v="3"/>
    <s v="M. Ansah"/>
    <x v="16"/>
    <x v="0"/>
    <s v="Denim Jeans"/>
    <n v="5"/>
    <n v="212.25"/>
    <n v="0"/>
    <n v="1061.25"/>
    <m/>
    <x v="2"/>
    <x v="2"/>
    <n v="1061.25"/>
    <s v="OK"/>
  </r>
  <r>
    <s v="ORD-2783"/>
    <x v="348"/>
    <x v="4"/>
    <s v="R. Ofori"/>
    <x v="193"/>
    <x v="0"/>
    <s v="Cotton T-Shirt"/>
    <n v="12"/>
    <n v="184.13"/>
    <n v="0.1"/>
    <n v="1988.6"/>
    <m/>
    <x v="1"/>
    <x v="1"/>
    <n v="1988.604"/>
    <s v="OK"/>
  </r>
  <r>
    <s v="ORD-1594"/>
    <x v="111"/>
    <x v="1"/>
    <s v="P. Amoah"/>
    <x v="172"/>
    <x v="4"/>
    <s v="Power Bank"/>
    <n v="2"/>
    <n v="222.55"/>
    <n v="0.05"/>
    <n v="422.85"/>
    <m/>
    <x v="4"/>
    <x v="4"/>
    <n v="422.84500000000003"/>
    <s v="OK"/>
  </r>
  <r>
    <s v="ORD-2726"/>
    <x v="170"/>
    <x v="0"/>
    <s v="R. Ofori"/>
    <x v="53"/>
    <x v="2"/>
    <s v="Pasta Pack"/>
    <n v="8"/>
    <n v="194.24"/>
    <n v="0"/>
    <n v="1553.92"/>
    <m/>
    <x v="8"/>
    <x v="8"/>
    <n v="1553.92"/>
    <s v="OK"/>
  </r>
  <r>
    <s v="ORD-2622"/>
    <x v="70"/>
    <x v="2"/>
    <s v="S. Addo"/>
    <x v="134"/>
    <x v="2"/>
    <s v="Cooking Oil 1L"/>
    <n v="5"/>
    <n v="144.91"/>
    <n v="0"/>
    <n v="724.55"/>
    <m/>
    <x v="1"/>
    <x v="1"/>
    <n v="724.55"/>
    <s v="OK"/>
  </r>
  <r>
    <s v="ORD-2331"/>
    <x v="22"/>
    <x v="4"/>
    <s v="R. Ofori"/>
    <x v="156"/>
    <x v="1"/>
    <s v="Non-stick Pan"/>
    <n v="9"/>
    <n v="151.78"/>
    <n v="0"/>
    <n v="1366.02"/>
    <m/>
    <x v="8"/>
    <x v="8"/>
    <n v="1366.02"/>
    <s v="OK"/>
  </r>
  <r>
    <s v="ORD-2157"/>
    <x v="82"/>
    <x v="1"/>
    <s v="R. Ofori"/>
    <x v="50"/>
    <x v="3"/>
    <s v="Face Wash"/>
    <n v="6"/>
    <n v="89.02"/>
    <n v="0"/>
    <n v="534.12"/>
    <m/>
    <x v="5"/>
    <x v="5"/>
    <n v="534.12"/>
    <s v="OK"/>
  </r>
  <r>
    <s v="ORD-2738"/>
    <x v="318"/>
    <x v="1"/>
    <s v="M. Ansah"/>
    <x v="27"/>
    <x v="0"/>
    <s v="Cotton T-Shirt"/>
    <n v="8"/>
    <n v="212.67"/>
    <n v="0"/>
    <n v="1701.36"/>
    <m/>
    <x v="11"/>
    <x v="11"/>
    <n v="1701.36"/>
    <s v="OK"/>
  </r>
  <r>
    <s v="ORD-1960"/>
    <x v="51"/>
    <x v="2"/>
    <s v="P. Amoah"/>
    <x v="19"/>
    <x v="1"/>
    <s v="Electric Kettle"/>
    <n v="11"/>
    <n v="193.75"/>
    <n v="0"/>
    <n v="2131.25"/>
    <m/>
    <x v="1"/>
    <x v="1"/>
    <n v="2131.25"/>
    <s v="OK"/>
  </r>
  <r>
    <s v="ORD-2316"/>
    <x v="2"/>
    <x v="1"/>
    <s v="P. Amoah"/>
    <x v="191"/>
    <x v="4"/>
    <s v="Laptop Stand"/>
    <n v="8"/>
    <n v="147.77000000000001"/>
    <n v="0.15"/>
    <n v="1004.84"/>
    <m/>
    <x v="2"/>
    <x v="2"/>
    <n v="1004.836"/>
    <s v="OK"/>
  </r>
  <r>
    <s v="ORD-2688"/>
    <x v="62"/>
    <x v="4"/>
    <s v="J. Tetteh"/>
    <x v="49"/>
    <x v="2"/>
    <s v="Rice 5kg"/>
    <n v="12"/>
    <n v="108.51"/>
    <n v="0"/>
    <n v="1302.1199999999999"/>
    <m/>
    <x v="10"/>
    <x v="10"/>
    <n v="1302.1200000000001"/>
    <s v="OK"/>
  </r>
  <r>
    <s v="ORD-1523"/>
    <x v="225"/>
    <x v="0"/>
    <s v="M. Ansah"/>
    <x v="8"/>
    <x v="1"/>
    <s v="Blender"/>
    <n v="8"/>
    <n v="128.97"/>
    <n v="0.1"/>
    <n v="928.58"/>
    <m/>
    <x v="0"/>
    <x v="0"/>
    <n v="928.58400000000006"/>
    <s v="OK"/>
  </r>
  <r>
    <s v="ORD-2256"/>
    <x v="126"/>
    <x v="4"/>
    <s v="S. Addo"/>
    <x v="42"/>
    <x v="0"/>
    <s v="Denim Jeans"/>
    <n v="12"/>
    <n v="83.81"/>
    <n v="0"/>
    <n v="1005.72"/>
    <m/>
    <x v="3"/>
    <x v="3"/>
    <n v="1005.72"/>
    <s v="OK"/>
  </r>
  <r>
    <s v="ORD-1806"/>
    <x v="76"/>
    <x v="1"/>
    <s v="S. Addo"/>
    <x v="127"/>
    <x v="4"/>
    <s v="Wireless Earbuds"/>
    <n v="2"/>
    <n v="245.86"/>
    <n v="0.15"/>
    <n v="417.96"/>
    <m/>
    <x v="8"/>
    <x v="8"/>
    <n v="417.96199999999999"/>
    <s v="OK"/>
  </r>
  <r>
    <s v="ORD-1744"/>
    <x v="148"/>
    <x v="3"/>
    <s v="P. Amoah"/>
    <x v="57"/>
    <x v="0"/>
    <s v="Leather Wallet"/>
    <n v="3"/>
    <n v="228.93"/>
    <n v="0.15"/>
    <n v="583.77"/>
    <m/>
    <x v="2"/>
    <x v="2"/>
    <n v="583.77149999999995"/>
    <s v="OK"/>
  </r>
  <r>
    <s v="ORD-2114"/>
    <x v="26"/>
    <x v="0"/>
    <s v="R. Ofori"/>
    <x v="95"/>
    <x v="0"/>
    <s v="Denim Jeans"/>
    <n v="9"/>
    <n v="172.92"/>
    <n v="0.05"/>
    <n v="1478.47"/>
    <m/>
    <x v="3"/>
    <x v="3"/>
    <n v="1478.4659999999999"/>
    <s v="OK"/>
  </r>
  <r>
    <s v="ORD-1578"/>
    <x v="67"/>
    <x v="2"/>
    <s v="S. Addo"/>
    <x v="131"/>
    <x v="2"/>
    <s v="Cooking Oil 1L"/>
    <n v="3"/>
    <n v="105.95"/>
    <n v="0.1"/>
    <n v="286.07"/>
    <m/>
    <x v="3"/>
    <x v="3"/>
    <n v="286.06500000000005"/>
    <s v="OK"/>
  </r>
  <r>
    <s v="ORD-1845"/>
    <x v="147"/>
    <x v="1"/>
    <s v="M. Ansah"/>
    <x v="158"/>
    <x v="1"/>
    <s v="Electric Kettle"/>
    <n v="11"/>
    <n v="78.28"/>
    <n v="0"/>
    <n v="861.08"/>
    <m/>
    <x v="3"/>
    <x v="3"/>
    <n v="861.08"/>
    <s v="OK"/>
  </r>
  <r>
    <s v="ORD-2293"/>
    <x v="21"/>
    <x v="3"/>
    <s v="S. Addo"/>
    <x v="25"/>
    <x v="2"/>
    <s v="Cooking Oil 1L"/>
    <n v="3"/>
    <n v="122.39"/>
    <n v="0.05"/>
    <n v="348.81"/>
    <m/>
    <x v="2"/>
    <x v="2"/>
    <n v="348.81150000000002"/>
    <s v="OK"/>
  </r>
  <r>
    <s v="ORD-1019"/>
    <x v="348"/>
    <x v="2"/>
    <s v="M. Ansah"/>
    <x v="164"/>
    <x v="3"/>
    <s v="Hair Oil"/>
    <n v="2"/>
    <n v="66.2"/>
    <n v="0.05"/>
    <n v="125.78"/>
    <m/>
    <x v="1"/>
    <x v="1"/>
    <n v="125.78"/>
    <s v="OK"/>
  </r>
  <r>
    <s v="ORD-2190"/>
    <x v="88"/>
    <x v="0"/>
    <s v="J. Tetteh"/>
    <x v="51"/>
    <x v="0"/>
    <s v="Sunglasses"/>
    <n v="5"/>
    <n v="80.260000000000005"/>
    <n v="0"/>
    <n v="401.3"/>
    <m/>
    <x v="7"/>
    <x v="7"/>
    <n v="401.3"/>
    <s v="OK"/>
  </r>
  <r>
    <s v="ORD-2709"/>
    <x v="83"/>
    <x v="2"/>
    <s v="M. Ansah"/>
    <x v="26"/>
    <x v="1"/>
    <s v="Non-stick Pan"/>
    <n v="4"/>
    <n v="86.1"/>
    <n v="0"/>
    <n v="344.4"/>
    <m/>
    <x v="1"/>
    <x v="1"/>
    <n v="344.4"/>
    <s v="OK"/>
  </r>
  <r>
    <s v="ORD-1633"/>
    <x v="161"/>
    <x v="3"/>
    <s v="J. Tetteh"/>
    <x v="98"/>
    <x v="4"/>
    <s v="USB-C Cable"/>
    <n v="12"/>
    <n v="101.73"/>
    <n v="0.1"/>
    <n v="1098.68"/>
    <m/>
    <x v="0"/>
    <x v="0"/>
    <n v="1098.684"/>
    <s v="OK"/>
  </r>
  <r>
    <s v="ORD-2077"/>
    <x v="101"/>
    <x v="0"/>
    <s v="S. Addo"/>
    <x v="21"/>
    <x v="2"/>
    <s v="Rice 5kg"/>
    <n v="9"/>
    <n v="184.36"/>
    <n v="0"/>
    <n v="1659.24"/>
    <m/>
    <x v="5"/>
    <x v="5"/>
    <n v="1659.2400000000002"/>
    <s v="OK"/>
  </r>
  <r>
    <s v="ORD-1618"/>
    <x v="290"/>
    <x v="3"/>
    <s v="S. Addo"/>
    <x v="143"/>
    <x v="1"/>
    <s v="Non-stick Pan"/>
    <n v="6"/>
    <n v="160.88"/>
    <n v="0"/>
    <n v="965.28"/>
    <m/>
    <x v="9"/>
    <x v="9"/>
    <n v="965.28"/>
    <s v="OK"/>
  </r>
  <r>
    <s v="ORD-2087"/>
    <x v="18"/>
    <x v="0"/>
    <s v="S. Addo"/>
    <x v="0"/>
    <x v="4"/>
    <s v="Power Bank"/>
    <n v="7"/>
    <n v="203.21"/>
    <n v="0.05"/>
    <n v="1351.35"/>
    <m/>
    <x v="9"/>
    <x v="9"/>
    <n v="1351.3464999999999"/>
    <s v="OK"/>
  </r>
  <r>
    <s v="ORD-1655"/>
    <x v="267"/>
    <x v="2"/>
    <s v="M. Ansah"/>
    <x v="157"/>
    <x v="2"/>
    <s v="Canned Tomatoes"/>
    <n v="5"/>
    <n v="12.14"/>
    <n v="0.15"/>
    <n v="51.59"/>
    <m/>
    <x v="1"/>
    <x v="1"/>
    <n v="51.594999999999999"/>
    <s v="MISMATCH"/>
  </r>
  <r>
    <s v="ORD-1016"/>
    <x v="203"/>
    <x v="4"/>
    <s v="P. Amoah"/>
    <x v="53"/>
    <x v="4"/>
    <s v="Wireless Earbuds"/>
    <n v="4"/>
    <n v="168.9"/>
    <n v="0.1"/>
    <n v="608.04"/>
    <m/>
    <x v="1"/>
    <x v="1"/>
    <n v="608.04000000000008"/>
    <s v="OK"/>
  </r>
  <r>
    <s v="ORD-2788"/>
    <x v="238"/>
    <x v="0"/>
    <s v="R. Ofori"/>
    <x v="108"/>
    <x v="2"/>
    <s v="Canned Tomatoes"/>
    <n v="4"/>
    <n v="154.72"/>
    <n v="0"/>
    <n v="618.88"/>
    <m/>
    <x v="5"/>
    <x v="5"/>
    <n v="618.88"/>
    <s v="OK"/>
  </r>
  <r>
    <s v="ORD-2632"/>
    <x v="113"/>
    <x v="3"/>
    <s v="J. Tetteh"/>
    <x v="164"/>
    <x v="3"/>
    <s v="Shea Butter Lotion"/>
    <n v="2"/>
    <n v="184.28"/>
    <n v="0"/>
    <n v="368.56"/>
    <m/>
    <x v="8"/>
    <x v="8"/>
    <n v="368.56"/>
    <s v="OK"/>
  </r>
  <r>
    <s v="ORD-1137"/>
    <x v="210"/>
    <x v="2"/>
    <s v="P. Amoah"/>
    <x v="93"/>
    <x v="3"/>
    <s v="Face Wash"/>
    <n v="8"/>
    <n v="241.57"/>
    <n v="0"/>
    <n v="1932.56"/>
    <m/>
    <x v="1"/>
    <x v="1"/>
    <n v="1932.56"/>
    <s v="OK"/>
  </r>
  <r>
    <s v="ORD-2124"/>
    <x v="296"/>
    <x v="3"/>
    <s v="P. Amoah"/>
    <x v="16"/>
    <x v="1"/>
    <s v="Blender"/>
    <n v="1"/>
    <n v="192.85"/>
    <n v="0"/>
    <n v="192.85"/>
    <m/>
    <x v="8"/>
    <x v="8"/>
    <n v="192.85"/>
    <s v="OK"/>
  </r>
  <r>
    <s v="ORD-2385"/>
    <x v="48"/>
    <x v="2"/>
    <s v="M. Ansah"/>
    <x v="126"/>
    <x v="2"/>
    <s v="Rice 5kg"/>
    <n v="12"/>
    <n v="78.58"/>
    <n v="0.15"/>
    <n v="801.52"/>
    <m/>
    <x v="7"/>
    <x v="7"/>
    <n v="801.51599999999996"/>
    <s v="OK"/>
  </r>
  <r>
    <s v="ORD-1557"/>
    <x v="83"/>
    <x v="2"/>
    <s v="S. Addo"/>
    <x v="110"/>
    <x v="2"/>
    <s v="Pasta Pack"/>
    <n v="10"/>
    <n v="67.56"/>
    <n v="0.05"/>
    <n v="641.82000000000005"/>
    <m/>
    <x v="1"/>
    <x v="1"/>
    <n v="641.81999999999994"/>
    <s v="OK"/>
  </r>
  <r>
    <s v="ORD-1697"/>
    <x v="109"/>
    <x v="2"/>
    <s v="M. Ansah"/>
    <x v="57"/>
    <x v="1"/>
    <s v="Blender"/>
    <n v="11"/>
    <n v="111.77"/>
    <n v="0.1"/>
    <n v="1106.52"/>
    <m/>
    <x v="8"/>
    <x v="8"/>
    <n v="1106.5230000000001"/>
    <s v="OK"/>
  </r>
  <r>
    <s v="ORD-2500"/>
    <x v="49"/>
    <x v="2"/>
    <s v="R. Ofori"/>
    <x v="158"/>
    <x v="3"/>
    <s v="Lip Balm Set"/>
    <n v="11"/>
    <n v="137.56"/>
    <n v="0.15"/>
    <n v="1286.19"/>
    <m/>
    <x v="4"/>
    <x v="4"/>
    <n v="1286.1860000000001"/>
    <s v="OK"/>
  </r>
  <r>
    <s v="ORD-1158"/>
    <x v="120"/>
    <x v="4"/>
    <s v="J. Tetteh"/>
    <x v="163"/>
    <x v="4"/>
    <s v="USB-C Cable"/>
    <n v="12"/>
    <n v="168.62"/>
    <n v="0"/>
    <n v="2023.44"/>
    <m/>
    <x v="4"/>
    <x v="4"/>
    <n v="2023.44"/>
    <s v="OK"/>
  </r>
  <r>
    <s v="ORD-1861"/>
    <x v="109"/>
    <x v="1"/>
    <s v="R. Ofori"/>
    <x v="193"/>
    <x v="4"/>
    <s v="Power Bank"/>
    <n v="2"/>
    <n v="103.01"/>
    <n v="0"/>
    <n v="206.02"/>
    <m/>
    <x v="8"/>
    <x v="8"/>
    <n v="206.02"/>
    <s v="OK"/>
  </r>
  <r>
    <s v="ORD-2473"/>
    <x v="18"/>
    <x v="2"/>
    <s v="S. Addo"/>
    <x v="44"/>
    <x v="0"/>
    <s v="Sneakers"/>
    <n v="6"/>
    <n v="243.91"/>
    <n v="0"/>
    <n v="1463.46"/>
    <m/>
    <x v="9"/>
    <x v="9"/>
    <n v="1463.46"/>
    <s v="OK"/>
  </r>
  <r>
    <s v="ORD-1448"/>
    <x v="271"/>
    <x v="4"/>
    <s v="S. Addo"/>
    <x v="10"/>
    <x v="2"/>
    <s v="Sugar 1kg"/>
    <n v="9"/>
    <n v="200.21"/>
    <n v="0"/>
    <n v="1801.89"/>
    <m/>
    <x v="6"/>
    <x v="6"/>
    <n v="1801.89"/>
    <s v="OK"/>
  </r>
  <r>
    <s v="ORD-1368"/>
    <x v="350"/>
    <x v="1"/>
    <s v="R. Ofori"/>
    <x v="0"/>
    <x v="0"/>
    <s v="Sneakers"/>
    <n v="12"/>
    <n v="106.12"/>
    <n v="0.15"/>
    <n v="1082.42"/>
    <m/>
    <x v="3"/>
    <x v="3"/>
    <n v="1082.424"/>
    <s v="OK"/>
  </r>
  <r>
    <s v="ORD-2745"/>
    <x v="5"/>
    <x v="2"/>
    <s v="R. Ofori"/>
    <x v="76"/>
    <x v="1"/>
    <s v="Table Lamp"/>
    <n v="7"/>
    <n v="216.98"/>
    <n v="0"/>
    <n v="1518.86"/>
    <m/>
    <x v="5"/>
    <x v="5"/>
    <n v="1518.86"/>
    <s v="OK"/>
  </r>
  <r>
    <s v="ORD-1327"/>
    <x v="102"/>
    <x v="2"/>
    <s v="J. Tetteh"/>
    <x v="157"/>
    <x v="1"/>
    <s v="Electric Kettle"/>
    <n v="12"/>
    <n v="229.92"/>
    <n v="0"/>
    <n v="2759.04"/>
    <m/>
    <x v="10"/>
    <x v="10"/>
    <n v="2759.04"/>
    <s v="OK"/>
  </r>
  <r>
    <s v="ORD-1317"/>
    <x v="116"/>
    <x v="3"/>
    <s v="M. Ansah"/>
    <x v="94"/>
    <x v="0"/>
    <s v="Sunglasses"/>
    <n v="9"/>
    <n v="211"/>
    <n v="0.05"/>
    <n v="1804.05"/>
    <m/>
    <x v="5"/>
    <x v="5"/>
    <n v="1804.05"/>
    <s v="OK"/>
  </r>
  <r>
    <s v="ORD-2391"/>
    <x v="134"/>
    <x v="2"/>
    <s v="J. Tetteh"/>
    <x v="176"/>
    <x v="3"/>
    <s v="Lip Balm Set"/>
    <n v="9"/>
    <n v="107.24"/>
    <n v="0"/>
    <n v="965.16"/>
    <m/>
    <x v="10"/>
    <x v="10"/>
    <n v="965.16"/>
    <s v="OK"/>
  </r>
  <r>
    <s v="ORD-1526"/>
    <x v="276"/>
    <x v="2"/>
    <s v="S. Addo"/>
    <x v="19"/>
    <x v="2"/>
    <s v="Rice 5kg"/>
    <n v="4"/>
    <n v="161.52000000000001"/>
    <n v="0"/>
    <n v="646.08000000000004"/>
    <m/>
    <x v="6"/>
    <x v="6"/>
    <n v="646.08000000000004"/>
    <s v="OK"/>
  </r>
  <r>
    <s v="ORD-1087"/>
    <x v="351"/>
    <x v="2"/>
    <s v="M. Ansah"/>
    <x v="183"/>
    <x v="4"/>
    <s v="Laptop Stand"/>
    <n v="1"/>
    <n v="226.34"/>
    <n v="0"/>
    <n v="226.34"/>
    <m/>
    <x v="4"/>
    <x v="4"/>
    <n v="226.34"/>
    <s v="OK"/>
  </r>
  <r>
    <s v="ORD-2167"/>
    <x v="240"/>
    <x v="3"/>
    <s v="P. Amoah"/>
    <x v="180"/>
    <x v="4"/>
    <s v="Laptop Stand"/>
    <n v="3"/>
    <n v="213.33"/>
    <n v="0.05"/>
    <n v="607.99"/>
    <m/>
    <x v="3"/>
    <x v="3"/>
    <n v="607.9905"/>
    <s v="OK"/>
  </r>
  <r>
    <s v="ORD-1148"/>
    <x v="333"/>
    <x v="3"/>
    <s v="R. Ofori"/>
    <x v="184"/>
    <x v="0"/>
    <s v="Sunglasses"/>
    <n v="3"/>
    <n v="159.78"/>
    <n v="0"/>
    <n v="479.34"/>
    <m/>
    <x v="4"/>
    <x v="4"/>
    <n v="479.34000000000003"/>
    <s v="OK"/>
  </r>
  <r>
    <s v="ORD-2480"/>
    <x v="267"/>
    <x v="3"/>
    <s v="P. Amoah"/>
    <x v="83"/>
    <x v="3"/>
    <s v="Shampoo 400ml"/>
    <n v="4"/>
    <n v="125.7"/>
    <n v="0"/>
    <n v="502.8"/>
    <m/>
    <x v="1"/>
    <x v="1"/>
    <n v="502.8"/>
    <s v="OK"/>
  </r>
  <r>
    <s v="ORD-2740"/>
    <x v="19"/>
    <x v="2"/>
    <s v="M. Ansah"/>
    <x v="99"/>
    <x v="0"/>
    <s v="Sneakers"/>
    <n v="9"/>
    <n v="100.42"/>
    <n v="0"/>
    <n v="903.78"/>
    <m/>
    <x v="10"/>
    <x v="10"/>
    <n v="903.78"/>
    <s v="OK"/>
  </r>
  <r>
    <s v="ORD-1365"/>
    <x v="142"/>
    <x v="3"/>
    <s v="J. Tetteh"/>
    <x v="31"/>
    <x v="1"/>
    <s v="Storage Containers"/>
    <n v="11"/>
    <n v="232.02"/>
    <n v="0.1"/>
    <n v="2297"/>
    <m/>
    <x v="9"/>
    <x v="9"/>
    <n v="2296.9980000000005"/>
    <s v="OK"/>
  </r>
  <r>
    <s v="ORD-1589"/>
    <x v="181"/>
    <x v="2"/>
    <s v="P. Amoah"/>
    <x v="12"/>
    <x v="0"/>
    <s v="Sneakers"/>
    <n v="1"/>
    <n v="107.35"/>
    <n v="0"/>
    <n v="107.35"/>
    <m/>
    <x v="11"/>
    <x v="11"/>
    <n v="107.35"/>
    <s v="OK"/>
  </r>
  <r>
    <s v="ORD-2377"/>
    <x v="59"/>
    <x v="4"/>
    <s v="J. Tetteh"/>
    <x v="76"/>
    <x v="3"/>
    <s v="Shea Butter Lotion"/>
    <n v="12"/>
    <n v="118.48"/>
    <n v="0.1"/>
    <n v="1279.58"/>
    <m/>
    <x v="3"/>
    <x v="3"/>
    <n v="1279.5840000000001"/>
    <s v="OK"/>
  </r>
  <r>
    <s v="ORD-1198"/>
    <x v="222"/>
    <x v="4"/>
    <s v="R. Ofori"/>
    <x v="136"/>
    <x v="4"/>
    <s v="Power Bank"/>
    <n v="1"/>
    <n v="116.92"/>
    <n v="0.1"/>
    <n v="105.23"/>
    <m/>
    <x v="11"/>
    <x v="11"/>
    <n v="105.22800000000001"/>
    <s v="OK"/>
  </r>
  <r>
    <s v="ORD-2722"/>
    <x v="265"/>
    <x v="0"/>
    <s v="M. Ansah"/>
    <x v="95"/>
    <x v="2"/>
    <s v="Sugar 1kg"/>
    <n v="10"/>
    <n v="80.790000000000006"/>
    <n v="0"/>
    <n v="807.9"/>
    <m/>
    <x v="7"/>
    <x v="7"/>
    <n v="807.90000000000009"/>
    <s v="OK"/>
  </r>
  <r>
    <s v="ORD-1192"/>
    <x v="81"/>
    <x v="1"/>
    <s v="M. Ansah"/>
    <x v="24"/>
    <x v="0"/>
    <s v="Cotton T-Shirt"/>
    <n v="4"/>
    <n v="84.28"/>
    <n v="0"/>
    <n v="337.12"/>
    <m/>
    <x v="11"/>
    <x v="11"/>
    <n v="337.12"/>
    <s v="OK"/>
  </r>
  <r>
    <s v="ORD-1404"/>
    <x v="111"/>
    <x v="3"/>
    <s v="R. Ofori"/>
    <x v="53"/>
    <x v="1"/>
    <s v="Storage Containers"/>
    <n v="10"/>
    <n v="122.36"/>
    <n v="0"/>
    <n v="1223.5999999999999"/>
    <m/>
    <x v="4"/>
    <x v="4"/>
    <n v="1223.5999999999999"/>
    <s v="OK"/>
  </r>
  <r>
    <s v="ORD-2545"/>
    <x v="223"/>
    <x v="3"/>
    <s v="J. Tetteh"/>
    <x v="152"/>
    <x v="2"/>
    <s v="Canned Tomatoes"/>
    <n v="2"/>
    <n v="172.8"/>
    <n v="0"/>
    <n v="345.6"/>
    <m/>
    <x v="9"/>
    <x v="9"/>
    <n v="345.6"/>
    <s v="OK"/>
  </r>
  <r>
    <s v="ORD-2322"/>
    <x v="161"/>
    <x v="1"/>
    <s v="M. Ansah"/>
    <x v="193"/>
    <x v="4"/>
    <s v="Laptop Stand"/>
    <n v="6"/>
    <n v="20.38"/>
    <n v="0.15"/>
    <n v="103.94"/>
    <m/>
    <x v="0"/>
    <x v="0"/>
    <n v="103.938"/>
    <s v="OK"/>
  </r>
  <r>
    <s v="ORD-1483"/>
    <x v="294"/>
    <x v="1"/>
    <s v="S. Addo"/>
    <x v="64"/>
    <x v="0"/>
    <s v="Leather Wallet"/>
    <n v="8"/>
    <n v="155.97"/>
    <n v="0.1"/>
    <n v="1122.98"/>
    <m/>
    <x v="11"/>
    <x v="11"/>
    <n v="1122.9839999999999"/>
    <s v="OK"/>
  </r>
  <r>
    <s v="ORD-2332"/>
    <x v="57"/>
    <x v="3"/>
    <s v="J. Tetteh"/>
    <x v="29"/>
    <x v="1"/>
    <s v="Non-stick Pan"/>
    <n v="4"/>
    <n v="95.65"/>
    <n v="0"/>
    <n v="382.6"/>
    <m/>
    <x v="6"/>
    <x v="6"/>
    <n v="382.6"/>
    <s v="OK"/>
  </r>
  <r>
    <s v="ORD-1791"/>
    <x v="332"/>
    <x v="3"/>
    <s v="P. Amoah"/>
    <x v="12"/>
    <x v="3"/>
    <s v="Face Wash"/>
    <n v="1"/>
    <n v="72.48"/>
    <n v="0"/>
    <n v="72.48"/>
    <m/>
    <x v="4"/>
    <x v="4"/>
    <n v="72.48"/>
    <s v="OK"/>
  </r>
  <r>
    <s v="ORD-1799"/>
    <x v="46"/>
    <x v="3"/>
    <s v="J. Tetteh"/>
    <x v="63"/>
    <x v="3"/>
    <s v="Shea Butter Lotion"/>
    <n v="11"/>
    <n v="46.27"/>
    <n v="0"/>
    <n v="508.97"/>
    <m/>
    <x v="3"/>
    <x v="3"/>
    <n v="508.97"/>
    <s v="OK"/>
  </r>
  <r>
    <s v="ORD-1384"/>
    <x v="201"/>
    <x v="4"/>
    <s v="J. Tetteh"/>
    <x v="32"/>
    <x v="2"/>
    <s v="Sugar 1kg"/>
    <n v="9"/>
    <n v="199.58"/>
    <n v="0"/>
    <n v="1796.22"/>
    <m/>
    <x v="6"/>
    <x v="6"/>
    <n v="1796.22"/>
    <s v="OK"/>
  </r>
  <r>
    <s v="ORD-1750"/>
    <x v="220"/>
    <x v="4"/>
    <s v="M. Ansah"/>
    <x v="36"/>
    <x v="4"/>
    <s v="Power Bank"/>
    <n v="12"/>
    <n v="220.85"/>
    <n v="0"/>
    <n v="2650.2"/>
    <m/>
    <x v="4"/>
    <x v="4"/>
    <n v="2650.2"/>
    <s v="OK"/>
  </r>
  <r>
    <s v="ORD-1422"/>
    <x v="257"/>
    <x v="0"/>
    <s v="M. Ansah"/>
    <x v="150"/>
    <x v="0"/>
    <s v="Leather Wallet"/>
    <n v="5"/>
    <n v="145.85"/>
    <n v="0"/>
    <n v="729.25"/>
    <m/>
    <x v="10"/>
    <x v="10"/>
    <n v="729.25"/>
    <s v="OK"/>
  </r>
  <r>
    <s v="ORD-1314"/>
    <x v="118"/>
    <x v="0"/>
    <s v="J. Tetteh"/>
    <x v="165"/>
    <x v="0"/>
    <s v="Sunglasses"/>
    <n v="5"/>
    <n v="46.85"/>
    <n v="0"/>
    <n v="234.25"/>
    <m/>
    <x v="6"/>
    <x v="6"/>
    <n v="234.25"/>
    <s v="OK"/>
  </r>
  <r>
    <s v="ORD-2021"/>
    <x v="203"/>
    <x v="3"/>
    <s v="S. Addo"/>
    <x v="140"/>
    <x v="0"/>
    <s v="Denim Jeans"/>
    <n v="9"/>
    <n v="92.65"/>
    <n v="0"/>
    <n v="833.85"/>
    <m/>
    <x v="1"/>
    <x v="1"/>
    <n v="833.85"/>
    <s v="OK"/>
  </r>
  <r>
    <s v="ORD-1543"/>
    <x v="3"/>
    <x v="0"/>
    <s v="S. Addo"/>
    <x v="85"/>
    <x v="2"/>
    <s v="Sugar 1kg"/>
    <n v="2"/>
    <n v="37.9"/>
    <n v="0.15"/>
    <n v="64.430000000000007"/>
    <m/>
    <x v="3"/>
    <x v="3"/>
    <n v="64.429999999999993"/>
    <s v="OK"/>
  </r>
  <r>
    <s v="ORD-1913"/>
    <x v="217"/>
    <x v="1"/>
    <s v="M. Ansah"/>
    <x v="160"/>
    <x v="4"/>
    <s v="Power Bank"/>
    <n v="3"/>
    <n v="248.72"/>
    <n v="0.05"/>
    <n v="708.85"/>
    <m/>
    <x v="0"/>
    <x v="0"/>
    <n v="708.85199999999998"/>
    <s v="OK"/>
  </r>
  <r>
    <s v="ORD-1662"/>
    <x v="95"/>
    <x v="0"/>
    <s v="M. Ansah"/>
    <x v="189"/>
    <x v="0"/>
    <s v="Leather Wallet"/>
    <n v="7"/>
    <n v="6.93"/>
    <n v="0"/>
    <n v="48.51"/>
    <m/>
    <x v="10"/>
    <x v="10"/>
    <n v="48.51"/>
    <s v="OK"/>
  </r>
  <r>
    <s v="ORD-1902"/>
    <x v="319"/>
    <x v="1"/>
    <s v="M. Ansah"/>
    <x v="104"/>
    <x v="1"/>
    <s v="Storage Containers"/>
    <n v="3"/>
    <n v="204.82"/>
    <n v="0"/>
    <n v="614.46"/>
    <m/>
    <x v="10"/>
    <x v="10"/>
    <n v="614.46"/>
    <s v="OK"/>
  </r>
  <r>
    <s v="ORD-2280"/>
    <x v="349"/>
    <x v="4"/>
    <s v="M. Ansah"/>
    <x v="134"/>
    <x v="1"/>
    <s v="Non-stick Pan"/>
    <n v="3"/>
    <n v="15.97"/>
    <n v="0.1"/>
    <n v="43.12"/>
    <m/>
    <x v="9"/>
    <x v="9"/>
    <n v="43.119000000000007"/>
    <s v="OK"/>
  </r>
  <r>
    <s v="ORD-1685"/>
    <x v="145"/>
    <x v="3"/>
    <s v="J. Tetteh"/>
    <x v="34"/>
    <x v="0"/>
    <s v="Sunglasses"/>
    <n v="1"/>
    <n v="84.18"/>
    <n v="0.15"/>
    <n v="71.55"/>
    <m/>
    <x v="8"/>
    <x v="8"/>
    <n v="71.552999999999997"/>
    <s v="OK"/>
  </r>
  <r>
    <s v="ORD-2532"/>
    <x v="16"/>
    <x v="4"/>
    <s v="S. Addo"/>
    <x v="159"/>
    <x v="1"/>
    <s v="Non-stick Pan"/>
    <n v="2"/>
    <n v="221.45"/>
    <n v="0.05"/>
    <n v="420.75"/>
    <m/>
    <x v="5"/>
    <x v="5"/>
    <n v="420.75499999999994"/>
    <s v="MISMATCH"/>
  </r>
  <r>
    <s v="ORD-1159"/>
    <x v="325"/>
    <x v="1"/>
    <s v="P. Amoah"/>
    <x v="16"/>
    <x v="0"/>
    <s v="Denim Jeans"/>
    <n v="3"/>
    <n v="246.36"/>
    <n v="0"/>
    <n v="739.08"/>
    <m/>
    <x v="7"/>
    <x v="7"/>
    <n v="739.08"/>
    <s v="OK"/>
  </r>
  <r>
    <s v="ORD-1999"/>
    <x v="117"/>
    <x v="2"/>
    <s v="J. Tetteh"/>
    <x v="52"/>
    <x v="0"/>
    <s v="Sunglasses"/>
    <n v="7"/>
    <n v="41.24"/>
    <n v="0"/>
    <n v="288.68"/>
    <m/>
    <x v="1"/>
    <x v="1"/>
    <n v="288.68"/>
    <s v="OK"/>
  </r>
  <r>
    <s v="ORD-2427"/>
    <x v="58"/>
    <x v="0"/>
    <s v="Unassigned"/>
    <x v="3"/>
    <x v="0"/>
    <s v="Cotton T-Shirt"/>
    <n v="5"/>
    <n v="24.14"/>
    <n v="0"/>
    <n v="120.7"/>
    <m/>
    <x v="8"/>
    <x v="8"/>
    <n v="120.7"/>
    <s v="OK"/>
  </r>
  <r>
    <s v="ORD-2618"/>
    <x v="292"/>
    <x v="3"/>
    <s v="R. Ofori"/>
    <x v="9"/>
    <x v="4"/>
    <s v="USB-C Cable"/>
    <n v="1"/>
    <n v="239.39"/>
    <n v="0"/>
    <n v="239.39"/>
    <m/>
    <x v="7"/>
    <x v="7"/>
    <n v="239.39"/>
    <s v="OK"/>
  </r>
  <r>
    <s v="ORD-1202"/>
    <x v="276"/>
    <x v="1"/>
    <s v="J. Tetteh"/>
    <x v="34"/>
    <x v="2"/>
    <s v="Pasta Pack"/>
    <n v="12"/>
    <n v="118.44"/>
    <n v="0.1"/>
    <n v="1279.1500000000001"/>
    <m/>
    <x v="6"/>
    <x v="6"/>
    <n v="1279.152"/>
    <s v="OK"/>
  </r>
  <r>
    <s v="ORD-2023"/>
    <x v="280"/>
    <x v="4"/>
    <s v="R. Ofori"/>
    <x v="35"/>
    <x v="4"/>
    <s v="Laptop Stand"/>
    <n v="9"/>
    <n v="146.13"/>
    <n v="0.15"/>
    <n v="1117.8900000000001"/>
    <m/>
    <x v="2"/>
    <x v="2"/>
    <n v="1117.8945000000001"/>
    <s v="OK"/>
  </r>
  <r>
    <s v="ORD-2395"/>
    <x v="80"/>
    <x v="1"/>
    <s v="M. Ansah"/>
    <x v="150"/>
    <x v="0"/>
    <s v="Leather Wallet"/>
    <n v="6"/>
    <n v="52"/>
    <n v="0.1"/>
    <n v="280.8"/>
    <m/>
    <x v="2"/>
    <x v="2"/>
    <n v="280.8"/>
    <s v="OK"/>
  </r>
  <r>
    <s v="ORD-2088"/>
    <x v="250"/>
    <x v="4"/>
    <s v="J. Tetteh"/>
    <x v="89"/>
    <x v="0"/>
    <s v="Sneakers"/>
    <n v="10"/>
    <n v="105.4"/>
    <n v="0"/>
    <n v="1054"/>
    <m/>
    <x v="2"/>
    <x v="2"/>
    <n v="1054"/>
    <s v="OK"/>
  </r>
  <r>
    <s v="ORD-1112"/>
    <x v="309"/>
    <x v="0"/>
    <s v="J. Tetteh"/>
    <x v="41"/>
    <x v="4"/>
    <s v="USB-C Cable"/>
    <n v="10"/>
    <n v="91.15"/>
    <n v="0.1"/>
    <n v="820.35"/>
    <m/>
    <x v="1"/>
    <x v="1"/>
    <n v="820.35"/>
    <s v="OK"/>
  </r>
  <r>
    <s v="ORD-2647"/>
    <x v="259"/>
    <x v="3"/>
    <s v="J. Tetteh"/>
    <x v="126"/>
    <x v="4"/>
    <s v="Wireless Earbuds"/>
    <n v="1"/>
    <n v="14.49"/>
    <n v="0.15"/>
    <n v="12.32"/>
    <m/>
    <x v="3"/>
    <x v="3"/>
    <n v="12.3165"/>
    <s v="OK"/>
  </r>
  <r>
    <s v="ORD-1980"/>
    <x v="49"/>
    <x v="3"/>
    <s v="J. Tetteh"/>
    <x v="199"/>
    <x v="4"/>
    <s v="Bluetooth Speaker"/>
    <n v="1"/>
    <n v="68.62"/>
    <n v="0"/>
    <n v="68.62"/>
    <m/>
    <x v="4"/>
    <x v="4"/>
    <n v="68.62"/>
    <s v="OK"/>
  </r>
  <r>
    <s v="ORD-1922"/>
    <x v="101"/>
    <x v="0"/>
    <s v="S. Addo"/>
    <x v="98"/>
    <x v="2"/>
    <s v="Canned Tomatoes"/>
    <n v="7"/>
    <n v="178.79"/>
    <n v="0"/>
    <n v="1251.53"/>
    <m/>
    <x v="5"/>
    <x v="5"/>
    <n v="1251.53"/>
    <s v="OK"/>
  </r>
  <r>
    <s v="ORD-2355"/>
    <x v="144"/>
    <x v="0"/>
    <s v="P. Amoah"/>
    <x v="130"/>
    <x v="2"/>
    <s v="Sugar 1kg"/>
    <n v="10"/>
    <n v="122.64"/>
    <n v="0"/>
    <n v="1226.4000000000001"/>
    <m/>
    <x v="11"/>
    <x v="11"/>
    <n v="1226.4000000000001"/>
    <s v="OK"/>
  </r>
  <r>
    <s v="ORD-2448"/>
    <x v="141"/>
    <x v="0"/>
    <s v="R. Ofori"/>
    <x v="112"/>
    <x v="3"/>
    <s v="Face Wash"/>
    <n v="4"/>
    <n v="168.23"/>
    <n v="0"/>
    <n v="672.92"/>
    <m/>
    <x v="7"/>
    <x v="7"/>
    <n v="672.92"/>
    <s v="OK"/>
  </r>
  <r>
    <s v="ORD-2471"/>
    <x v="285"/>
    <x v="3"/>
    <s v="P. Amoah"/>
    <x v="117"/>
    <x v="1"/>
    <s v="Blender"/>
    <n v="9"/>
    <n v="120.99"/>
    <n v="0.1"/>
    <n v="980.02"/>
    <m/>
    <x v="0"/>
    <x v="0"/>
    <n v="980.01899999999989"/>
    <s v="OK"/>
  </r>
  <r>
    <s v="ORD-2139"/>
    <x v="284"/>
    <x v="0"/>
    <s v="R. Ofori"/>
    <x v="0"/>
    <x v="1"/>
    <s v="Storage Containers"/>
    <n v="6"/>
    <n v="135.86000000000001"/>
    <n v="0.05"/>
    <n v="774.4"/>
    <m/>
    <x v="8"/>
    <x v="8"/>
    <n v="774.40200000000004"/>
    <s v="OK"/>
  </r>
  <r>
    <s v="ORD-1815"/>
    <x v="280"/>
    <x v="1"/>
    <s v="M. Ansah"/>
    <x v="200"/>
    <x v="1"/>
    <s v="Electric Kettle"/>
    <n v="10"/>
    <n v="79.260000000000005"/>
    <n v="0.05"/>
    <n v="752.97"/>
    <m/>
    <x v="2"/>
    <x v="2"/>
    <n v="752.97"/>
    <s v="OK"/>
  </r>
  <r>
    <s v="ORD-2455"/>
    <x v="265"/>
    <x v="3"/>
    <s v="J. Tetteh"/>
    <x v="172"/>
    <x v="3"/>
    <s v="Face Wash"/>
    <n v="6"/>
    <n v="56.71"/>
    <n v="0.15"/>
    <n v="289.22000000000003"/>
    <m/>
    <x v="7"/>
    <x v="7"/>
    <n v="289.221"/>
    <s v="OK"/>
  </r>
  <r>
    <s v="ORD-2183"/>
    <x v="326"/>
    <x v="0"/>
    <s v="S. Addo"/>
    <x v="73"/>
    <x v="2"/>
    <s v="Cooking Oil 1L"/>
    <n v="4"/>
    <n v="27.38"/>
    <n v="0.15"/>
    <n v="93.09"/>
    <m/>
    <x v="5"/>
    <x v="5"/>
    <n v="93.091999999999999"/>
    <s v="OK"/>
  </r>
  <r>
    <s v="ORD-1679"/>
    <x v="201"/>
    <x v="4"/>
    <s v="M. Ansah"/>
    <x v="157"/>
    <x v="3"/>
    <s v="Hair Oil"/>
    <n v="8"/>
    <n v="49.87"/>
    <n v="0"/>
    <n v="398.96"/>
    <m/>
    <x v="6"/>
    <x v="6"/>
    <n v="398.96"/>
    <s v="OK"/>
  </r>
  <r>
    <s v="ORD-1080"/>
    <x v="256"/>
    <x v="0"/>
    <s v="R. Ofori"/>
    <x v="165"/>
    <x v="2"/>
    <s v="Canned Tomatoes"/>
    <n v="10"/>
    <n v="98.98"/>
    <n v="0.1"/>
    <n v="890.82"/>
    <m/>
    <x v="3"/>
    <x v="3"/>
    <n v="890.82"/>
    <s v="OK"/>
  </r>
  <r>
    <s v="ORD-2602"/>
    <x v="62"/>
    <x v="0"/>
    <s v="P. Amoah"/>
    <x v="144"/>
    <x v="3"/>
    <s v="Lip Balm Set"/>
    <n v="3"/>
    <n v="153.24"/>
    <n v="0.05"/>
    <n v="436.73"/>
    <m/>
    <x v="10"/>
    <x v="10"/>
    <n v="436.73399999999998"/>
    <s v="OK"/>
  </r>
  <r>
    <s v="ORD-2231"/>
    <x v="216"/>
    <x v="1"/>
    <s v="M. Ansah"/>
    <x v="158"/>
    <x v="1"/>
    <s v="Electric Kettle"/>
    <n v="9"/>
    <n v="142.91"/>
    <n v="0.1"/>
    <n v="1157.57"/>
    <m/>
    <x v="2"/>
    <x v="2"/>
    <n v="1157.5710000000001"/>
    <s v="OK"/>
  </r>
  <r>
    <s v="ORD-2493"/>
    <x v="74"/>
    <x v="2"/>
    <s v="P. Amoah"/>
    <x v="58"/>
    <x v="1"/>
    <s v="Table Lamp"/>
    <n v="1"/>
    <n v="244.48"/>
    <n v="0"/>
    <n v="244.48"/>
    <m/>
    <x v="7"/>
    <x v="7"/>
    <n v="244.48"/>
    <s v="OK"/>
  </r>
  <r>
    <s v="ORD-1752"/>
    <x v="342"/>
    <x v="0"/>
    <s v="P. Amoah"/>
    <x v="102"/>
    <x v="2"/>
    <s v="Canned Tomatoes"/>
    <n v="1"/>
    <n v="93.56"/>
    <n v="0.15"/>
    <n v="79.53"/>
    <m/>
    <x v="10"/>
    <x v="10"/>
    <n v="79.525999999999996"/>
    <s v="OK"/>
  </r>
  <r>
    <s v="ORD-2054"/>
    <x v="143"/>
    <x v="4"/>
    <s v="R. Ofori"/>
    <x v="71"/>
    <x v="0"/>
    <s v="Sneakers"/>
    <n v="10"/>
    <n v="72.73"/>
    <n v="0.1"/>
    <n v="654.57000000000005"/>
    <m/>
    <x v="6"/>
    <x v="6"/>
    <n v="654.57000000000005"/>
    <s v="OK"/>
  </r>
  <r>
    <s v="ORD-1242"/>
    <x v="142"/>
    <x v="1"/>
    <s v="S. Addo"/>
    <x v="30"/>
    <x v="0"/>
    <s v="Cotton T-Shirt"/>
    <n v="12"/>
    <n v="33.44"/>
    <n v="0"/>
    <n v="401.28"/>
    <m/>
    <x v="9"/>
    <x v="9"/>
    <n v="401.28"/>
    <s v="OK"/>
  </r>
  <r>
    <s v="ORD-2229"/>
    <x v="92"/>
    <x v="0"/>
    <s v="M. Ansah"/>
    <x v="197"/>
    <x v="0"/>
    <s v="Sneakers"/>
    <n v="2"/>
    <n v="243.9"/>
    <n v="0"/>
    <n v="487.8"/>
    <m/>
    <x v="0"/>
    <x v="0"/>
    <n v="487.8"/>
    <s v="OK"/>
  </r>
  <r>
    <s v="ORD-1641"/>
    <x v="164"/>
    <x v="4"/>
    <s v="R. Ofori"/>
    <x v="29"/>
    <x v="3"/>
    <s v="Lip Balm Set"/>
    <n v="7"/>
    <n v="129.13999999999999"/>
    <n v="0"/>
    <n v="903.98"/>
    <m/>
    <x v="5"/>
    <x v="5"/>
    <n v="903.9799999999999"/>
    <s v="OK"/>
  </r>
  <r>
    <s v="ORD-1696"/>
    <x v="352"/>
    <x v="3"/>
    <s v="R. Ofori"/>
    <x v="67"/>
    <x v="0"/>
    <s v="Sunglasses"/>
    <n v="1"/>
    <n v="35.65"/>
    <n v="0"/>
    <n v="35.65"/>
    <m/>
    <x v="2"/>
    <x v="2"/>
    <n v="35.65"/>
    <s v="OK"/>
  </r>
  <r>
    <s v="ORD-1209"/>
    <x v="11"/>
    <x v="3"/>
    <s v="P. Amoah"/>
    <x v="133"/>
    <x v="4"/>
    <s v="Power Bank"/>
    <n v="5"/>
    <n v="100.16"/>
    <n v="0"/>
    <n v="500.8"/>
    <m/>
    <x v="3"/>
    <x v="3"/>
    <n v="500.79999999999995"/>
    <s v="OK"/>
  </r>
  <r>
    <s v="ORD-1507"/>
    <x v="89"/>
    <x v="3"/>
    <s v="S. Addo"/>
    <x v="170"/>
    <x v="1"/>
    <s v="Electric Kettle"/>
    <n v="8"/>
    <n v="126.92"/>
    <n v="0.1"/>
    <n v="913.82"/>
    <m/>
    <x v="6"/>
    <x v="6"/>
    <n v="913.82400000000007"/>
    <s v="OK"/>
  </r>
  <r>
    <s v="ORD-1770"/>
    <x v="210"/>
    <x v="0"/>
    <s v="R. Ofori"/>
    <x v="82"/>
    <x v="4"/>
    <s v="Smartphone Case"/>
    <n v="11"/>
    <n v="203.32"/>
    <n v="0"/>
    <n v="2236.52"/>
    <m/>
    <x v="1"/>
    <x v="1"/>
    <n v="2236.52"/>
    <s v="OK"/>
  </r>
  <r>
    <s v="ORD-2596"/>
    <x v="72"/>
    <x v="3"/>
    <s v="J. Tetteh"/>
    <x v="39"/>
    <x v="0"/>
    <s v="Sneakers"/>
    <n v="11"/>
    <n v="190.22"/>
    <n v="0"/>
    <n v="2092.42"/>
    <m/>
    <x v="8"/>
    <x v="8"/>
    <n v="2092.42"/>
    <s v="OK"/>
  </r>
  <r>
    <s v="ORD-1435"/>
    <x v="37"/>
    <x v="2"/>
    <s v="R. Ofori"/>
    <x v="195"/>
    <x v="1"/>
    <s v="Storage Containers"/>
    <n v="11"/>
    <n v="248.91"/>
    <n v="0.1"/>
    <n v="2464.21"/>
    <m/>
    <x v="4"/>
    <x v="4"/>
    <n v="2464.2089999999998"/>
    <s v="OK"/>
  </r>
  <r>
    <s v="ORD-2063"/>
    <x v="265"/>
    <x v="1"/>
    <s v="S. Addo"/>
    <x v="108"/>
    <x v="3"/>
    <s v="Lip Balm Set"/>
    <n v="6"/>
    <n v="228.21"/>
    <n v="0"/>
    <n v="1369.26"/>
    <m/>
    <x v="7"/>
    <x v="7"/>
    <n v="1369.26"/>
    <s v="OK"/>
  </r>
  <r>
    <s v="ORD-1974"/>
    <x v="175"/>
    <x v="4"/>
    <s v="S. Addo"/>
    <x v="13"/>
    <x v="3"/>
    <s v="Hair Oil"/>
    <n v="8"/>
    <n v="17.170000000000002"/>
    <n v="0.05"/>
    <n v="130.49"/>
    <m/>
    <x v="8"/>
    <x v="8"/>
    <n v="130.49200000000002"/>
    <s v="OK"/>
  </r>
  <r>
    <s v="ORD-1551"/>
    <x v="211"/>
    <x v="4"/>
    <s v="P. Amoah"/>
    <x v="114"/>
    <x v="0"/>
    <s v="Sneakers"/>
    <n v="10"/>
    <n v="66.75"/>
    <n v="0"/>
    <n v="667.5"/>
    <m/>
    <x v="0"/>
    <x v="0"/>
    <n v="667.5"/>
    <s v="OK"/>
  </r>
  <r>
    <s v="ORD-2277"/>
    <x v="283"/>
    <x v="3"/>
    <s v="S. Addo"/>
    <x v="120"/>
    <x v="4"/>
    <s v="Smartphone Case"/>
    <n v="11"/>
    <n v="206.82"/>
    <n v="0.05"/>
    <n v="2161.27"/>
    <m/>
    <x v="5"/>
    <x v="5"/>
    <n v="2161.2689999999998"/>
    <s v="OK"/>
  </r>
  <r>
    <s v="ORD-2286"/>
    <x v="312"/>
    <x v="2"/>
    <s v="S. Addo"/>
    <x v="94"/>
    <x v="4"/>
    <s v="Bluetooth Speaker"/>
    <n v="1"/>
    <n v="113.3"/>
    <n v="0.15"/>
    <n v="96.3"/>
    <m/>
    <x v="4"/>
    <x v="4"/>
    <n v="96.304999999999993"/>
    <s v="MISMATCH"/>
  </r>
  <r>
    <s v="ORD-2013"/>
    <x v="353"/>
    <x v="4"/>
    <s v="R. Ofori"/>
    <x v="156"/>
    <x v="3"/>
    <s v="Shea Butter Lotion"/>
    <n v="2"/>
    <n v="216.76"/>
    <n v="0.15"/>
    <n v="368.49"/>
    <m/>
    <x v="4"/>
    <x v="4"/>
    <n v="368.49199999999996"/>
    <s v="OK"/>
  </r>
  <r>
    <s v="ORD-2715"/>
    <x v="354"/>
    <x v="0"/>
    <s v="M. Ansah"/>
    <x v="179"/>
    <x v="2"/>
    <s v="Rice 5kg"/>
    <n v="2"/>
    <n v="61.98"/>
    <n v="0.15"/>
    <n v="105.37"/>
    <m/>
    <x v="1"/>
    <x v="1"/>
    <n v="105.36599999999999"/>
    <s v="OK"/>
  </r>
  <r>
    <s v="ORD-1466"/>
    <x v="156"/>
    <x v="3"/>
    <s v="S. Addo"/>
    <x v="58"/>
    <x v="2"/>
    <s v="Pasta Pack"/>
    <n v="12"/>
    <n v="59.08"/>
    <n v="0"/>
    <n v="708.96"/>
    <m/>
    <x v="6"/>
    <x v="6"/>
    <n v="708.96"/>
    <s v="OK"/>
  </r>
  <r>
    <s v="ORD-2347"/>
    <x v="232"/>
    <x v="3"/>
    <s v="R. Ofori"/>
    <x v="157"/>
    <x v="3"/>
    <s v="Shea Butter Lotion"/>
    <n v="4"/>
    <n v="58.66"/>
    <n v="0"/>
    <n v="234.64"/>
    <m/>
    <x v="6"/>
    <x v="6"/>
    <n v="234.64"/>
    <s v="OK"/>
  </r>
  <r>
    <s v="ORD-2196"/>
    <x v="19"/>
    <x v="1"/>
    <s v="J. Tetteh"/>
    <x v="86"/>
    <x v="3"/>
    <s v="Lip Balm Set"/>
    <n v="12"/>
    <n v="44.3"/>
    <n v="0.05"/>
    <n v="505.02"/>
    <m/>
    <x v="10"/>
    <x v="10"/>
    <n v="505.01999999999987"/>
    <s v="OK"/>
  </r>
  <r>
    <s v="ORD-1277"/>
    <x v="355"/>
    <x v="4"/>
    <s v="M. Ansah"/>
    <x v="107"/>
    <x v="4"/>
    <s v="Wireless Earbuds"/>
    <n v="12"/>
    <n v="133.13999999999999"/>
    <n v="0"/>
    <n v="1597.68"/>
    <m/>
    <x v="3"/>
    <x v="3"/>
    <n v="1597.6799999999998"/>
    <s v="OK"/>
  </r>
  <r>
    <s v="ORD-2069"/>
    <x v="171"/>
    <x v="0"/>
    <s v="P. Amoah"/>
    <x v="164"/>
    <x v="2"/>
    <s v="Sugar 1kg"/>
    <n v="6"/>
    <n v="34.159999999999997"/>
    <n v="0.1"/>
    <n v="184.46"/>
    <m/>
    <x v="1"/>
    <x v="1"/>
    <n v="184.464"/>
    <s v="OK"/>
  </r>
  <r>
    <s v="ORD-2017"/>
    <x v="4"/>
    <x v="2"/>
    <s v="P. Amoah"/>
    <x v="18"/>
    <x v="1"/>
    <s v="Electric Kettle"/>
    <n v="10"/>
    <n v="215.53"/>
    <n v="0"/>
    <n v="2155.3000000000002"/>
    <m/>
    <x v="4"/>
    <x v="4"/>
    <n v="2155.3000000000002"/>
    <s v="OK"/>
  </r>
  <r>
    <s v="ORD-2336"/>
    <x v="6"/>
    <x v="3"/>
    <s v="S. Addo"/>
    <x v="62"/>
    <x v="2"/>
    <s v="Cooking Oil 1L"/>
    <n v="11"/>
    <n v="65.41"/>
    <n v="0"/>
    <n v="719.51"/>
    <m/>
    <x v="6"/>
    <x v="6"/>
    <n v="719.51"/>
    <s v="OK"/>
  </r>
  <r>
    <s v="ORD-1722"/>
    <x v="321"/>
    <x v="3"/>
    <s v="P. Amoah"/>
    <x v="148"/>
    <x v="4"/>
    <s v="Smartphone Case"/>
    <n v="10"/>
    <n v="218.64"/>
    <n v="0.05"/>
    <n v="2077.08"/>
    <m/>
    <x v="5"/>
    <x v="5"/>
    <n v="2077.0799999999995"/>
    <s v="OK"/>
  </r>
  <r>
    <s v="ORD-2774"/>
    <x v="197"/>
    <x v="4"/>
    <s v="P. Amoah"/>
    <x v="17"/>
    <x v="1"/>
    <s v="Storage Containers"/>
    <n v="8"/>
    <n v="67.680000000000007"/>
    <n v="0"/>
    <n v="541.44000000000005"/>
    <m/>
    <x v="7"/>
    <x v="7"/>
    <n v="541.44000000000005"/>
    <s v="OK"/>
  </r>
  <r>
    <s v="ORD-1786"/>
    <x v="223"/>
    <x v="0"/>
    <s v="P. Amoah"/>
    <x v="24"/>
    <x v="2"/>
    <s v="Cooking Oil 1L"/>
    <n v="6"/>
    <n v="121.32"/>
    <n v="0.1"/>
    <n v="655.13"/>
    <m/>
    <x v="9"/>
    <x v="9"/>
    <n v="655.12799999999993"/>
    <s v="OK"/>
  </r>
  <r>
    <s v="ORD-2406"/>
    <x v="319"/>
    <x v="0"/>
    <s v="M. Ansah"/>
    <x v="72"/>
    <x v="4"/>
    <s v="Bluetooth Speaker"/>
    <n v="4"/>
    <n v="223.51"/>
    <n v="0"/>
    <n v="894.04"/>
    <m/>
    <x v="10"/>
    <x v="10"/>
    <n v="894.04"/>
    <s v="OK"/>
  </r>
  <r>
    <s v="ORD-2199"/>
    <x v="164"/>
    <x v="2"/>
    <s v="M. Ansah"/>
    <x v="156"/>
    <x v="1"/>
    <s v="Table Lamp"/>
    <n v="6"/>
    <n v="112.37"/>
    <n v="0.1"/>
    <n v="606.79999999999995"/>
    <m/>
    <x v="5"/>
    <x v="5"/>
    <n v="606.798"/>
    <s v="OK"/>
  </r>
  <r>
    <s v="ORD-2650"/>
    <x v="356"/>
    <x v="0"/>
    <s v="R. Ofori"/>
    <x v="135"/>
    <x v="4"/>
    <s v="Bluetooth Speaker"/>
    <n v="8"/>
    <n v="65.39"/>
    <n v="0.15"/>
    <n v="444.65"/>
    <m/>
    <x v="10"/>
    <x v="10"/>
    <n v="444.65199999999999"/>
    <s v="OK"/>
  </r>
  <r>
    <s v="ORD-2304"/>
    <x v="164"/>
    <x v="4"/>
    <s v="J. Tetteh"/>
    <x v="61"/>
    <x v="0"/>
    <s v="Denim Jeans"/>
    <n v="3"/>
    <n v="225.7"/>
    <n v="0"/>
    <n v="677.1"/>
    <m/>
    <x v="5"/>
    <x v="5"/>
    <n v="677.09999999999991"/>
    <s v="OK"/>
  </r>
  <r>
    <s v="ORD-1906"/>
    <x v="48"/>
    <x v="1"/>
    <s v="J. Tetteh"/>
    <x v="39"/>
    <x v="4"/>
    <s v="Wireless Earbuds"/>
    <n v="10"/>
    <n v="122.7"/>
    <n v="0.05"/>
    <n v="1165.6500000000001"/>
    <m/>
    <x v="7"/>
    <x v="7"/>
    <n v="1165.6499999999999"/>
    <s v="OK"/>
  </r>
  <r>
    <s v="ORD-1563"/>
    <x v="134"/>
    <x v="0"/>
    <s v="J. Tetteh"/>
    <x v="163"/>
    <x v="0"/>
    <s v="Leather Wallet"/>
    <n v="3"/>
    <n v="154.52000000000001"/>
    <n v="0.15"/>
    <n v="394.03"/>
    <m/>
    <x v="10"/>
    <x v="10"/>
    <n v="394.02600000000007"/>
    <s v="OK"/>
  </r>
  <r>
    <s v="ORD-1388"/>
    <x v="116"/>
    <x v="0"/>
    <s v="J. Tetteh"/>
    <x v="129"/>
    <x v="0"/>
    <s v="Denim Jeans"/>
    <n v="1"/>
    <n v="35.19"/>
    <n v="0.1"/>
    <n v="31.67"/>
    <m/>
    <x v="5"/>
    <x v="5"/>
    <n v="31.670999999999999"/>
    <s v="OK"/>
  </r>
  <r>
    <s v="ORD-1022"/>
    <x v="24"/>
    <x v="3"/>
    <s v="P. Amoah"/>
    <x v="181"/>
    <x v="1"/>
    <s v="Non-stick Pan"/>
    <n v="1"/>
    <n v="188.25"/>
    <n v="0"/>
    <n v="188.25"/>
    <m/>
    <x v="5"/>
    <x v="5"/>
    <n v="188.25"/>
    <s v="OK"/>
  </r>
  <r>
    <s v="ORD-2121"/>
    <x v="167"/>
    <x v="1"/>
    <s v="R. Ofori"/>
    <x v="10"/>
    <x v="0"/>
    <s v="Sunglasses"/>
    <n v="9"/>
    <n v="20.91"/>
    <n v="0"/>
    <n v="188.19"/>
    <m/>
    <x v="4"/>
    <x v="4"/>
    <n v="188.19"/>
    <s v="OK"/>
  </r>
  <r>
    <s v="ORD-1124"/>
    <x v="11"/>
    <x v="4"/>
    <s v="J. Tetteh"/>
    <x v="91"/>
    <x v="0"/>
    <s v="Denim Jeans"/>
    <n v="6"/>
    <n v="226.95"/>
    <n v="0"/>
    <n v="1361.7"/>
    <m/>
    <x v="3"/>
    <x v="3"/>
    <n v="1361.6999999999998"/>
    <s v="OK"/>
  </r>
  <r>
    <s v="ORD-2369"/>
    <x v="351"/>
    <x v="2"/>
    <s v="M. Ansah"/>
    <x v="65"/>
    <x v="2"/>
    <s v="Rice 5kg"/>
    <n v="9"/>
    <n v="180.47"/>
    <n v="0"/>
    <n v="1624.23"/>
    <m/>
    <x v="4"/>
    <x v="4"/>
    <n v="1624.23"/>
    <s v="OK"/>
  </r>
  <r>
    <s v="ORD-1773"/>
    <x v="177"/>
    <x v="3"/>
    <s v="M. Ansah"/>
    <x v="29"/>
    <x v="1"/>
    <s v="Table Lamp"/>
    <n v="10"/>
    <n v="198.79"/>
    <n v="0"/>
    <n v="1987.9"/>
    <m/>
    <x v="0"/>
    <x v="0"/>
    <n v="1987.8999999999999"/>
    <s v="OK"/>
  </r>
  <r>
    <s v="ORD-1880"/>
    <x v="126"/>
    <x v="1"/>
    <s v="M. Ansah"/>
    <x v="188"/>
    <x v="2"/>
    <s v="Sugar 1kg"/>
    <n v="8"/>
    <n v="34.1"/>
    <n v="0.1"/>
    <n v="245.52"/>
    <m/>
    <x v="3"/>
    <x v="3"/>
    <n v="245.52"/>
    <s v="OK"/>
  </r>
  <r>
    <s v="ORD-1050"/>
    <x v="118"/>
    <x v="4"/>
    <s v="P. Amoah"/>
    <x v="43"/>
    <x v="1"/>
    <s v="Storage Containers"/>
    <n v="11"/>
    <n v="150.01"/>
    <n v="0"/>
    <n v="1650.11"/>
    <m/>
    <x v="6"/>
    <x v="6"/>
    <n v="1650.11"/>
    <s v="OK"/>
  </r>
  <r>
    <s v="ORD-2278"/>
    <x v="336"/>
    <x v="2"/>
    <s v="J. Tetteh"/>
    <x v="157"/>
    <x v="3"/>
    <s v="Face Wash"/>
    <n v="12"/>
    <n v="223.63"/>
    <n v="0"/>
    <n v="2683.56"/>
    <m/>
    <x v="10"/>
    <x v="10"/>
    <n v="2683.56"/>
    <s v="OK"/>
  </r>
  <r>
    <s v="ORD-2330"/>
    <x v="141"/>
    <x v="1"/>
    <s v="M. Ansah"/>
    <x v="103"/>
    <x v="0"/>
    <s v="Sneakers"/>
    <n v="7"/>
    <n v="201.89"/>
    <n v="0.05"/>
    <n v="1342.57"/>
    <m/>
    <x v="7"/>
    <x v="7"/>
    <n v="1342.5684999999999"/>
    <s v="OK"/>
  </r>
  <r>
    <s v="ORD-2105"/>
    <x v="212"/>
    <x v="3"/>
    <s v="M. Ansah"/>
    <x v="125"/>
    <x v="3"/>
    <s v="Face Wash"/>
    <n v="12"/>
    <n v="201.69"/>
    <n v="0"/>
    <n v="2420.2800000000002"/>
    <m/>
    <x v="1"/>
    <x v="1"/>
    <n v="2420.2799999999997"/>
    <s v="OK"/>
  </r>
  <r>
    <s v="ORD-1703"/>
    <x v="16"/>
    <x v="3"/>
    <s v="M. Ansah"/>
    <x v="28"/>
    <x v="0"/>
    <s v="Sneakers"/>
    <n v="12"/>
    <n v="230.83"/>
    <n v="0.15"/>
    <n v="2354.4699999999998"/>
    <m/>
    <x v="5"/>
    <x v="5"/>
    <n v="2354.4659999999999"/>
    <s v="OK"/>
  </r>
  <r>
    <s v="ORD-1482"/>
    <x v="252"/>
    <x v="4"/>
    <s v="P. Amoah"/>
    <x v="13"/>
    <x v="4"/>
    <s v="Smartphone Case"/>
    <n v="7"/>
    <n v="169.58"/>
    <n v="0"/>
    <n v="1187.06"/>
    <m/>
    <x v="0"/>
    <x v="0"/>
    <n v="1187.0600000000002"/>
    <s v="OK"/>
  </r>
  <r>
    <s v="ORD-2735"/>
    <x v="201"/>
    <x v="0"/>
    <s v="R. Ofori"/>
    <x v="178"/>
    <x v="0"/>
    <s v="Sunglasses"/>
    <n v="6"/>
    <n v="181.65"/>
    <n v="0"/>
    <n v="1089.9000000000001"/>
    <m/>
    <x v="6"/>
    <x v="6"/>
    <n v="1089.9000000000001"/>
    <s v="OK"/>
  </r>
  <r>
    <s v="ORD-1066"/>
    <x v="161"/>
    <x v="2"/>
    <s v="J. Tetteh"/>
    <x v="179"/>
    <x v="1"/>
    <s v="Blender"/>
    <n v="10"/>
    <n v="125.48"/>
    <n v="0.15"/>
    <n v="1066.58"/>
    <m/>
    <x v="0"/>
    <x v="0"/>
    <n v="1066.58"/>
    <s v="OK"/>
  </r>
  <r>
    <s v="ORD-2566"/>
    <x v="261"/>
    <x v="0"/>
    <s v="P. Amoah"/>
    <x v="85"/>
    <x v="1"/>
    <s v="Storage Containers"/>
    <n v="2"/>
    <n v="9.77"/>
    <n v="0.15"/>
    <n v="16.61"/>
    <m/>
    <x v="11"/>
    <x v="11"/>
    <n v="16.608999999999998"/>
    <s v="OK"/>
  </r>
  <r>
    <s v="ORD-1733"/>
    <x v="28"/>
    <x v="1"/>
    <s v="R. Ofori"/>
    <x v="191"/>
    <x v="4"/>
    <s v="USB-C Cable"/>
    <n v="9"/>
    <n v="10.89"/>
    <n v="0"/>
    <n v="98.01"/>
    <m/>
    <x v="7"/>
    <x v="7"/>
    <n v="98.01"/>
    <s v="OK"/>
  </r>
  <r>
    <s v="ORD-2625"/>
    <x v="181"/>
    <x v="4"/>
    <s v="M. Ansah"/>
    <x v="101"/>
    <x v="3"/>
    <s v="Lip Balm Set"/>
    <n v="2"/>
    <n v="204.02"/>
    <n v="0"/>
    <n v="408.04"/>
    <m/>
    <x v="11"/>
    <x v="11"/>
    <n v="408.04"/>
    <s v="OK"/>
  </r>
  <r>
    <s v="ORD-1801"/>
    <x v="53"/>
    <x v="0"/>
    <s v="P. Amoah"/>
    <x v="136"/>
    <x v="2"/>
    <s v="Sugar 1kg"/>
    <n v="4"/>
    <n v="194.24"/>
    <n v="0"/>
    <n v="776.96"/>
    <m/>
    <x v="6"/>
    <x v="6"/>
    <n v="776.96"/>
    <s v="OK"/>
  </r>
  <r>
    <s v="ORD-2435"/>
    <x v="349"/>
    <x v="2"/>
    <s v="P. Amoah"/>
    <x v="108"/>
    <x v="4"/>
    <s v="Laptop Stand"/>
    <n v="5"/>
    <n v="239.14"/>
    <n v="0.1"/>
    <n v="1076.1300000000001"/>
    <m/>
    <x v="9"/>
    <x v="9"/>
    <n v="1076.1299999999999"/>
    <s v="OK"/>
  </r>
  <r>
    <s v="ORD-2765"/>
    <x v="151"/>
    <x v="3"/>
    <s v="S. Addo"/>
    <x v="140"/>
    <x v="3"/>
    <s v="Hair Oil"/>
    <n v="9"/>
    <n v="249.05"/>
    <n v="0"/>
    <n v="2241.4499999999998"/>
    <m/>
    <x v="6"/>
    <x v="6"/>
    <n v="2241.4500000000003"/>
    <s v="OK"/>
  </r>
  <r>
    <s v="ORD-1907"/>
    <x v="242"/>
    <x v="4"/>
    <s v="J. Tetteh"/>
    <x v="34"/>
    <x v="0"/>
    <s v="Sneakers"/>
    <n v="2"/>
    <n v="158.72999999999999"/>
    <n v="0"/>
    <n v="317.45999999999998"/>
    <m/>
    <x v="5"/>
    <x v="5"/>
    <n v="317.45999999999998"/>
    <s v="OK"/>
  </r>
  <r>
    <s v="ORD-1031"/>
    <x v="190"/>
    <x v="4"/>
    <s v="R. Ofori"/>
    <x v="153"/>
    <x v="0"/>
    <s v="Sunglasses"/>
    <n v="1"/>
    <n v="80.52"/>
    <n v="0"/>
    <n v="80.52"/>
    <m/>
    <x v="11"/>
    <x v="11"/>
    <n v="80.52"/>
    <s v="OK"/>
  </r>
  <r>
    <s v="ORD-1417"/>
    <x v="162"/>
    <x v="0"/>
    <s v="M. Ansah"/>
    <x v="192"/>
    <x v="1"/>
    <s v="Storage Containers"/>
    <n v="5"/>
    <n v="26.59"/>
    <n v="0"/>
    <n v="132.94999999999999"/>
    <m/>
    <x v="10"/>
    <x v="10"/>
    <n v="132.94999999999999"/>
    <s v="OK"/>
  </r>
  <r>
    <s v="ORD-1881"/>
    <x v="222"/>
    <x v="0"/>
    <s v="R. Ofori"/>
    <x v="33"/>
    <x v="1"/>
    <s v="Non-stick Pan"/>
    <n v="1"/>
    <n v="239.63"/>
    <n v="0"/>
    <n v="239.63"/>
    <m/>
    <x v="11"/>
    <x v="11"/>
    <n v="239.63"/>
    <s v="OK"/>
  </r>
  <r>
    <s v="ORD-1632"/>
    <x v="357"/>
    <x v="4"/>
    <s v="M. Ansah"/>
    <x v="112"/>
    <x v="3"/>
    <s v="Hair Oil"/>
    <n v="6"/>
    <n v="235.08"/>
    <n v="0"/>
    <n v="1410.48"/>
    <m/>
    <x v="0"/>
    <x v="0"/>
    <n v="1410.48"/>
    <s v="OK"/>
  </r>
  <r>
    <s v="ORD-2213"/>
    <x v="243"/>
    <x v="1"/>
    <s v="J. Tetteh"/>
    <x v="9"/>
    <x v="0"/>
    <s v="Sneakers"/>
    <n v="9"/>
    <n v="122.1"/>
    <n v="0"/>
    <n v="1098.9000000000001"/>
    <m/>
    <x v="3"/>
    <x v="3"/>
    <n v="1098.8999999999999"/>
    <s v="OK"/>
  </r>
  <r>
    <s v="ORD-2315"/>
    <x v="228"/>
    <x v="1"/>
    <s v="J. Tetteh"/>
    <x v="119"/>
    <x v="4"/>
    <s v="Bluetooth Speaker"/>
    <n v="10"/>
    <n v="20.91"/>
    <n v="0"/>
    <n v="209.1"/>
    <m/>
    <x v="11"/>
    <x v="11"/>
    <n v="209.1"/>
    <s v="OK"/>
  </r>
  <r>
    <s v="ORD-1064"/>
    <x v="108"/>
    <x v="2"/>
    <s v="S. Addo"/>
    <x v="100"/>
    <x v="4"/>
    <s v="Bluetooth Speaker"/>
    <n v="9"/>
    <n v="8.4700000000000006"/>
    <n v="0"/>
    <n v="76.23"/>
    <m/>
    <x v="7"/>
    <x v="7"/>
    <n v="76.23"/>
    <s v="OK"/>
  </r>
  <r>
    <s v="ORD-2465"/>
    <x v="153"/>
    <x v="2"/>
    <s v="J. Tetteh"/>
    <x v="108"/>
    <x v="1"/>
    <s v="Blender"/>
    <n v="8"/>
    <n v="130.13999999999999"/>
    <n v="0.15"/>
    <n v="884.95"/>
    <m/>
    <x v="3"/>
    <x v="3"/>
    <n v="884.95199999999988"/>
    <s v="OK"/>
  </r>
  <r>
    <s v="ORD-1077"/>
    <x v="344"/>
    <x v="1"/>
    <s v="S. Addo"/>
    <x v="159"/>
    <x v="2"/>
    <s v="Rice 5kg"/>
    <n v="1"/>
    <n v="158.22999999999999"/>
    <n v="0"/>
    <n v="158.22999999999999"/>
    <m/>
    <x v="8"/>
    <x v="8"/>
    <n v="158.22999999999999"/>
    <s v="OK"/>
  </r>
  <r>
    <s v="ORD-1491"/>
    <x v="296"/>
    <x v="0"/>
    <s v="J. Tetteh"/>
    <x v="168"/>
    <x v="0"/>
    <s v="Denim Jeans"/>
    <n v="1"/>
    <n v="220.28"/>
    <n v="0.1"/>
    <n v="198.25"/>
    <m/>
    <x v="8"/>
    <x v="8"/>
    <n v="198.25200000000001"/>
    <s v="OK"/>
  </r>
  <r>
    <s v="ORD-1881"/>
    <x v="222"/>
    <x v="3"/>
    <s v="R. Ofori"/>
    <x v="33"/>
    <x v="1"/>
    <s v="Non-stick Pan"/>
    <n v="1"/>
    <n v="239.63"/>
    <n v="0"/>
    <n v="239.63"/>
    <m/>
    <x v="11"/>
    <x v="11"/>
    <n v="239.63"/>
    <s v="OK"/>
  </r>
  <r>
    <s v="ORD-2575"/>
    <x v="295"/>
    <x v="0"/>
    <s v="M. Ansah"/>
    <x v="138"/>
    <x v="4"/>
    <s v="USB-C Cable"/>
    <n v="7"/>
    <n v="68.97"/>
    <n v="0"/>
    <n v="482.79"/>
    <m/>
    <x v="0"/>
    <x v="0"/>
    <n v="482.78999999999996"/>
    <s v="OK"/>
  </r>
  <r>
    <s v="ORD-1532"/>
    <x v="193"/>
    <x v="1"/>
    <s v="S. Addo"/>
    <x v="43"/>
    <x v="1"/>
    <s v="Electric Kettle"/>
    <n v="11"/>
    <n v="49.92"/>
    <n v="0"/>
    <n v="549.12"/>
    <m/>
    <x v="9"/>
    <x v="9"/>
    <n v="549.12"/>
    <s v="OK"/>
  </r>
  <r>
    <s v="ORD-1065"/>
    <x v="295"/>
    <x v="1"/>
    <s v="R. Ofori"/>
    <x v="79"/>
    <x v="4"/>
    <s v="Power Bank"/>
    <n v="8"/>
    <n v="145.65"/>
    <n v="0.05"/>
    <n v="1106.94"/>
    <m/>
    <x v="0"/>
    <x v="0"/>
    <n v="1106.94"/>
    <s v="OK"/>
  </r>
  <r>
    <s v="ORD-2542"/>
    <x v="333"/>
    <x v="1"/>
    <s v="J. Tetteh"/>
    <x v="22"/>
    <x v="2"/>
    <s v="Rice 5kg"/>
    <n v="9"/>
    <n v="36.86"/>
    <n v="0.05"/>
    <n v="315.14999999999998"/>
    <m/>
    <x v="4"/>
    <x v="4"/>
    <n v="315.15300000000002"/>
    <s v="OK"/>
  </r>
  <r>
    <s v="ORD-1296"/>
    <x v="51"/>
    <x v="4"/>
    <s v="P. Amoah"/>
    <x v="58"/>
    <x v="1"/>
    <s v="Blender"/>
    <n v="9"/>
    <n v="127.23"/>
    <n v="0.05"/>
    <n v="1087.82"/>
    <m/>
    <x v="1"/>
    <x v="1"/>
    <n v="1087.8164999999999"/>
    <s v="OK"/>
  </r>
  <r>
    <s v="ORD-1591"/>
    <x v="210"/>
    <x v="0"/>
    <s v="Unassigned"/>
    <x v="167"/>
    <x v="2"/>
    <s v="Cooking Oil 1L"/>
    <n v="11"/>
    <n v="8.9"/>
    <n v="0"/>
    <n v="97.9"/>
    <m/>
    <x v="1"/>
    <x v="1"/>
    <n v="97.9"/>
    <s v="OK"/>
  </r>
  <r>
    <s v="ORD-1767"/>
    <x v="0"/>
    <x v="4"/>
    <s v="J. Tetteh"/>
    <x v="191"/>
    <x v="2"/>
    <s v="Cooking Oil 1L"/>
    <n v="2"/>
    <n v="12.35"/>
    <n v="0"/>
    <n v="24.7"/>
    <m/>
    <x v="0"/>
    <x v="0"/>
    <n v="24.7"/>
    <s v="OK"/>
  </r>
  <r>
    <s v="ORD-1724"/>
    <x v="321"/>
    <x v="1"/>
    <s v="M. Ansah"/>
    <x v="149"/>
    <x v="1"/>
    <s v="Storage Containers"/>
    <n v="2"/>
    <n v="230.82"/>
    <n v="0.1"/>
    <n v="415.48"/>
    <m/>
    <x v="5"/>
    <x v="5"/>
    <n v="415.476"/>
    <s v="OK"/>
  </r>
  <r>
    <s v="ORD-1626"/>
    <x v="75"/>
    <x v="3"/>
    <s v="P. Amoah"/>
    <x v="14"/>
    <x v="4"/>
    <s v="Wireless Earbuds"/>
    <n v="1"/>
    <n v="169.3"/>
    <n v="0"/>
    <n v="169.3"/>
    <m/>
    <x v="4"/>
    <x v="4"/>
    <n v="169.3"/>
    <s v="OK"/>
  </r>
  <r>
    <s v="ORD-2609"/>
    <x v="191"/>
    <x v="2"/>
    <s v="S. Addo"/>
    <x v="175"/>
    <x v="2"/>
    <s v="Pasta Pack"/>
    <n v="9"/>
    <n v="213.52"/>
    <n v="0.1"/>
    <n v="1729.51"/>
    <m/>
    <x v="2"/>
    <x v="2"/>
    <n v="1729.5120000000002"/>
    <s v="OK"/>
  </r>
  <r>
    <s v="ORD-2768"/>
    <x v="138"/>
    <x v="4"/>
    <s v="M. Ansah"/>
    <x v="0"/>
    <x v="1"/>
    <s v="Storage Containers"/>
    <n v="8"/>
    <n v="75.040000000000006"/>
    <n v="0.1"/>
    <n v="540.29"/>
    <m/>
    <x v="9"/>
    <x v="9"/>
    <n v="540.28800000000001"/>
    <s v="OK"/>
  </r>
  <r>
    <s v="ORD-2469"/>
    <x v="31"/>
    <x v="4"/>
    <s v="R. Ofori"/>
    <x v="15"/>
    <x v="1"/>
    <s v="Storage Containers"/>
    <n v="1"/>
    <n v="53.78"/>
    <n v="0"/>
    <n v="53.78"/>
    <m/>
    <x v="2"/>
    <x v="2"/>
    <n v="53.78"/>
    <s v="OK"/>
  </r>
  <r>
    <s v="ORD-1251"/>
    <x v="197"/>
    <x v="1"/>
    <s v="M. Ansah"/>
    <x v="174"/>
    <x v="3"/>
    <s v="Shampoo 400ml"/>
    <n v="10"/>
    <n v="211.29"/>
    <n v="0"/>
    <n v="2112.9"/>
    <m/>
    <x v="7"/>
    <x v="7"/>
    <n v="2112.9"/>
    <s v="OK"/>
  </r>
  <r>
    <s v="ORD-2656"/>
    <x v="315"/>
    <x v="4"/>
    <s v="P. Amoah"/>
    <x v="123"/>
    <x v="4"/>
    <s v="Wireless Earbuds"/>
    <n v="5"/>
    <n v="35.46"/>
    <n v="0"/>
    <n v="177.3"/>
    <m/>
    <x v="3"/>
    <x v="3"/>
    <n v="177.3"/>
    <s v="OK"/>
  </r>
  <r>
    <s v="ORD-2216"/>
    <x v="334"/>
    <x v="3"/>
    <s v="R. Ofori"/>
    <x v="68"/>
    <x v="1"/>
    <s v="Table Lamp"/>
    <n v="4"/>
    <n v="151.07"/>
    <n v="0.15"/>
    <n v="513.64"/>
    <m/>
    <x v="6"/>
    <x v="6"/>
    <n v="513.63799999999992"/>
    <s v="OK"/>
  </r>
  <r>
    <s v="ORD-2778"/>
    <x v="310"/>
    <x v="2"/>
    <s v="J. Tetteh"/>
    <x v="26"/>
    <x v="0"/>
    <s v="Leather Wallet"/>
    <n v="8"/>
    <n v="144.4"/>
    <n v="0.15"/>
    <n v="981.92"/>
    <m/>
    <x v="5"/>
    <x v="5"/>
    <n v="981.92"/>
    <s v="OK"/>
  </r>
  <r>
    <s v="ORD-1982"/>
    <x v="312"/>
    <x v="3"/>
    <s v="R. Ofori"/>
    <x v="70"/>
    <x v="0"/>
    <s v="Denim Jeans"/>
    <n v="4"/>
    <n v="132.83000000000001"/>
    <n v="0.1"/>
    <n v="478.19"/>
    <m/>
    <x v="4"/>
    <x v="4"/>
    <n v="478.18800000000005"/>
    <s v="OK"/>
  </r>
  <r>
    <s v="ORD-2614"/>
    <x v="144"/>
    <x v="3"/>
    <s v="P. Amoah"/>
    <x v="8"/>
    <x v="3"/>
    <s v="Hair Oil"/>
    <n v="12"/>
    <n v="103.99"/>
    <n v="0"/>
    <n v="1247.8800000000001"/>
    <m/>
    <x v="11"/>
    <x v="11"/>
    <n v="1247.8799999999999"/>
    <s v="OK"/>
  </r>
  <r>
    <s v="ORD-1706"/>
    <x v="89"/>
    <x v="0"/>
    <s v="S. Addo"/>
    <x v="191"/>
    <x v="3"/>
    <s v="Shea Butter Lotion"/>
    <n v="9"/>
    <n v="47.81"/>
    <n v="0"/>
    <n v="430.29"/>
    <m/>
    <x v="6"/>
    <x v="6"/>
    <n v="430.29"/>
    <s v="OK"/>
  </r>
  <r>
    <s v="ORD-1487"/>
    <x v="36"/>
    <x v="4"/>
    <s v="J. Tetteh"/>
    <x v="62"/>
    <x v="3"/>
    <s v="Shea Butter Lotion"/>
    <n v="10"/>
    <n v="198.35"/>
    <n v="0"/>
    <n v="1983.5"/>
    <m/>
    <x v="1"/>
    <x v="1"/>
    <n v="1983.5"/>
    <s v="OK"/>
  </r>
  <r>
    <s v="ORD-1273"/>
    <x v="327"/>
    <x v="4"/>
    <s v="J. Tetteh"/>
    <x v="163"/>
    <x v="0"/>
    <s v="Sunglasses"/>
    <n v="4"/>
    <n v="8.3800000000000008"/>
    <n v="0"/>
    <n v="33.520000000000003"/>
    <m/>
    <x v="6"/>
    <x v="6"/>
    <n v="33.520000000000003"/>
    <s v="OK"/>
  </r>
  <r>
    <s v="ORD-2598"/>
    <x v="343"/>
    <x v="2"/>
    <s v="S. Addo"/>
    <x v="159"/>
    <x v="1"/>
    <s v="Blender"/>
    <n v="1"/>
    <n v="70.94"/>
    <n v="0"/>
    <n v="70.94"/>
    <m/>
    <x v="5"/>
    <x v="5"/>
    <n v="70.94"/>
    <s v="OK"/>
  </r>
  <r>
    <s v="ORD-2523"/>
    <x v="339"/>
    <x v="0"/>
    <s v="P. Amoah"/>
    <x v="11"/>
    <x v="2"/>
    <s v="Sugar 1kg"/>
    <n v="12"/>
    <n v="69.09"/>
    <n v="0"/>
    <n v="829.08"/>
    <m/>
    <x v="3"/>
    <x v="3"/>
    <n v="829.08"/>
    <s v="OK"/>
  </r>
  <r>
    <s v="ORD-1963"/>
    <x v="113"/>
    <x v="0"/>
    <s v="S. Addo"/>
    <x v="133"/>
    <x v="4"/>
    <s v="Bluetooth Speaker"/>
    <n v="3"/>
    <n v="203.09"/>
    <n v="0"/>
    <n v="609.27"/>
    <m/>
    <x v="8"/>
    <x v="8"/>
    <n v="609.27"/>
    <s v="OK"/>
  </r>
  <r>
    <s v="ORD-1877"/>
    <x v="135"/>
    <x v="4"/>
    <s v="R. Ofori"/>
    <x v="161"/>
    <x v="4"/>
    <s v="Power Bank"/>
    <n v="11"/>
    <n v="6.69"/>
    <n v="0"/>
    <n v="73.59"/>
    <m/>
    <x v="11"/>
    <x v="11"/>
    <n v="73.59"/>
    <s v="OK"/>
  </r>
  <r>
    <s v="ORD-2665"/>
    <x v="283"/>
    <x v="3"/>
    <s v="J. Tetteh"/>
    <x v="104"/>
    <x v="1"/>
    <s v="Blender"/>
    <n v="9"/>
    <n v="232.31"/>
    <n v="0"/>
    <n v="2090.79"/>
    <m/>
    <x v="5"/>
    <x v="5"/>
    <n v="2090.79"/>
    <s v="OK"/>
  </r>
  <r>
    <s v="ORD-2651"/>
    <x v="347"/>
    <x v="4"/>
    <s v="P. Amoah"/>
    <x v="129"/>
    <x v="4"/>
    <s v="Wireless Earbuds"/>
    <n v="7"/>
    <n v="78.56"/>
    <n v="0"/>
    <n v="549.91999999999996"/>
    <m/>
    <x v="1"/>
    <x v="1"/>
    <n v="549.92000000000007"/>
    <s v="OK"/>
  </r>
  <r>
    <s v="ORD-1411"/>
    <x v="333"/>
    <x v="3"/>
    <s v="P. Amoah"/>
    <x v="23"/>
    <x v="1"/>
    <s v="Storage Containers"/>
    <n v="5"/>
    <n v="109.24"/>
    <n v="0.05"/>
    <n v="518.89"/>
    <m/>
    <x v="4"/>
    <x v="4"/>
    <n v="518.88999999999987"/>
    <s v="OK"/>
  </r>
  <r>
    <s v="ORD-1667"/>
    <x v="356"/>
    <x v="0"/>
    <s v="S. Addo"/>
    <x v="180"/>
    <x v="3"/>
    <s v="Shampoo 400ml"/>
    <n v="3"/>
    <n v="219.01"/>
    <n v="0"/>
    <n v="657.03"/>
    <m/>
    <x v="10"/>
    <x v="10"/>
    <n v="657.03"/>
    <s v="OK"/>
  </r>
  <r>
    <s v="ORD-1149"/>
    <x v="114"/>
    <x v="3"/>
    <s v="J. Tetteh"/>
    <x v="157"/>
    <x v="0"/>
    <s v="Denim Jeans"/>
    <n v="9"/>
    <n v="131.27000000000001"/>
    <n v="0.05"/>
    <n v="1122.3599999999999"/>
    <m/>
    <x v="2"/>
    <x v="2"/>
    <n v="1122.3585"/>
    <s v="OK"/>
  </r>
  <r>
    <s v="ORD-1644"/>
    <x v="233"/>
    <x v="3"/>
    <s v="S. Addo"/>
    <x v="187"/>
    <x v="0"/>
    <s v="Sunglasses"/>
    <n v="9"/>
    <n v="46.6"/>
    <n v="0"/>
    <n v="419.4"/>
    <m/>
    <x v="0"/>
    <x v="0"/>
    <n v="419.40000000000003"/>
    <s v="OK"/>
  </r>
  <r>
    <s v="ORD-2463"/>
    <x v="136"/>
    <x v="3"/>
    <s v="R. Ofori"/>
    <x v="61"/>
    <x v="0"/>
    <s v="Denim Jeans"/>
    <n v="3"/>
    <n v="55"/>
    <n v="0"/>
    <n v="165"/>
    <m/>
    <x v="11"/>
    <x v="11"/>
    <n v="165"/>
    <s v="OK"/>
  </r>
  <r>
    <s v="ORD-1218"/>
    <x v="55"/>
    <x v="0"/>
    <s v="J. Tetteh"/>
    <x v="108"/>
    <x v="1"/>
    <s v="Table Lamp"/>
    <n v="1"/>
    <n v="166.52"/>
    <n v="0"/>
    <n v="166.52"/>
    <m/>
    <x v="8"/>
    <x v="8"/>
    <n v="166.52"/>
    <s v="OK"/>
  </r>
  <r>
    <s v="ORD-1239"/>
    <x v="183"/>
    <x v="2"/>
    <s v="P. Amoah"/>
    <x v="52"/>
    <x v="4"/>
    <s v="USB-C Cable"/>
    <n v="6"/>
    <n v="138.19"/>
    <n v="0.15"/>
    <n v="704.77"/>
    <m/>
    <x v="9"/>
    <x v="9"/>
    <n v="704.76900000000001"/>
    <s v="OK"/>
  </r>
  <r>
    <s v="ORD-2131"/>
    <x v="32"/>
    <x v="0"/>
    <s v="S. Addo"/>
    <x v="198"/>
    <x v="4"/>
    <s v="Bluetooth Speaker"/>
    <n v="6"/>
    <n v="50.84"/>
    <n v="0"/>
    <n v="305.04000000000002"/>
    <m/>
    <x v="2"/>
    <x v="2"/>
    <n v="305.04000000000002"/>
    <s v="OK"/>
  </r>
  <r>
    <s v="ORD-1792"/>
    <x v="123"/>
    <x v="1"/>
    <s v="S. Addo"/>
    <x v="28"/>
    <x v="2"/>
    <s v="Pasta Pack"/>
    <n v="10"/>
    <n v="117.75"/>
    <n v="0"/>
    <n v="1177.5"/>
    <m/>
    <x v="5"/>
    <x v="5"/>
    <n v="1177.5"/>
    <s v="OK"/>
  </r>
  <r>
    <s v="ORD-1191"/>
    <x v="55"/>
    <x v="4"/>
    <s v="P. Amoah"/>
    <x v="0"/>
    <x v="4"/>
    <s v="Laptop Stand"/>
    <n v="11"/>
    <n v="48"/>
    <n v="0.05"/>
    <n v="501.6"/>
    <m/>
    <x v="8"/>
    <x v="8"/>
    <n v="501.59999999999997"/>
    <s v="OK"/>
  </r>
  <r>
    <s v="ORD-1333"/>
    <x v="206"/>
    <x v="4"/>
    <s v="P. Amoah"/>
    <x v="199"/>
    <x v="4"/>
    <s v="Power Bank"/>
    <n v="2"/>
    <n v="78.13"/>
    <n v="0.05"/>
    <n v="148.44999999999999"/>
    <m/>
    <x v="8"/>
    <x v="8"/>
    <n v="148.44699999999997"/>
    <s v="OK"/>
  </r>
  <r>
    <s v="ORD-2792"/>
    <x v="69"/>
    <x v="3"/>
    <s v="R. Ofori"/>
    <x v="136"/>
    <x v="2"/>
    <s v="Canned Tomatoes"/>
    <n v="2"/>
    <n v="232.82"/>
    <n v="0.1"/>
    <n v="419.08"/>
    <m/>
    <x v="7"/>
    <x v="7"/>
    <n v="419.07600000000002"/>
    <s v="OK"/>
  </r>
  <r>
    <s v="ORD-1962"/>
    <x v="96"/>
    <x v="3"/>
    <s v="R. Ofori"/>
    <x v="21"/>
    <x v="4"/>
    <s v="USB-C Cable"/>
    <n v="7"/>
    <n v="199.88"/>
    <n v="0"/>
    <n v="1399.16"/>
    <m/>
    <x v="0"/>
    <x v="0"/>
    <n v="1399.1599999999999"/>
    <s v="OK"/>
  </r>
  <r>
    <s v="ORD-2210"/>
    <x v="261"/>
    <x v="4"/>
    <s v="J. Tetteh"/>
    <x v="31"/>
    <x v="0"/>
    <s v="Denim Jeans"/>
    <n v="7"/>
    <n v="35.159999999999997"/>
    <n v="0"/>
    <n v="246.12"/>
    <m/>
    <x v="11"/>
    <x v="11"/>
    <n v="246.11999999999998"/>
    <s v="OK"/>
  </r>
  <r>
    <s v="ORD-2772"/>
    <x v="185"/>
    <x v="0"/>
    <s v="P. Amoah"/>
    <x v="108"/>
    <x v="0"/>
    <s v="Leather Wallet"/>
    <n v="10"/>
    <n v="84.2"/>
    <n v="0"/>
    <n v="842"/>
    <m/>
    <x v="5"/>
    <x v="5"/>
    <n v="842"/>
    <s v="OK"/>
  </r>
  <r>
    <s v="ORD-2506"/>
    <x v="142"/>
    <x v="2"/>
    <s v="M. Ansah"/>
    <x v="106"/>
    <x v="4"/>
    <s v="Bluetooth Speaker"/>
    <n v="12"/>
    <n v="111.48"/>
    <n v="0"/>
    <n v="1337.76"/>
    <m/>
    <x v="9"/>
    <x v="9"/>
    <n v="1337.76"/>
    <s v="OK"/>
  </r>
  <r>
    <s v="ORD-2513"/>
    <x v="4"/>
    <x v="1"/>
    <s v="M. Ansah"/>
    <x v="88"/>
    <x v="3"/>
    <s v="Shea Butter Lotion"/>
    <n v="6"/>
    <n v="248.22"/>
    <n v="0"/>
    <n v="1489.32"/>
    <m/>
    <x v="4"/>
    <x v="4"/>
    <n v="1489.32"/>
    <s v="OK"/>
  </r>
  <r>
    <s v="ORD-1582"/>
    <x v="188"/>
    <x v="0"/>
    <s v="M. Ansah"/>
    <x v="145"/>
    <x v="4"/>
    <s v="Wireless Earbuds"/>
    <n v="2"/>
    <n v="123.84"/>
    <n v="0"/>
    <n v="247.68"/>
    <m/>
    <x v="11"/>
    <x v="11"/>
    <n v="247.68"/>
    <s v="OK"/>
  </r>
  <r>
    <s v="ORD-2733"/>
    <x v="223"/>
    <x v="2"/>
    <s v="S. Addo"/>
    <x v="69"/>
    <x v="0"/>
    <s v="Cotton T-Shirt"/>
    <n v="2"/>
    <n v="197.09"/>
    <n v="0.1"/>
    <n v="354.76"/>
    <m/>
    <x v="9"/>
    <x v="9"/>
    <n v="354.762"/>
    <s v="OK"/>
  </r>
  <r>
    <s v="ORD-2312"/>
    <x v="330"/>
    <x v="2"/>
    <s v="J. Tetteh"/>
    <x v="43"/>
    <x v="3"/>
    <s v="Shea Butter Lotion"/>
    <n v="4"/>
    <n v="79.16"/>
    <n v="0.05"/>
    <n v="300.81"/>
    <m/>
    <x v="5"/>
    <x v="5"/>
    <n v="300.80799999999999"/>
    <s v="OK"/>
  </r>
  <r>
    <s v="ORD-1839"/>
    <x v="14"/>
    <x v="3"/>
    <s v="M. Ansah"/>
    <x v="81"/>
    <x v="3"/>
    <s v="Hair Oil"/>
    <n v="7"/>
    <n v="162.78"/>
    <n v="0.15"/>
    <n v="968.54"/>
    <m/>
    <x v="5"/>
    <x v="5"/>
    <n v="968.54100000000005"/>
    <s v="OK"/>
  </r>
  <r>
    <s v="ORD-1627"/>
    <x v="153"/>
    <x v="4"/>
    <s v="M. Ansah"/>
    <x v="17"/>
    <x v="0"/>
    <s v="Sunglasses"/>
    <n v="2"/>
    <n v="128.69999999999999"/>
    <n v="0"/>
    <n v="257.39999999999998"/>
    <m/>
    <x v="3"/>
    <x v="3"/>
    <n v="257.39999999999998"/>
    <s v="OK"/>
  </r>
  <r>
    <s v="ORD-1323"/>
    <x v="55"/>
    <x v="2"/>
    <s v="M. Ansah"/>
    <x v="60"/>
    <x v="4"/>
    <s v="Bluetooth Speaker"/>
    <n v="6"/>
    <n v="14.5"/>
    <n v="0.15"/>
    <n v="73.95"/>
    <m/>
    <x v="8"/>
    <x v="8"/>
    <n v="73.95"/>
    <s v="OK"/>
  </r>
  <r>
    <s v="ORD-2497"/>
    <x v="151"/>
    <x v="0"/>
    <s v="R. Ofori"/>
    <x v="34"/>
    <x v="4"/>
    <s v="Power Bank"/>
    <n v="9"/>
    <n v="119.44"/>
    <n v="0.15"/>
    <n v="913.72"/>
    <m/>
    <x v="6"/>
    <x v="6"/>
    <n v="913.71600000000001"/>
    <s v="OK"/>
  </r>
  <r>
    <s v="ORD-2160"/>
    <x v="200"/>
    <x v="0"/>
    <s v="P. Amoah"/>
    <x v="125"/>
    <x v="1"/>
    <s v="Table Lamp"/>
    <n v="1"/>
    <n v="106.77"/>
    <n v="0"/>
    <n v="106.77"/>
    <m/>
    <x v="2"/>
    <x v="2"/>
    <n v="106.77"/>
    <s v="OK"/>
  </r>
  <r>
    <s v="ORD-1778"/>
    <x v="267"/>
    <x v="3"/>
    <s v="S. Addo"/>
    <x v="3"/>
    <x v="2"/>
    <s v="Canned Tomatoes"/>
    <n v="8"/>
    <n v="11.06"/>
    <n v="0"/>
    <n v="88.48"/>
    <m/>
    <x v="1"/>
    <x v="1"/>
    <n v="88.48"/>
    <s v="OK"/>
  </r>
  <r>
    <s v="ORD-2076"/>
    <x v="76"/>
    <x v="0"/>
    <s v="J. Tetteh"/>
    <x v="161"/>
    <x v="1"/>
    <s v="Table Lamp"/>
    <n v="9"/>
    <n v="240.16"/>
    <n v="0.1"/>
    <n v="1945.3"/>
    <m/>
    <x v="8"/>
    <x v="8"/>
    <n v="1945.296"/>
    <s v="OK"/>
  </r>
  <r>
    <s v="ORD-1939"/>
    <x v="338"/>
    <x v="3"/>
    <s v="S. Addo"/>
    <x v="53"/>
    <x v="1"/>
    <s v="Storage Containers"/>
    <n v="12"/>
    <n v="57.1"/>
    <n v="0.05"/>
    <n v="650.94000000000005"/>
    <m/>
    <x v="2"/>
    <x v="2"/>
    <n v="650.94000000000005"/>
    <s v="OK"/>
  </r>
  <r>
    <s v="ORD-1437"/>
    <x v="290"/>
    <x v="4"/>
    <s v="S. Addo"/>
    <x v="108"/>
    <x v="2"/>
    <s v="Rice 5kg"/>
    <n v="5"/>
    <n v="142.29"/>
    <n v="0"/>
    <n v="711.45"/>
    <m/>
    <x v="9"/>
    <x v="9"/>
    <n v="711.44999999999993"/>
    <s v="OK"/>
  </r>
  <r>
    <s v="ORD-1119"/>
    <x v="76"/>
    <x v="2"/>
    <s v="R. Ofori"/>
    <x v="157"/>
    <x v="3"/>
    <s v="Face Wash"/>
    <n v="5"/>
    <n v="6.88"/>
    <n v="0"/>
    <n v="34.4"/>
    <m/>
    <x v="8"/>
    <x v="8"/>
    <n v="34.4"/>
    <s v="OK"/>
  </r>
  <r>
    <s v="ORD-2244"/>
    <x v="253"/>
    <x v="3"/>
    <s v="P. Amoah"/>
    <x v="182"/>
    <x v="4"/>
    <s v="Bluetooth Speaker"/>
    <n v="1"/>
    <n v="180.98"/>
    <n v="0"/>
    <n v="180.98"/>
    <m/>
    <x v="10"/>
    <x v="10"/>
    <n v="180.98"/>
    <s v="OK"/>
  </r>
  <r>
    <s v="ORD-2423"/>
    <x v="277"/>
    <x v="2"/>
    <s v="J. Tetteh"/>
    <x v="157"/>
    <x v="2"/>
    <s v="Cooking Oil 1L"/>
    <n v="2"/>
    <n v="211.28"/>
    <n v="0.1"/>
    <n v="380.3"/>
    <m/>
    <x v="8"/>
    <x v="8"/>
    <n v="380.30400000000003"/>
    <s v="OK"/>
  </r>
  <r>
    <s v="ORD-2026"/>
    <x v="168"/>
    <x v="4"/>
    <s v="P. Amoah"/>
    <x v="162"/>
    <x v="2"/>
    <s v="Canned Tomatoes"/>
    <n v="12"/>
    <n v="14.17"/>
    <n v="0"/>
    <n v="170.04"/>
    <m/>
    <x v="1"/>
    <x v="1"/>
    <n v="170.04"/>
    <s v="OK"/>
  </r>
  <r>
    <s v="ORD-2262"/>
    <x v="273"/>
    <x v="0"/>
    <s v="P. Amoah"/>
    <x v="113"/>
    <x v="4"/>
    <s v="Power Bank"/>
    <n v="9"/>
    <n v="155.38999999999999"/>
    <n v="0.05"/>
    <n v="1328.58"/>
    <m/>
    <x v="11"/>
    <x v="11"/>
    <n v="1328.5844999999997"/>
    <s v="OK"/>
  </r>
  <r>
    <s v="ORD-1076"/>
    <x v="335"/>
    <x v="4"/>
    <s v="S. Addo"/>
    <x v="81"/>
    <x v="4"/>
    <s v="USB-C Cable"/>
    <n v="7"/>
    <n v="242.7"/>
    <n v="0.1"/>
    <n v="1529.01"/>
    <m/>
    <x v="2"/>
    <x v="2"/>
    <n v="1529.01"/>
    <s v="OK"/>
  </r>
  <r>
    <s v="ORD-2053"/>
    <x v="108"/>
    <x v="1"/>
    <s v="S. Addo"/>
    <x v="173"/>
    <x v="4"/>
    <s v="Smartphone Case"/>
    <n v="8"/>
    <n v="118.37"/>
    <n v="0"/>
    <n v="946.96"/>
    <m/>
    <x v="7"/>
    <x v="7"/>
    <n v="946.96"/>
    <s v="OK"/>
  </r>
  <r>
    <s v="ORD-1900"/>
    <x v="49"/>
    <x v="0"/>
    <s v="J. Tetteh"/>
    <x v="78"/>
    <x v="0"/>
    <s v="Cotton T-Shirt"/>
    <n v="5"/>
    <n v="236.69"/>
    <n v="0.15"/>
    <n v="1005.93"/>
    <m/>
    <x v="4"/>
    <x v="4"/>
    <n v="1005.9325"/>
    <s v="OK"/>
  </r>
  <r>
    <s v="ORD-1371"/>
    <x v="201"/>
    <x v="3"/>
    <s v="M. Ansah"/>
    <x v="10"/>
    <x v="3"/>
    <s v="Shea Butter Lotion"/>
    <n v="3"/>
    <n v="53.98"/>
    <n v="0"/>
    <n v="161.94"/>
    <m/>
    <x v="6"/>
    <x v="6"/>
    <n v="161.94"/>
    <s v="OK"/>
  </r>
  <r>
    <s v="ORD-2694"/>
    <x v="27"/>
    <x v="1"/>
    <s v="M. Ansah"/>
    <x v="10"/>
    <x v="3"/>
    <s v="Lip Balm Set"/>
    <n v="7"/>
    <n v="68.23"/>
    <n v="0.05"/>
    <n v="453.73"/>
    <m/>
    <x v="1"/>
    <x v="1"/>
    <n v="453.72949999999997"/>
    <s v="OK"/>
  </r>
  <r>
    <s v="ORD-2317"/>
    <x v="76"/>
    <x v="4"/>
    <s v="M. Ansah"/>
    <x v="188"/>
    <x v="3"/>
    <s v="Shea Butter Lotion"/>
    <n v="2"/>
    <n v="27.47"/>
    <n v="0"/>
    <n v="54.94"/>
    <m/>
    <x v="8"/>
    <x v="8"/>
    <n v="54.94"/>
    <s v="OK"/>
  </r>
  <r>
    <s v="ORD-1941"/>
    <x v="41"/>
    <x v="0"/>
    <s v="J. Tetteh"/>
    <x v="165"/>
    <x v="0"/>
    <s v="Sneakers"/>
    <n v="11"/>
    <n v="238.4"/>
    <n v="0.05"/>
    <n v="2491.2800000000002"/>
    <m/>
    <x v="7"/>
    <x v="7"/>
    <n v="2491.2799999999997"/>
    <s v="OK"/>
  </r>
  <r>
    <s v="ORD-1577"/>
    <x v="108"/>
    <x v="0"/>
    <s v="J. Tetteh"/>
    <x v="162"/>
    <x v="4"/>
    <s v="USB-C Cable"/>
    <n v="10"/>
    <n v="178.15"/>
    <n v="0"/>
    <n v="1781.5"/>
    <m/>
    <x v="7"/>
    <x v="7"/>
    <n v="1781.5"/>
    <s v="OK"/>
  </r>
  <r>
    <s v="ORD-1819"/>
    <x v="29"/>
    <x v="0"/>
    <s v="P. Amoah"/>
    <x v="177"/>
    <x v="1"/>
    <s v="Electric Kettle"/>
    <n v="7"/>
    <n v="104.12"/>
    <n v="0.05"/>
    <n v="692.4"/>
    <m/>
    <x v="9"/>
    <x v="9"/>
    <n v="692.39800000000002"/>
    <s v="OK"/>
  </r>
  <r>
    <s v="ORD-2648"/>
    <x v="217"/>
    <x v="0"/>
    <s v="S. Addo"/>
    <x v="130"/>
    <x v="1"/>
    <s v="Blender"/>
    <n v="9"/>
    <n v="44.66"/>
    <n v="0"/>
    <n v="401.94"/>
    <m/>
    <x v="0"/>
    <x v="0"/>
    <n v="401.93999999999994"/>
    <s v="OK"/>
  </r>
  <r>
    <s v="ORD-2413"/>
    <x v="211"/>
    <x v="4"/>
    <s v="S. Addo"/>
    <x v="110"/>
    <x v="0"/>
    <s v="Denim Jeans"/>
    <n v="10"/>
    <n v="46.29"/>
    <n v="0.15"/>
    <n v="393.46"/>
    <m/>
    <x v="0"/>
    <x v="0"/>
    <n v="393.46499999999997"/>
    <s v="MISMATCH"/>
  </r>
  <r>
    <s v="ORD-2576"/>
    <x v="88"/>
    <x v="3"/>
    <s v="R. Ofori"/>
    <x v="93"/>
    <x v="2"/>
    <s v="Pasta Pack"/>
    <n v="9"/>
    <n v="219.78"/>
    <n v="0"/>
    <n v="1978.02"/>
    <m/>
    <x v="7"/>
    <x v="7"/>
    <n v="1978.02"/>
    <s v="OK"/>
  </r>
  <r>
    <s v="ORD-2263"/>
    <x v="298"/>
    <x v="2"/>
    <s v="M. Ansah"/>
    <x v="171"/>
    <x v="1"/>
    <s v="Electric Kettle"/>
    <n v="6"/>
    <n v="183.52"/>
    <n v="0"/>
    <n v="1101.1199999999999"/>
    <m/>
    <x v="6"/>
    <x v="6"/>
    <n v="1101.1200000000001"/>
    <s v="OK"/>
  </r>
  <r>
    <s v="ORD-1886"/>
    <x v="229"/>
    <x v="3"/>
    <s v="M. Ansah"/>
    <x v="168"/>
    <x v="2"/>
    <s v="Canned Tomatoes"/>
    <n v="1"/>
    <n v="109.39"/>
    <n v="0.1"/>
    <n v="98.45"/>
    <m/>
    <x v="7"/>
    <x v="7"/>
    <n v="98.451000000000008"/>
    <s v="OK"/>
  </r>
  <r>
    <s v="ORD-1968"/>
    <x v="230"/>
    <x v="0"/>
    <s v="P. Amoah"/>
    <x v="144"/>
    <x v="0"/>
    <s v="Sneakers"/>
    <n v="12"/>
    <n v="199.55"/>
    <n v="0.05"/>
    <n v="2274.87"/>
    <m/>
    <x v="10"/>
    <x v="10"/>
    <n v="2274.8700000000003"/>
    <s v="OK"/>
  </r>
  <r>
    <s v="ORD-2401"/>
    <x v="161"/>
    <x v="4"/>
    <s v="S. Addo"/>
    <x v="133"/>
    <x v="4"/>
    <s v="USB-C Cable"/>
    <n v="6"/>
    <n v="49.37"/>
    <n v="0"/>
    <n v="296.22000000000003"/>
    <m/>
    <x v="0"/>
    <x v="0"/>
    <n v="296.21999999999997"/>
    <s v="OK"/>
  </r>
  <r>
    <s v="ORD-2466"/>
    <x v="64"/>
    <x v="1"/>
    <s v="M. Ansah"/>
    <x v="81"/>
    <x v="4"/>
    <s v="Smartphone Case"/>
    <n v="5"/>
    <n v="138.6"/>
    <n v="0.15"/>
    <n v="589.04999999999995"/>
    <m/>
    <x v="9"/>
    <x v="9"/>
    <n v="589.04999999999995"/>
    <s v="OK"/>
  </r>
  <r>
    <s v="ORD-1301"/>
    <x v="54"/>
    <x v="2"/>
    <s v="P. Amoah"/>
    <x v="125"/>
    <x v="0"/>
    <s v="Sunglasses"/>
    <n v="3"/>
    <n v="137.82"/>
    <n v="0.05"/>
    <n v="392.79"/>
    <m/>
    <x v="7"/>
    <x v="7"/>
    <n v="392.78699999999998"/>
    <s v="OK"/>
  </r>
  <r>
    <s v="ORD-1689"/>
    <x v="225"/>
    <x v="3"/>
    <s v="R. Ofori"/>
    <x v="134"/>
    <x v="0"/>
    <s v="Sunglasses"/>
    <n v="8"/>
    <n v="130.77000000000001"/>
    <n v="0.15"/>
    <n v="889.24"/>
    <m/>
    <x v="0"/>
    <x v="0"/>
    <n v="889.23599999999999"/>
    <s v="OK"/>
  </r>
  <r>
    <s v="ORD-1812"/>
    <x v="201"/>
    <x v="4"/>
    <s v="P. Amoah"/>
    <x v="84"/>
    <x v="0"/>
    <s v="Leather Wallet"/>
    <n v="12"/>
    <n v="201.36"/>
    <n v="0.15"/>
    <n v="2053.87"/>
    <m/>
    <x v="6"/>
    <x v="6"/>
    <n v="2053.8720000000003"/>
    <s v="OK"/>
  </r>
  <r>
    <s v="ORD-2061"/>
    <x v="215"/>
    <x v="0"/>
    <s v="Unassigned"/>
    <x v="139"/>
    <x v="0"/>
    <s v="Sunglasses"/>
    <n v="1"/>
    <n v="208.53"/>
    <n v="0.15"/>
    <n v="177.25"/>
    <m/>
    <x v="7"/>
    <x v="7"/>
    <n v="177.25049999999999"/>
    <s v="OK"/>
  </r>
  <r>
    <s v="ORD-1236"/>
    <x v="14"/>
    <x v="1"/>
    <s v="R. Ofori"/>
    <x v="0"/>
    <x v="1"/>
    <s v="Storage Containers"/>
    <n v="5"/>
    <n v="84.84"/>
    <n v="0.05"/>
    <n v="402.99"/>
    <m/>
    <x v="5"/>
    <x v="5"/>
    <n v="402.99"/>
    <s v="OK"/>
  </r>
  <r>
    <s v="ORD-2115"/>
    <x v="125"/>
    <x v="0"/>
    <s v="R. Ofori"/>
    <x v="108"/>
    <x v="4"/>
    <s v="Smartphone Case"/>
    <n v="3"/>
    <n v="98.7"/>
    <n v="0.15"/>
    <n v="251.69"/>
    <m/>
    <x v="7"/>
    <x v="7"/>
    <n v="251.685"/>
    <s v="OK"/>
  </r>
  <r>
    <s v="ORD-2241"/>
    <x v="168"/>
    <x v="0"/>
    <s v="S. Addo"/>
    <x v="186"/>
    <x v="4"/>
    <s v="Laptop Stand"/>
    <n v="5"/>
    <n v="107.81"/>
    <n v="0"/>
    <n v="539.04999999999995"/>
    <m/>
    <x v="1"/>
    <x v="1"/>
    <n v="539.04999999999995"/>
    <s v="OK"/>
  </r>
  <r>
    <s v="ORD-1499"/>
    <x v="127"/>
    <x v="2"/>
    <s v="R. Ofori"/>
    <x v="114"/>
    <x v="1"/>
    <s v="Electric Kettle"/>
    <n v="8"/>
    <n v="173.53"/>
    <n v="0"/>
    <n v="1388.24"/>
    <m/>
    <x v="8"/>
    <x v="8"/>
    <n v="1388.24"/>
    <s v="OK"/>
  </r>
  <r>
    <s v="ORD-2511"/>
    <x v="283"/>
    <x v="2"/>
    <s v="P. Amoah"/>
    <x v="81"/>
    <x v="3"/>
    <s v="Lip Balm Set"/>
    <n v="6"/>
    <n v="68.62"/>
    <n v="0.1"/>
    <n v="370.55"/>
    <m/>
    <x v="5"/>
    <x v="5"/>
    <n v="370.54800000000006"/>
    <s v="OK"/>
  </r>
  <r>
    <s v="ORD-2079"/>
    <x v="188"/>
    <x v="0"/>
    <s v="S. Addo"/>
    <x v="99"/>
    <x v="4"/>
    <s v="Laptop Stand"/>
    <n v="11"/>
    <n v="72.650000000000006"/>
    <n v="0.15"/>
    <n v="679.28"/>
    <m/>
    <x v="11"/>
    <x v="11"/>
    <n v="679.27750000000003"/>
    <s v="OK"/>
  </r>
  <r>
    <s v="ORD-1794"/>
    <x v="79"/>
    <x v="3"/>
    <s v="R. Ofori"/>
    <x v="178"/>
    <x v="2"/>
    <s v="Cooking Oil 1L"/>
    <n v="3"/>
    <n v="63.73"/>
    <n v="0"/>
    <n v="191.19"/>
    <m/>
    <x v="4"/>
    <x v="4"/>
    <n v="191.19"/>
    <s v="OK"/>
  </r>
  <r>
    <s v="ORD-2392"/>
    <x v="227"/>
    <x v="1"/>
    <s v="S. Addo"/>
    <x v="60"/>
    <x v="4"/>
    <s v="Smartphone Case"/>
    <n v="9"/>
    <n v="79.36"/>
    <n v="0.1"/>
    <n v="642.82000000000005"/>
    <m/>
    <x v="10"/>
    <x v="10"/>
    <n v="642.81600000000003"/>
    <s v="OK"/>
  </r>
  <r>
    <s v="ORD-2754"/>
    <x v="96"/>
    <x v="0"/>
    <s v="J. Tetteh"/>
    <x v="99"/>
    <x v="3"/>
    <s v="Shea Butter Lotion"/>
    <n v="7"/>
    <n v="195.83"/>
    <n v="0"/>
    <n v="1370.81"/>
    <m/>
    <x v="0"/>
    <x v="0"/>
    <n v="1370.8100000000002"/>
    <s v="OK"/>
  </r>
  <r>
    <s v="ORD-1990"/>
    <x v="329"/>
    <x v="4"/>
    <s v="S. Addo"/>
    <x v="86"/>
    <x v="0"/>
    <s v="Cotton T-Shirt"/>
    <n v="12"/>
    <n v="163.91"/>
    <n v="0.05"/>
    <n v="1868.57"/>
    <m/>
    <x v="0"/>
    <x v="0"/>
    <n v="1868.5740000000001"/>
    <s v="OK"/>
  </r>
  <r>
    <s v="ORD-2593"/>
    <x v="332"/>
    <x v="1"/>
    <s v="J. Tetteh"/>
    <x v="63"/>
    <x v="0"/>
    <s v="Sneakers"/>
    <n v="6"/>
    <n v="50.72"/>
    <n v="0.15"/>
    <n v="258.67"/>
    <m/>
    <x v="4"/>
    <x v="4"/>
    <n v="258.67199999999997"/>
    <s v="OK"/>
  </r>
  <r>
    <s v="ORD-1934"/>
    <x v="358"/>
    <x v="4"/>
    <s v="R. Ofori"/>
    <x v="86"/>
    <x v="4"/>
    <s v="Bluetooth Speaker"/>
    <n v="3"/>
    <n v="164.32"/>
    <n v="0"/>
    <n v="492.96"/>
    <m/>
    <x v="1"/>
    <x v="1"/>
    <n v="492.96"/>
    <s v="OK"/>
  </r>
  <r>
    <s v="ORD-1387"/>
    <x v="62"/>
    <x v="3"/>
    <s v="J. Tetteh"/>
    <x v="46"/>
    <x v="0"/>
    <s v="Sneakers"/>
    <n v="3"/>
    <n v="135.69999999999999"/>
    <n v="0.15"/>
    <n v="346.03"/>
    <m/>
    <x v="10"/>
    <x v="10"/>
    <n v="346.03499999999997"/>
    <s v="MISMATCH"/>
  </r>
  <r>
    <s v="ORD-1390"/>
    <x v="233"/>
    <x v="1"/>
    <s v="M. Ansah"/>
    <x v="103"/>
    <x v="1"/>
    <s v="Electric Kettle"/>
    <n v="10"/>
    <n v="169.39"/>
    <n v="0"/>
    <n v="1693.9"/>
    <m/>
    <x v="0"/>
    <x v="0"/>
    <n v="1693.8999999999999"/>
    <s v="OK"/>
  </r>
  <r>
    <s v="ORD-1743"/>
    <x v="157"/>
    <x v="0"/>
    <s v="S. Addo"/>
    <x v="111"/>
    <x v="1"/>
    <s v="Table Lamp"/>
    <n v="12"/>
    <n v="245.01"/>
    <n v="0.05"/>
    <n v="2793.11"/>
    <m/>
    <x v="8"/>
    <x v="8"/>
    <n v="2793.1139999999996"/>
    <s v="OK"/>
  </r>
  <r>
    <s v="ORD-1352"/>
    <x v="34"/>
    <x v="1"/>
    <s v="M. Ansah"/>
    <x v="32"/>
    <x v="0"/>
    <s v="Sneakers"/>
    <n v="11"/>
    <n v="93.25"/>
    <n v="0"/>
    <n v="1025.75"/>
    <m/>
    <x v="6"/>
    <x v="6"/>
    <n v="1025.75"/>
    <s v="OK"/>
  </r>
  <r>
    <s v="ORD-2217"/>
    <x v="359"/>
    <x v="0"/>
    <s v="M. Ansah"/>
    <x v="134"/>
    <x v="3"/>
    <s v="Hair Oil"/>
    <n v="11"/>
    <n v="186.78"/>
    <n v="0"/>
    <n v="2054.58"/>
    <m/>
    <x v="11"/>
    <x v="11"/>
    <n v="2054.58"/>
    <s v="OK"/>
  </r>
  <r>
    <s v="ORD-1235"/>
    <x v="2"/>
    <x v="4"/>
    <s v="M. Ansah"/>
    <x v="94"/>
    <x v="2"/>
    <s v="Sugar 1kg"/>
    <n v="12"/>
    <n v="152.79"/>
    <n v="0"/>
    <n v="1833.48"/>
    <m/>
    <x v="2"/>
    <x v="2"/>
    <n v="1833.48"/>
    <s v="OK"/>
  </r>
  <r>
    <s v="ORD-2555"/>
    <x v="298"/>
    <x v="3"/>
    <s v="R. Ofori"/>
    <x v="183"/>
    <x v="1"/>
    <s v="Storage Containers"/>
    <n v="4"/>
    <n v="47.61"/>
    <n v="0"/>
    <n v="190.44"/>
    <m/>
    <x v="6"/>
    <x v="6"/>
    <n v="190.44"/>
    <s v="OK"/>
  </r>
  <r>
    <s v="ORD-1480"/>
    <x v="249"/>
    <x v="2"/>
    <s v="P. Amoah"/>
    <x v="37"/>
    <x v="4"/>
    <s v="USB-C Cable"/>
    <n v="9"/>
    <n v="25.84"/>
    <n v="0.05"/>
    <n v="220.93"/>
    <m/>
    <x v="9"/>
    <x v="9"/>
    <n v="220.93199999999999"/>
    <s v="OK"/>
  </r>
  <r>
    <s v="ORD-1567"/>
    <x v="289"/>
    <x v="4"/>
    <s v="P. Amoah"/>
    <x v="30"/>
    <x v="4"/>
    <s v="USB-C Cable"/>
    <n v="5"/>
    <n v="86.69"/>
    <n v="0.05"/>
    <n v="411.78"/>
    <m/>
    <x v="5"/>
    <x v="5"/>
    <n v="411.77749999999997"/>
    <s v="OK"/>
  </r>
  <r>
    <s v="ORD-2140"/>
    <x v="187"/>
    <x v="4"/>
    <s v="S. Addo"/>
    <x v="51"/>
    <x v="1"/>
    <s v="Table Lamp"/>
    <n v="1"/>
    <n v="127.86"/>
    <n v="0.1"/>
    <n v="115.07"/>
    <m/>
    <x v="9"/>
    <x v="9"/>
    <n v="115.074"/>
    <s v="OK"/>
  </r>
  <r>
    <s v="ORD-2716"/>
    <x v="52"/>
    <x v="3"/>
    <s v="M. Ansah"/>
    <x v="62"/>
    <x v="0"/>
    <s v="Denim Jeans"/>
    <n v="3"/>
    <n v="150.13999999999999"/>
    <n v="0.1"/>
    <n v="405.38"/>
    <m/>
    <x v="4"/>
    <x v="4"/>
    <n v="405.37799999999999"/>
    <s v="OK"/>
  </r>
  <r>
    <s v="ORD-2695"/>
    <x v="199"/>
    <x v="0"/>
    <s v="J. Tetteh"/>
    <x v="0"/>
    <x v="1"/>
    <s v="Storage Containers"/>
    <n v="10"/>
    <n v="159.99"/>
    <n v="0.1"/>
    <n v="1439.91"/>
    <m/>
    <x v="0"/>
    <x v="0"/>
    <n v="1439.91"/>
    <s v="OK"/>
  </r>
  <r>
    <s v="ORD-2426"/>
    <x v="78"/>
    <x v="3"/>
    <s v="R. Ofori"/>
    <x v="21"/>
    <x v="2"/>
    <s v="Canned Tomatoes"/>
    <n v="4"/>
    <n v="240.11"/>
    <n v="0"/>
    <n v="960.44"/>
    <m/>
    <x v="11"/>
    <x v="11"/>
    <n v="960.44"/>
    <s v="OK"/>
  </r>
  <r>
    <s v="ORD-1120"/>
    <x v="360"/>
    <x v="4"/>
    <s v="R. Ofori"/>
    <x v="19"/>
    <x v="0"/>
    <s v="Leather Wallet"/>
    <n v="9"/>
    <n v="36.65"/>
    <n v="0.15"/>
    <n v="280.37"/>
    <m/>
    <x v="10"/>
    <x v="10"/>
    <n v="280.37249999999995"/>
    <s v="OK"/>
  </r>
  <r>
    <s v="ORD-2577"/>
    <x v="169"/>
    <x v="4"/>
    <s v="P. Amoah"/>
    <x v="118"/>
    <x v="2"/>
    <s v="Rice 5kg"/>
    <n v="12"/>
    <n v="125.74"/>
    <n v="0.1"/>
    <n v="1357.99"/>
    <m/>
    <x v="10"/>
    <x v="10"/>
    <n v="1357.992"/>
    <s v="OK"/>
  </r>
  <r>
    <s v="ORD-2024"/>
    <x v="238"/>
    <x v="2"/>
    <s v="S. Addo"/>
    <x v="54"/>
    <x v="1"/>
    <s v="Non-stick Pan"/>
    <n v="1"/>
    <n v="21.55"/>
    <n v="0.15"/>
    <n v="18.32"/>
    <m/>
    <x v="5"/>
    <x v="5"/>
    <n v="18.317499999999999"/>
    <s v="OK"/>
  </r>
  <r>
    <s v="ORD-2086"/>
    <x v="18"/>
    <x v="2"/>
    <s v="P. Amoah"/>
    <x v="1"/>
    <x v="2"/>
    <s v="Cooking Oil 1L"/>
    <n v="5"/>
    <n v="12.1"/>
    <n v="0.1"/>
    <n v="54.45"/>
    <m/>
    <x v="9"/>
    <x v="9"/>
    <n v="54.45"/>
    <s v="OK"/>
  </r>
  <r>
    <s v="ORD-1926"/>
    <x v="256"/>
    <x v="0"/>
    <s v="M. Ansah"/>
    <x v="121"/>
    <x v="1"/>
    <s v="Table Lamp"/>
    <n v="1"/>
    <n v="161.41"/>
    <n v="0"/>
    <n v="161.41"/>
    <m/>
    <x v="3"/>
    <x v="3"/>
    <n v="161.41"/>
    <s v="OK"/>
  </r>
  <r>
    <s v="ORD-1515"/>
    <x v="103"/>
    <x v="0"/>
    <s v="M. Ansah"/>
    <x v="5"/>
    <x v="2"/>
    <s v="Canned Tomatoes"/>
    <n v="1"/>
    <n v="244.92"/>
    <n v="0"/>
    <n v="244.92"/>
    <m/>
    <x v="4"/>
    <x v="4"/>
    <n v="244.92"/>
    <s v="OK"/>
  </r>
  <r>
    <s v="ORD-1223"/>
    <x v="320"/>
    <x v="3"/>
    <s v="J. Tetteh"/>
    <x v="189"/>
    <x v="0"/>
    <s v="Sunglasses"/>
    <n v="12"/>
    <n v="225.81"/>
    <n v="0.1"/>
    <n v="2438.75"/>
    <m/>
    <x v="7"/>
    <x v="7"/>
    <n v="2438.7480000000005"/>
    <s v="OK"/>
  </r>
  <r>
    <s v="ORD-2348"/>
    <x v="240"/>
    <x v="2"/>
    <s v="J. Tetteh"/>
    <x v="46"/>
    <x v="0"/>
    <s v="Leather Wallet"/>
    <n v="11"/>
    <n v="125.6"/>
    <n v="0.15"/>
    <n v="1174.3599999999999"/>
    <m/>
    <x v="3"/>
    <x v="3"/>
    <n v="1174.3599999999999"/>
    <s v="OK"/>
  </r>
  <r>
    <s v="ORD-1613"/>
    <x v="359"/>
    <x v="0"/>
    <s v="R. Ofori"/>
    <x v="160"/>
    <x v="4"/>
    <s v="Wireless Earbuds"/>
    <n v="3"/>
    <n v="179.01"/>
    <n v="0"/>
    <n v="537.03"/>
    <m/>
    <x v="11"/>
    <x v="11"/>
    <n v="537.03"/>
    <s v="OK"/>
  </r>
  <r>
    <s v="ORD-1843"/>
    <x v="322"/>
    <x v="0"/>
    <s v="R. Ofori"/>
    <x v="65"/>
    <x v="1"/>
    <s v="Non-stick Pan"/>
    <n v="11"/>
    <n v="40.74"/>
    <n v="0.15"/>
    <n v="380.92"/>
    <m/>
    <x v="11"/>
    <x v="11"/>
    <n v="380.91900000000004"/>
    <s v="OK"/>
  </r>
  <r>
    <s v="ORD-2245"/>
    <x v="312"/>
    <x v="0"/>
    <s v="R. Ofori"/>
    <x v="40"/>
    <x v="3"/>
    <s v="Lip Balm Set"/>
    <n v="3"/>
    <n v="57.93"/>
    <n v="0"/>
    <n v="173.79"/>
    <m/>
    <x v="4"/>
    <x v="4"/>
    <n v="173.79"/>
    <s v="OK"/>
  </r>
  <r>
    <s v="ORD-1052"/>
    <x v="8"/>
    <x v="4"/>
    <s v="J. Tetteh"/>
    <x v="104"/>
    <x v="2"/>
    <s v="Sugar 1kg"/>
    <n v="6"/>
    <n v="249.98"/>
    <n v="0"/>
    <n v="1499.88"/>
    <m/>
    <x v="5"/>
    <x v="5"/>
    <n v="1499.8799999999999"/>
    <s v="OK"/>
  </r>
  <r>
    <s v="ORD-2677"/>
    <x v="317"/>
    <x v="3"/>
    <s v="R. Ofori"/>
    <x v="60"/>
    <x v="2"/>
    <s v="Cooking Oil 1L"/>
    <n v="2"/>
    <n v="152.47999999999999"/>
    <n v="0.05"/>
    <n v="289.70999999999998"/>
    <m/>
    <x v="11"/>
    <x v="11"/>
    <n v="289.71199999999999"/>
    <s v="OK"/>
  </r>
  <r>
    <s v="ORD-1485"/>
    <x v="162"/>
    <x v="4"/>
    <s v="R. Ofori"/>
    <x v="186"/>
    <x v="4"/>
    <s v="Smartphone Case"/>
    <n v="12"/>
    <n v="86.31"/>
    <n v="0.1"/>
    <n v="932.15"/>
    <m/>
    <x v="10"/>
    <x v="10"/>
    <n v="932.14800000000002"/>
    <s v="OK"/>
  </r>
  <r>
    <s v="ORD-2739"/>
    <x v="143"/>
    <x v="0"/>
    <s v="J. Tetteh"/>
    <x v="0"/>
    <x v="3"/>
    <s v="Lip Balm Set"/>
    <n v="11"/>
    <n v="123.94"/>
    <n v="0.1"/>
    <n v="1227.01"/>
    <m/>
    <x v="6"/>
    <x v="6"/>
    <n v="1227.0059999999999"/>
    <s v="OK"/>
  </r>
  <r>
    <s v="ORD-1818"/>
    <x v="235"/>
    <x v="1"/>
    <s v="P. Amoah"/>
    <x v="112"/>
    <x v="0"/>
    <s v="Sneakers"/>
    <n v="3"/>
    <n v="22.63"/>
    <n v="0.15"/>
    <n v="57.71"/>
    <m/>
    <x v="8"/>
    <x v="8"/>
    <n v="57.706499999999998"/>
    <s v="OK"/>
  </r>
  <r>
    <s v="ORD-1155"/>
    <x v="313"/>
    <x v="1"/>
    <s v="M. Ansah"/>
    <x v="73"/>
    <x v="2"/>
    <s v="Pasta Pack"/>
    <n v="6"/>
    <n v="237.46"/>
    <n v="0.05"/>
    <n v="1353.52"/>
    <m/>
    <x v="4"/>
    <x v="4"/>
    <n v="1353.5219999999999"/>
    <s v="OK"/>
  </r>
  <r>
    <s v="ORD-1600"/>
    <x v="20"/>
    <x v="1"/>
    <s v="R. Ofori"/>
    <x v="146"/>
    <x v="3"/>
    <s v="Shampoo 400ml"/>
    <n v="2"/>
    <n v="76.42"/>
    <n v="0"/>
    <n v="152.84"/>
    <m/>
    <x v="10"/>
    <x v="10"/>
    <n v="152.84"/>
    <s v="OK"/>
  </r>
  <r>
    <s v="ORD-2461"/>
    <x v="309"/>
    <x v="0"/>
    <s v="P. Amoah"/>
    <x v="159"/>
    <x v="2"/>
    <s v="Pasta Pack"/>
    <n v="7"/>
    <n v="214.53"/>
    <n v="0.1"/>
    <n v="1351.54"/>
    <m/>
    <x v="1"/>
    <x v="1"/>
    <n v="1351.539"/>
    <s v="OK"/>
  </r>
  <r>
    <s v="ORD-1248"/>
    <x v="16"/>
    <x v="3"/>
    <s v="R. Ofori"/>
    <x v="155"/>
    <x v="0"/>
    <s v="Sunglasses"/>
    <n v="8"/>
    <n v="90.24"/>
    <n v="0.1"/>
    <n v="649.73"/>
    <m/>
    <x v="5"/>
    <x v="5"/>
    <n v="649.72799999999995"/>
    <s v="OK"/>
  </r>
  <r>
    <s v="ORD-1761"/>
    <x v="305"/>
    <x v="2"/>
    <s v="R. Ofori"/>
    <x v="41"/>
    <x v="3"/>
    <s v="Face Wash"/>
    <n v="3"/>
    <n v="50.55"/>
    <n v="0"/>
    <n v="151.65"/>
    <m/>
    <x v="8"/>
    <x v="8"/>
    <n v="151.64999999999998"/>
    <s v="OK"/>
  </r>
  <r>
    <s v="ORD-2663"/>
    <x v="246"/>
    <x v="2"/>
    <s v="M. Ansah"/>
    <x v="107"/>
    <x v="1"/>
    <s v="Storage Containers"/>
    <n v="9"/>
    <n v="131.31"/>
    <n v="0"/>
    <n v="1181.79"/>
    <m/>
    <x v="10"/>
    <x v="10"/>
    <n v="1181.79"/>
    <s v="OK"/>
  </r>
  <r>
    <s v="ORD-2130"/>
    <x v="349"/>
    <x v="0"/>
    <s v="S. Addo"/>
    <x v="47"/>
    <x v="2"/>
    <s v="Cooking Oil 1L"/>
    <n v="1"/>
    <n v="166.28"/>
    <n v="0"/>
    <n v="166.28"/>
    <m/>
    <x v="9"/>
    <x v="9"/>
    <n v="166.28"/>
    <s v="OK"/>
  </r>
  <r>
    <s v="ORD-1542"/>
    <x v="114"/>
    <x v="2"/>
    <s v="R. Ofori"/>
    <x v="46"/>
    <x v="0"/>
    <s v="Sneakers"/>
    <n v="8"/>
    <n v="167.31"/>
    <n v="0"/>
    <n v="1338.48"/>
    <m/>
    <x v="2"/>
    <x v="2"/>
    <n v="1338.48"/>
    <s v="OK"/>
  </r>
  <r>
    <s v="ORD-1793"/>
    <x v="359"/>
    <x v="4"/>
    <s v="P. Amoah"/>
    <x v="112"/>
    <x v="2"/>
    <s v="Sugar 1kg"/>
    <n v="10"/>
    <n v="66.040000000000006"/>
    <n v="0.15"/>
    <n v="561.34"/>
    <m/>
    <x v="11"/>
    <x v="11"/>
    <n v="561.34"/>
    <s v="OK"/>
  </r>
  <r>
    <s v="ORD-2141"/>
    <x v="54"/>
    <x v="0"/>
    <s v="R. Ofori"/>
    <x v="38"/>
    <x v="4"/>
    <s v="Laptop Stand"/>
    <n v="7"/>
    <n v="56.75"/>
    <n v="0"/>
    <n v="397.25"/>
    <m/>
    <x v="7"/>
    <x v="7"/>
    <n v="397.25"/>
    <s v="OK"/>
  </r>
  <r>
    <s v="ORD-2340"/>
    <x v="170"/>
    <x v="4"/>
    <s v="R. Ofori"/>
    <x v="69"/>
    <x v="0"/>
    <s v="Sneakers"/>
    <n v="6"/>
    <n v="150.49"/>
    <n v="0"/>
    <n v="902.94"/>
    <m/>
    <x v="8"/>
    <x v="8"/>
    <n v="902.94"/>
    <s v="OK"/>
  </r>
  <r>
    <s v="ORD-1628"/>
    <x v="283"/>
    <x v="1"/>
    <s v="M. Ansah"/>
    <x v="82"/>
    <x v="3"/>
    <s v="Shampoo 400ml"/>
    <n v="2"/>
    <n v="243.53"/>
    <n v="0"/>
    <n v="487.06"/>
    <m/>
    <x v="5"/>
    <x v="5"/>
    <n v="487.06"/>
    <s v="OK"/>
  </r>
  <r>
    <s v="ORD-1150"/>
    <x v="267"/>
    <x v="3"/>
    <s v="S. Addo"/>
    <x v="8"/>
    <x v="1"/>
    <s v="Non-stick Pan"/>
    <n v="7"/>
    <n v="200.84"/>
    <n v="0.05"/>
    <n v="1335.59"/>
    <m/>
    <x v="1"/>
    <x v="1"/>
    <n v="1335.586"/>
    <s v="OK"/>
  </r>
  <r>
    <s v="ORD-2496"/>
    <x v="171"/>
    <x v="2"/>
    <s v="R. Ofori"/>
    <x v="96"/>
    <x v="0"/>
    <s v="Cotton T-Shirt"/>
    <n v="7"/>
    <n v="125.82"/>
    <n v="0.1"/>
    <n v="792.67"/>
    <m/>
    <x v="1"/>
    <x v="1"/>
    <n v="792.66600000000005"/>
    <s v="OK"/>
  </r>
  <r>
    <s v="ORD-1291"/>
    <x v="105"/>
    <x v="0"/>
    <s v="S. Addo"/>
    <x v="4"/>
    <x v="0"/>
    <s v="Denim Jeans"/>
    <n v="5"/>
    <n v="170.91"/>
    <n v="0"/>
    <n v="854.55"/>
    <m/>
    <x v="9"/>
    <x v="9"/>
    <n v="854.55"/>
    <s v="OK"/>
  </r>
  <r>
    <s v="ORD-1381"/>
    <x v="341"/>
    <x v="2"/>
    <s v="J. Tetteh"/>
    <x v="18"/>
    <x v="2"/>
    <s v="Sugar 1kg"/>
    <n v="9"/>
    <n v="131.01"/>
    <n v="0.05"/>
    <n v="1120.1400000000001"/>
    <m/>
    <x v="3"/>
    <x v="3"/>
    <n v="1120.1354999999999"/>
    <s v="OK"/>
  </r>
  <r>
    <s v="ORD-1686"/>
    <x v="249"/>
    <x v="1"/>
    <s v="M. Ansah"/>
    <x v="62"/>
    <x v="4"/>
    <s v="USB-C Cable"/>
    <n v="4"/>
    <n v="10.029999999999999"/>
    <n v="0"/>
    <n v="40.119999999999997"/>
    <m/>
    <x v="9"/>
    <x v="9"/>
    <n v="40.119999999999997"/>
    <s v="OK"/>
  </r>
  <r>
    <s v="ORD-2224"/>
    <x v="83"/>
    <x v="1"/>
    <s v="P. Amoah"/>
    <x v="116"/>
    <x v="2"/>
    <s v="Pasta Pack"/>
    <n v="6"/>
    <n v="85.35"/>
    <n v="0.15"/>
    <n v="435.28"/>
    <m/>
    <x v="1"/>
    <x v="1"/>
    <n v="435.28499999999991"/>
    <s v="MISMATCH"/>
  </r>
  <r>
    <s v="ORD-1897"/>
    <x v="45"/>
    <x v="0"/>
    <s v="M. Ansah"/>
    <x v="145"/>
    <x v="1"/>
    <s v="Electric Kettle"/>
    <n v="5"/>
    <n v="161.71"/>
    <n v="0"/>
    <n v="808.55"/>
    <m/>
    <x v="1"/>
    <x v="1"/>
    <n v="808.55000000000007"/>
    <s v="OK"/>
  </r>
  <r>
    <s v="ORD-1854"/>
    <x v="275"/>
    <x v="0"/>
    <s v="J. Tetteh"/>
    <x v="125"/>
    <x v="2"/>
    <s v="Sugar 1kg"/>
    <n v="9"/>
    <n v="179.87"/>
    <n v="0"/>
    <n v="1618.83"/>
    <m/>
    <x v="2"/>
    <x v="2"/>
    <n v="1618.83"/>
    <s v="OK"/>
  </r>
  <r>
    <s v="ORD-2071"/>
    <x v="317"/>
    <x v="0"/>
    <s v="J. Tetteh"/>
    <x v="138"/>
    <x v="1"/>
    <s v="Electric Kettle"/>
    <n v="6"/>
    <n v="150.41999999999999"/>
    <n v="0.15"/>
    <n v="767.14"/>
    <m/>
    <x v="11"/>
    <x v="11"/>
    <n v="767.14199999999994"/>
    <s v="OK"/>
  </r>
  <r>
    <s v="ORD-1679"/>
    <x v="201"/>
    <x v="0"/>
    <s v="M. Ansah"/>
    <x v="157"/>
    <x v="3"/>
    <s v="Hair Oil"/>
    <n v="8"/>
    <n v="49.87"/>
    <n v="0"/>
    <n v="398.96"/>
    <m/>
    <x v="6"/>
    <x v="6"/>
    <n v="398.96"/>
    <s v="OK"/>
  </r>
  <r>
    <s v="ORD-2389"/>
    <x v="134"/>
    <x v="3"/>
    <s v="J. Tetteh"/>
    <x v="60"/>
    <x v="0"/>
    <s v="Denim Jeans"/>
    <n v="7"/>
    <n v="218.31"/>
    <n v="0"/>
    <n v="1528.17"/>
    <m/>
    <x v="10"/>
    <x v="10"/>
    <n v="1528.17"/>
    <s v="OK"/>
  </r>
  <r>
    <s v="ORD-2583"/>
    <x v="134"/>
    <x v="0"/>
    <s v="P. Amoah"/>
    <x v="14"/>
    <x v="0"/>
    <s v="Cotton T-Shirt"/>
    <n v="5"/>
    <n v="129.30000000000001"/>
    <n v="0.15"/>
    <n v="549.52"/>
    <m/>
    <x v="10"/>
    <x v="10"/>
    <n v="549.52499999999998"/>
    <s v="MISMATCH"/>
  </r>
  <r>
    <s v="ORD-1891"/>
    <x v="16"/>
    <x v="4"/>
    <s v="J. Tetteh"/>
    <x v="152"/>
    <x v="4"/>
    <s v="Bluetooth Speaker"/>
    <n v="8"/>
    <n v="52.27"/>
    <n v="0"/>
    <n v="418.16"/>
    <m/>
    <x v="5"/>
    <x v="5"/>
    <n v="418.16"/>
    <s v="OK"/>
  </r>
  <r>
    <s v="ORD-1275"/>
    <x v="7"/>
    <x v="3"/>
    <s v="P. Amoah"/>
    <x v="74"/>
    <x v="0"/>
    <s v="Cotton T-Shirt"/>
    <n v="7"/>
    <n v="136.41999999999999"/>
    <n v="0.1"/>
    <n v="859.45"/>
    <m/>
    <x v="7"/>
    <x v="7"/>
    <n v="859.44599999999991"/>
    <s v="OK"/>
  </r>
  <r>
    <s v="ORD-1615"/>
    <x v="135"/>
    <x v="2"/>
    <s v="R. Ofori"/>
    <x v="193"/>
    <x v="4"/>
    <s v="Bluetooth Speaker"/>
    <n v="8"/>
    <n v="107.2"/>
    <n v="0.15"/>
    <n v="728.96"/>
    <m/>
    <x v="11"/>
    <x v="11"/>
    <n v="728.96"/>
    <s v="OK"/>
  </r>
  <r>
    <s v="ORD-1154"/>
    <x v="115"/>
    <x v="1"/>
    <s v="J. Tetteh"/>
    <x v="161"/>
    <x v="2"/>
    <s v="Sugar 1kg"/>
    <n v="2"/>
    <n v="13.53"/>
    <n v="0"/>
    <n v="27.06"/>
    <m/>
    <x v="11"/>
    <x v="11"/>
    <n v="27.06"/>
    <s v="OK"/>
  </r>
  <r>
    <s v="ORD-2193"/>
    <x v="216"/>
    <x v="4"/>
    <s v="S. Addo"/>
    <x v="44"/>
    <x v="0"/>
    <s v="Leather Wallet"/>
    <n v="7"/>
    <n v="115.18"/>
    <n v="0.1"/>
    <n v="725.63"/>
    <m/>
    <x v="2"/>
    <x v="2"/>
    <n v="725.63400000000001"/>
    <s v="OK"/>
  </r>
  <r>
    <s v="ORD-2560"/>
    <x v="260"/>
    <x v="2"/>
    <s v="R. Ofori"/>
    <x v="82"/>
    <x v="4"/>
    <s v="Smartphone Case"/>
    <n v="5"/>
    <n v="63.95"/>
    <n v="0.1"/>
    <n v="287.77999999999997"/>
    <m/>
    <x v="7"/>
    <x v="7"/>
    <n v="287.77500000000003"/>
    <s v="OK"/>
  </r>
  <r>
    <s v="ORD-1322"/>
    <x v="21"/>
    <x v="0"/>
    <s v="Unassigned"/>
    <x v="186"/>
    <x v="4"/>
    <s v="Power Bank"/>
    <n v="11"/>
    <n v="69.709999999999994"/>
    <n v="0.05"/>
    <n v="728.47"/>
    <m/>
    <x v="2"/>
    <x v="2"/>
    <n v="728.46949999999993"/>
    <s v="OK"/>
  </r>
  <r>
    <s v="ORD-2408"/>
    <x v="174"/>
    <x v="0"/>
    <s v="P. Amoah"/>
    <x v="164"/>
    <x v="2"/>
    <s v="Canned Tomatoes"/>
    <n v="5"/>
    <n v="137.61000000000001"/>
    <n v="0"/>
    <n v="688.05"/>
    <m/>
    <x v="9"/>
    <x v="9"/>
    <n v="688.05000000000007"/>
    <s v="OK"/>
  </r>
  <r>
    <s v="ORD-2282"/>
    <x v="202"/>
    <x v="0"/>
    <s v="P. Amoah"/>
    <x v="174"/>
    <x v="0"/>
    <s v="Denim Jeans"/>
    <n v="8"/>
    <n v="15.24"/>
    <n v="0"/>
    <n v="121.92"/>
    <m/>
    <x v="6"/>
    <x v="6"/>
    <n v="121.92"/>
    <s v="OK"/>
  </r>
  <r>
    <s v="ORD-1082"/>
    <x v="326"/>
    <x v="0"/>
    <s v="S. Addo"/>
    <x v="146"/>
    <x v="2"/>
    <s v="Pasta Pack"/>
    <n v="6"/>
    <n v="116.56"/>
    <n v="0"/>
    <n v="699.36"/>
    <m/>
    <x v="5"/>
    <x v="5"/>
    <n v="699.36"/>
    <s v="OK"/>
  </r>
  <r>
    <s v="ORD-1512"/>
    <x v="351"/>
    <x v="4"/>
    <s v="J. Tetteh"/>
    <x v="137"/>
    <x v="4"/>
    <s v="Smartphone Case"/>
    <n v="7"/>
    <n v="85.66"/>
    <n v="0.1"/>
    <n v="539.66"/>
    <m/>
    <x v="4"/>
    <x v="4"/>
    <n v="539.65800000000002"/>
    <s v="OK"/>
  </r>
  <r>
    <s v="ORD-2388"/>
    <x v="241"/>
    <x v="0"/>
    <s v="J. Tetteh"/>
    <x v="161"/>
    <x v="1"/>
    <s v="Electric Kettle"/>
    <n v="4"/>
    <n v="143.71"/>
    <n v="0.15"/>
    <n v="488.61"/>
    <m/>
    <x v="3"/>
    <x v="3"/>
    <n v="488.61400000000003"/>
    <s v="OK"/>
  </r>
  <r>
    <s v="ORD-1929"/>
    <x v="16"/>
    <x v="0"/>
    <s v="J. Tetteh"/>
    <x v="161"/>
    <x v="3"/>
    <s v="Shea Butter Lotion"/>
    <n v="1"/>
    <n v="121.85"/>
    <n v="0"/>
    <n v="121.85"/>
    <m/>
    <x v="5"/>
    <x v="5"/>
    <n v="121.85"/>
    <s v="OK"/>
  </r>
  <r>
    <s v="ORD-2487"/>
    <x v="98"/>
    <x v="2"/>
    <s v="S. Addo"/>
    <x v="1"/>
    <x v="1"/>
    <s v="Electric Kettle"/>
    <n v="7"/>
    <n v="66.77"/>
    <n v="0.05"/>
    <n v="444.02"/>
    <m/>
    <x v="10"/>
    <x v="10"/>
    <n v="444.02049999999997"/>
    <s v="OK"/>
  </r>
  <r>
    <s v="ORD-1010"/>
    <x v="257"/>
    <x v="0"/>
    <s v="M. Ansah"/>
    <x v="112"/>
    <x v="0"/>
    <s v="Cotton T-Shirt"/>
    <n v="12"/>
    <n v="238.68"/>
    <n v="0"/>
    <n v="2864.16"/>
    <m/>
    <x v="10"/>
    <x v="10"/>
    <n v="2864.16"/>
    <s v="OK"/>
  </r>
  <r>
    <s v="ORD-1831"/>
    <x v="120"/>
    <x v="3"/>
    <s v="S. Addo"/>
    <x v="13"/>
    <x v="0"/>
    <s v="Sunglasses"/>
    <n v="4"/>
    <n v="249.86"/>
    <n v="0"/>
    <n v="999.44"/>
    <m/>
    <x v="4"/>
    <x v="4"/>
    <n v="999.44"/>
    <s v="OK"/>
  </r>
  <r>
    <s v="ORD-1032"/>
    <x v="305"/>
    <x v="0"/>
    <s v="R. Ofori"/>
    <x v="199"/>
    <x v="1"/>
    <s v="Blender"/>
    <n v="4"/>
    <n v="231.81"/>
    <n v="0"/>
    <n v="927.24"/>
    <m/>
    <x v="8"/>
    <x v="8"/>
    <n v="927.24"/>
    <s v="OK"/>
  </r>
  <r>
    <s v="ORD-2380"/>
    <x v="325"/>
    <x v="4"/>
    <s v="M. Ansah"/>
    <x v="87"/>
    <x v="1"/>
    <s v="Storage Containers"/>
    <n v="10"/>
    <n v="217.06"/>
    <n v="0.05"/>
    <n v="2062.0700000000002"/>
    <m/>
    <x v="7"/>
    <x v="7"/>
    <n v="2062.0699999999997"/>
    <s v="OK"/>
  </r>
  <r>
    <s v="ORD-1413"/>
    <x v="308"/>
    <x v="4"/>
    <s v="S. Addo"/>
    <x v="120"/>
    <x v="3"/>
    <s v="Shea Butter Lotion"/>
    <n v="7"/>
    <n v="31.11"/>
    <n v="0.15"/>
    <n v="185.1"/>
    <m/>
    <x v="9"/>
    <x v="9"/>
    <n v="185.10449999999997"/>
    <s v="OK"/>
  </r>
  <r>
    <s v="ORD-1580"/>
    <x v="227"/>
    <x v="3"/>
    <s v="M. Ansah"/>
    <x v="26"/>
    <x v="3"/>
    <s v="Face Wash"/>
    <n v="4"/>
    <n v="72.72"/>
    <n v="0"/>
    <n v="290.88"/>
    <m/>
    <x v="10"/>
    <x v="10"/>
    <n v="290.88"/>
    <s v="OK"/>
  </r>
  <r>
    <s v="ORD-2411"/>
    <x v="361"/>
    <x v="3"/>
    <s v="R. Ofori"/>
    <x v="155"/>
    <x v="0"/>
    <s v="Denim Jeans"/>
    <n v="2"/>
    <n v="163.13999999999999"/>
    <n v="0.05"/>
    <n v="309.97000000000003"/>
    <m/>
    <x v="6"/>
    <x v="6"/>
    <n v="309.96599999999995"/>
    <s v="OK"/>
  </r>
  <r>
    <s v="ORD-2730"/>
    <x v="311"/>
    <x v="3"/>
    <s v="R. Ofori"/>
    <x v="29"/>
    <x v="2"/>
    <s v="Rice 5kg"/>
    <n v="2"/>
    <n v="35.99"/>
    <n v="0"/>
    <n v="71.98"/>
    <m/>
    <x v="4"/>
    <x v="4"/>
    <n v="71.98"/>
    <s v="OK"/>
  </r>
  <r>
    <s v="ORD-1614"/>
    <x v="238"/>
    <x v="4"/>
    <s v="S. Addo"/>
    <x v="149"/>
    <x v="0"/>
    <s v="Sunglasses"/>
    <n v="12"/>
    <n v="126.05"/>
    <n v="0.05"/>
    <n v="1436.97"/>
    <m/>
    <x v="5"/>
    <x v="5"/>
    <n v="1436.9699999999998"/>
    <s v="OK"/>
  </r>
  <r>
    <s v="ORD-2045"/>
    <x v="88"/>
    <x v="4"/>
    <s v="P. Amoah"/>
    <x v="131"/>
    <x v="0"/>
    <s v="Cotton T-Shirt"/>
    <n v="4"/>
    <n v="186.77"/>
    <n v="0"/>
    <n v="747.08"/>
    <m/>
    <x v="7"/>
    <x v="7"/>
    <n v="747.08"/>
    <s v="OK"/>
  </r>
  <r>
    <s v="ORD-2014"/>
    <x v="8"/>
    <x v="3"/>
    <s v="R. Ofori"/>
    <x v="154"/>
    <x v="1"/>
    <s v="Table Lamp"/>
    <n v="11"/>
    <n v="224.29"/>
    <n v="0"/>
    <n v="2467.19"/>
    <m/>
    <x v="5"/>
    <x v="5"/>
    <n v="2467.19"/>
    <s v="OK"/>
  </r>
  <r>
    <s v="ORD-1089"/>
    <x v="264"/>
    <x v="0"/>
    <s v="R. Ofori"/>
    <x v="14"/>
    <x v="3"/>
    <s v="Hair Oil"/>
    <n v="11"/>
    <n v="61.89"/>
    <n v="0"/>
    <n v="680.79"/>
    <m/>
    <x v="5"/>
    <x v="5"/>
    <n v="680.79"/>
    <s v="OK"/>
  </r>
  <r>
    <s v="ORD-2550"/>
    <x v="15"/>
    <x v="3"/>
    <s v="S. Addo"/>
    <x v="145"/>
    <x v="4"/>
    <s v="Power Bank"/>
    <n v="5"/>
    <n v="201.81"/>
    <n v="0.1"/>
    <n v="908.14"/>
    <m/>
    <x v="5"/>
    <x v="5"/>
    <n v="908.14499999999998"/>
    <s v="MISMATCH"/>
  </r>
  <r>
    <s v="ORD-1601"/>
    <x v="315"/>
    <x v="0"/>
    <s v="S. Addo"/>
    <x v="173"/>
    <x v="0"/>
    <s v="Sneakers"/>
    <n v="10"/>
    <n v="117.21"/>
    <n v="0"/>
    <n v="1172.0999999999999"/>
    <m/>
    <x v="3"/>
    <x v="3"/>
    <n v="1172.0999999999999"/>
    <s v="OK"/>
  </r>
  <r>
    <s v="ORD-2237"/>
    <x v="52"/>
    <x v="3"/>
    <s v="M. Ansah"/>
    <x v="57"/>
    <x v="3"/>
    <s v="Shampoo 400ml"/>
    <n v="1"/>
    <n v="191.34"/>
    <n v="0.15"/>
    <n v="162.63999999999999"/>
    <m/>
    <x v="4"/>
    <x v="4"/>
    <n v="162.63900000000001"/>
    <s v="OK"/>
  </r>
  <r>
    <s v="ORD-1133"/>
    <x v="274"/>
    <x v="3"/>
    <s v="J. Tetteh"/>
    <x v="43"/>
    <x v="0"/>
    <s v="Sneakers"/>
    <n v="6"/>
    <n v="162.66"/>
    <n v="0"/>
    <n v="975.96"/>
    <m/>
    <x v="2"/>
    <x v="2"/>
    <n v="975.96"/>
    <s v="OK"/>
  </r>
  <r>
    <s v="ORD-1555"/>
    <x v="69"/>
    <x v="4"/>
    <s v="P. Amoah"/>
    <x v="176"/>
    <x v="2"/>
    <s v="Canned Tomatoes"/>
    <n v="7"/>
    <n v="172.46"/>
    <n v="0.05"/>
    <n v="1146.8599999999999"/>
    <m/>
    <x v="7"/>
    <x v="7"/>
    <n v="1146.8589999999999"/>
    <s v="OK"/>
  </r>
  <r>
    <s v="ORD-2031"/>
    <x v="123"/>
    <x v="2"/>
    <s v="J. Tetteh"/>
    <x v="133"/>
    <x v="4"/>
    <s v="USB-C Cable"/>
    <n v="9"/>
    <n v="36.159999999999997"/>
    <n v="0"/>
    <n v="325.44"/>
    <m/>
    <x v="5"/>
    <x v="5"/>
    <n v="325.43999999999994"/>
    <s v="OK"/>
  </r>
  <r>
    <s v="ORD-1320"/>
    <x v="263"/>
    <x v="0"/>
    <s v="J. Tetteh"/>
    <x v="110"/>
    <x v="1"/>
    <s v="Table Lamp"/>
    <n v="9"/>
    <n v="141.31"/>
    <n v="0"/>
    <n v="1271.79"/>
    <m/>
    <x v="0"/>
    <x v="0"/>
    <n v="1271.79"/>
    <s v="OK"/>
  </r>
  <r>
    <s v="ORD-2643"/>
    <x v="297"/>
    <x v="0"/>
    <s v="M. Ansah"/>
    <x v="72"/>
    <x v="3"/>
    <s v="Shea Butter Lotion"/>
    <n v="2"/>
    <n v="135.11000000000001"/>
    <n v="0"/>
    <n v="270.22000000000003"/>
    <m/>
    <x v="11"/>
    <x v="11"/>
    <n v="270.22000000000003"/>
    <s v="OK"/>
  </r>
  <r>
    <s v="ORD-2211"/>
    <x v="249"/>
    <x v="4"/>
    <s v="R. Ofori"/>
    <x v="123"/>
    <x v="1"/>
    <s v="Storage Containers"/>
    <n v="7"/>
    <n v="55.38"/>
    <n v="0.1"/>
    <n v="348.89"/>
    <m/>
    <x v="9"/>
    <x v="9"/>
    <n v="348.89400000000001"/>
    <s v="OK"/>
  </r>
  <r>
    <s v="ORD-2582"/>
    <x v="360"/>
    <x v="2"/>
    <s v="Unassigned"/>
    <x v="18"/>
    <x v="3"/>
    <s v="Lip Balm Set"/>
    <n v="1"/>
    <n v="196.92"/>
    <n v="0"/>
    <n v="196.92"/>
    <m/>
    <x v="10"/>
    <x v="10"/>
    <n v="196.92"/>
    <s v="OK"/>
  </r>
  <r>
    <s v="ORD-1634"/>
    <x v="239"/>
    <x v="1"/>
    <s v="M. Ansah"/>
    <x v="31"/>
    <x v="4"/>
    <s v="Smartphone Case"/>
    <n v="7"/>
    <n v="35.08"/>
    <n v="0.15"/>
    <n v="208.73"/>
    <m/>
    <x v="5"/>
    <x v="5"/>
    <n v="208.726"/>
    <s v="OK"/>
  </r>
  <r>
    <s v="ORD-1552"/>
    <x v="60"/>
    <x v="3"/>
    <s v="M. Ansah"/>
    <x v="144"/>
    <x v="4"/>
    <s v="Laptop Stand"/>
    <n v="6"/>
    <n v="166.49"/>
    <n v="0"/>
    <n v="998.94"/>
    <m/>
    <x v="5"/>
    <x v="5"/>
    <n v="998.94"/>
    <s v="OK"/>
  </r>
  <r>
    <s v="ORD-2328"/>
    <x v="56"/>
    <x v="1"/>
    <s v="R. Ofori"/>
    <x v="6"/>
    <x v="0"/>
    <s v="Denim Jeans"/>
    <n v="9"/>
    <n v="208.3"/>
    <n v="0"/>
    <n v="1874.7"/>
    <m/>
    <x v="11"/>
    <x v="11"/>
    <n v="1874.7"/>
    <s v="OK"/>
  </r>
  <r>
    <s v="ORD-2055"/>
    <x v="326"/>
    <x v="3"/>
    <s v="S. Addo"/>
    <x v="193"/>
    <x v="2"/>
    <s v="Cooking Oil 1L"/>
    <n v="3"/>
    <n v="60.72"/>
    <n v="0"/>
    <n v="182.16"/>
    <m/>
    <x v="5"/>
    <x v="5"/>
    <n v="182.16"/>
    <s v="OK"/>
  </r>
  <r>
    <s v="ORD-2420"/>
    <x v="51"/>
    <x v="4"/>
    <s v="R. Ofori"/>
    <x v="48"/>
    <x v="3"/>
    <s v="Face Wash"/>
    <n v="2"/>
    <n v="47.91"/>
    <n v="0.15"/>
    <n v="81.45"/>
    <m/>
    <x v="1"/>
    <x v="1"/>
    <n v="81.446999999999989"/>
    <s v="OK"/>
  </r>
  <r>
    <s v="ORD-1796"/>
    <x v="243"/>
    <x v="2"/>
    <s v="M. Ansah"/>
    <x v="63"/>
    <x v="2"/>
    <s v="Canned Tomatoes"/>
    <n v="2"/>
    <n v="118.23"/>
    <n v="0.15"/>
    <n v="200.99"/>
    <m/>
    <x v="3"/>
    <x v="3"/>
    <n v="200.99100000000001"/>
    <s v="OK"/>
  </r>
  <r>
    <s v="ORD-2517"/>
    <x v="39"/>
    <x v="2"/>
    <s v="S. Addo"/>
    <x v="15"/>
    <x v="3"/>
    <s v="Lip Balm Set"/>
    <n v="5"/>
    <n v="41.89"/>
    <n v="0.1"/>
    <n v="188.5"/>
    <m/>
    <x v="3"/>
    <x v="3"/>
    <n v="188.505"/>
    <s v="MISMATCH"/>
  </r>
  <r>
    <s v="ORD-2264"/>
    <x v="261"/>
    <x v="2"/>
    <s v="R. Ofori"/>
    <x v="133"/>
    <x v="3"/>
    <s v="Hair Oil"/>
    <n v="5"/>
    <n v="49.83"/>
    <n v="0"/>
    <n v="249.15"/>
    <m/>
    <x v="11"/>
    <x v="11"/>
    <n v="249.14999999999998"/>
    <s v="OK"/>
  </r>
  <r>
    <s v="ORD-2559"/>
    <x v="82"/>
    <x v="1"/>
    <s v="J. Tetteh"/>
    <x v="35"/>
    <x v="4"/>
    <s v="Power Bank"/>
    <n v="9"/>
    <n v="192.79"/>
    <n v="0"/>
    <n v="1735.11"/>
    <m/>
    <x v="5"/>
    <x v="5"/>
    <n v="1735.11"/>
    <s v="OK"/>
  </r>
  <r>
    <s v="ORD-1174"/>
    <x v="82"/>
    <x v="3"/>
    <s v="S. Addo"/>
    <x v="23"/>
    <x v="1"/>
    <s v="Blender"/>
    <n v="4"/>
    <n v="189.97"/>
    <n v="0.1"/>
    <n v="683.89"/>
    <m/>
    <x v="5"/>
    <x v="5"/>
    <n v="683.89200000000005"/>
    <s v="OK"/>
  </r>
  <r>
    <s v="ORD-1766"/>
    <x v="210"/>
    <x v="3"/>
    <s v="M. Ansah"/>
    <x v="47"/>
    <x v="1"/>
    <s v="Electric Kettle"/>
    <n v="6"/>
    <n v="184.97"/>
    <n v="0.15"/>
    <n v="943.35"/>
    <m/>
    <x v="1"/>
    <x v="1"/>
    <n v="943.34699999999987"/>
    <s v="OK"/>
  </r>
  <r>
    <s v="ORD-1245"/>
    <x v="230"/>
    <x v="4"/>
    <s v="P. Amoah"/>
    <x v="16"/>
    <x v="1"/>
    <s v="Table Lamp"/>
    <n v="7"/>
    <n v="61.8"/>
    <n v="0.15"/>
    <n v="367.71"/>
    <m/>
    <x v="10"/>
    <x v="10"/>
    <n v="367.71"/>
    <s v="OK"/>
  </r>
  <r>
    <s v="ORD-2080"/>
    <x v="235"/>
    <x v="0"/>
    <s v="P. Amoah"/>
    <x v="166"/>
    <x v="0"/>
    <s v="Cotton T-Shirt"/>
    <n v="11"/>
    <n v="211.15"/>
    <n v="0.15"/>
    <n v="1974.25"/>
    <m/>
    <x v="8"/>
    <x v="8"/>
    <n v="1974.2525000000001"/>
    <s v="OK"/>
  </r>
  <r>
    <s v="ORD-2581"/>
    <x v="101"/>
    <x v="3"/>
    <s v="J. Tetteh"/>
    <x v="161"/>
    <x v="1"/>
    <s v="Blender"/>
    <n v="7"/>
    <n v="85.21"/>
    <n v="0.05"/>
    <n v="566.65"/>
    <m/>
    <x v="5"/>
    <x v="5"/>
    <n v="566.64649999999995"/>
    <s v="OK"/>
  </r>
  <r>
    <s v="ORD-1145"/>
    <x v="101"/>
    <x v="0"/>
    <s v="M. Ansah"/>
    <x v="67"/>
    <x v="2"/>
    <s v="Rice 5kg"/>
    <n v="11"/>
    <n v="50.89"/>
    <n v="0"/>
    <n v="559.79"/>
    <m/>
    <x v="5"/>
    <x v="5"/>
    <n v="559.79"/>
    <s v="OK"/>
  </r>
  <r>
    <s v="ORD-1090"/>
    <x v="0"/>
    <x v="4"/>
    <s v="M. Ansah"/>
    <x v="132"/>
    <x v="4"/>
    <s v="USB-C Cable"/>
    <n v="10"/>
    <n v="236.58"/>
    <n v="0"/>
    <n v="2365.8000000000002"/>
    <m/>
    <x v="0"/>
    <x v="0"/>
    <n v="2365.8000000000002"/>
    <s v="OK"/>
  </r>
  <r>
    <s v="ORD-1682"/>
    <x v="258"/>
    <x v="4"/>
    <s v="J. Tetteh"/>
    <x v="90"/>
    <x v="3"/>
    <s v="Lip Balm Set"/>
    <n v="2"/>
    <n v="107.02"/>
    <n v="0"/>
    <n v="214.04"/>
    <m/>
    <x v="3"/>
    <x v="3"/>
    <n v="214.04"/>
    <s v="OK"/>
  </r>
  <r>
    <s v="ORD-1310"/>
    <x v="271"/>
    <x v="1"/>
    <s v="S. Addo"/>
    <x v="162"/>
    <x v="1"/>
    <s v="Storage Containers"/>
    <n v="2"/>
    <n v="68.98"/>
    <n v="0"/>
    <n v="137.96"/>
    <m/>
    <x v="6"/>
    <x v="6"/>
    <n v="137.96"/>
    <s v="OK"/>
  </r>
  <r>
    <s v="ORD-1093"/>
    <x v="323"/>
    <x v="2"/>
    <s v="P. Amoah"/>
    <x v="84"/>
    <x v="3"/>
    <s v="Face Wash"/>
    <n v="11"/>
    <n v="158.91999999999999"/>
    <n v="0.15"/>
    <n v="1485.9"/>
    <m/>
    <x v="10"/>
    <x v="10"/>
    <n v="1485.9019999999998"/>
    <s v="OK"/>
  </r>
  <r>
    <s v="ORD-2429"/>
    <x v="292"/>
    <x v="4"/>
    <s v="P. Amoah"/>
    <x v="115"/>
    <x v="3"/>
    <s v="Face Wash"/>
    <n v="7"/>
    <n v="10.91"/>
    <n v="0"/>
    <n v="76.37"/>
    <m/>
    <x v="7"/>
    <x v="7"/>
    <n v="76.37"/>
    <s v="OK"/>
  </r>
  <r>
    <s v="ORD-1924"/>
    <x v="144"/>
    <x v="3"/>
    <s v="R. Ofori"/>
    <x v="169"/>
    <x v="2"/>
    <s v="Canned Tomatoes"/>
    <n v="11"/>
    <n v="201.82"/>
    <n v="0.05"/>
    <n v="2109.02"/>
    <m/>
    <x v="11"/>
    <x v="11"/>
    <n v="2109.0189999999998"/>
    <s v="OK"/>
  </r>
  <r>
    <s v="ORD-2750"/>
    <x v="59"/>
    <x v="0"/>
    <s v="P. Amoah"/>
    <x v="193"/>
    <x v="3"/>
    <s v="Shampoo 400ml"/>
    <n v="3"/>
    <n v="139.05000000000001"/>
    <n v="0"/>
    <n v="417.15"/>
    <m/>
    <x v="3"/>
    <x v="3"/>
    <n v="417.15000000000003"/>
    <s v="OK"/>
  </r>
  <r>
    <s v="ORD-2035"/>
    <x v="254"/>
    <x v="1"/>
    <s v="M. Ansah"/>
    <x v="188"/>
    <x v="1"/>
    <s v="Non-stick Pan"/>
    <n v="11"/>
    <n v="231.42"/>
    <n v="0"/>
    <n v="2545.62"/>
    <m/>
    <x v="5"/>
    <x v="5"/>
    <n v="2545.62"/>
    <s v="OK"/>
  </r>
  <r>
    <s v="ORD-1243"/>
    <x v="80"/>
    <x v="1"/>
    <s v="R. Ofori"/>
    <x v="159"/>
    <x v="0"/>
    <s v="Sneakers"/>
    <n v="12"/>
    <n v="28.92"/>
    <n v="0.15"/>
    <n v="294.98"/>
    <m/>
    <x v="2"/>
    <x v="2"/>
    <n v="294.98400000000004"/>
    <s v="OK"/>
  </r>
  <r>
    <s v="ORD-2111"/>
    <x v="217"/>
    <x v="2"/>
    <s v="M. Ansah"/>
    <x v="66"/>
    <x v="1"/>
    <s v="Electric Kettle"/>
    <n v="8"/>
    <n v="40.119999999999997"/>
    <n v="0"/>
    <n v="320.95999999999998"/>
    <m/>
    <x v="0"/>
    <x v="0"/>
    <n v="320.95999999999998"/>
    <s v="OK"/>
  </r>
  <r>
    <s v="ORD-1214"/>
    <x v="84"/>
    <x v="4"/>
    <s v="R. Ofori"/>
    <x v="17"/>
    <x v="0"/>
    <s v="Denim Jeans"/>
    <n v="1"/>
    <n v="186.61"/>
    <n v="0"/>
    <n v="186.61"/>
    <m/>
    <x v="6"/>
    <x v="6"/>
    <n v="186.61"/>
    <s v="OK"/>
  </r>
  <r>
    <s v="ORD-2197"/>
    <x v="195"/>
    <x v="1"/>
    <s v="M. Ansah"/>
    <x v="128"/>
    <x v="4"/>
    <s v="Laptop Stand"/>
    <n v="1"/>
    <n v="19.53"/>
    <n v="0.15"/>
    <n v="16.600000000000001"/>
    <m/>
    <x v="1"/>
    <x v="1"/>
    <n v="16.6005"/>
    <s v="OK"/>
  </r>
  <r>
    <s v="ORD-1998"/>
    <x v="220"/>
    <x v="4"/>
    <s v="S. Addo"/>
    <x v="199"/>
    <x v="2"/>
    <s v="Canned Tomatoes"/>
    <n v="8"/>
    <n v="67.12"/>
    <n v="0"/>
    <n v="536.96"/>
    <m/>
    <x v="4"/>
    <x v="4"/>
    <n v="536.96"/>
    <s v="OK"/>
  </r>
  <r>
    <s v="ORD-1853"/>
    <x v="155"/>
    <x v="0"/>
    <s v="R. Ofori"/>
    <x v="54"/>
    <x v="4"/>
    <s v="Power Bank"/>
    <n v="3"/>
    <n v="199.61"/>
    <n v="0.05"/>
    <n v="568.89"/>
    <m/>
    <x v="1"/>
    <x v="1"/>
    <n v="568.88850000000002"/>
    <s v="OK"/>
  </r>
  <r>
    <s v="ORD-1425"/>
    <x v="114"/>
    <x v="3"/>
    <s v="M. Ansah"/>
    <x v="120"/>
    <x v="0"/>
    <s v="Cotton T-Shirt"/>
    <n v="9"/>
    <n v="239.08"/>
    <n v="0.1"/>
    <n v="1936.55"/>
    <m/>
    <x v="2"/>
    <x v="2"/>
    <n v="1936.5480000000002"/>
    <s v="OK"/>
  </r>
  <r>
    <s v="ORD-2605"/>
    <x v="24"/>
    <x v="1"/>
    <s v="S. Addo"/>
    <x v="111"/>
    <x v="2"/>
    <s v="Sugar 1kg"/>
    <n v="7"/>
    <n v="184.56"/>
    <n v="0"/>
    <n v="1291.92"/>
    <m/>
    <x v="5"/>
    <x v="5"/>
    <n v="1291.92"/>
    <s v="OK"/>
  </r>
  <r>
    <s v="ORD-2142"/>
    <x v="64"/>
    <x v="3"/>
    <s v="S. Addo"/>
    <x v="44"/>
    <x v="1"/>
    <s v="Storage Containers"/>
    <n v="7"/>
    <n v="13.53"/>
    <n v="0"/>
    <n v="94.71"/>
    <m/>
    <x v="9"/>
    <x v="9"/>
    <n v="94.71"/>
    <s v="OK"/>
  </r>
  <r>
    <s v="ORD-2143"/>
    <x v="146"/>
    <x v="4"/>
    <s v="S. Addo"/>
    <x v="7"/>
    <x v="3"/>
    <s v="Shea Butter Lotion"/>
    <n v="7"/>
    <n v="165.69"/>
    <n v="0"/>
    <n v="1159.83"/>
    <m/>
    <x v="4"/>
    <x v="4"/>
    <n v="1159.83"/>
    <s v="OK"/>
  </r>
  <r>
    <s v="ORD-1226"/>
    <x v="201"/>
    <x v="3"/>
    <s v="S. Addo"/>
    <x v="91"/>
    <x v="2"/>
    <s v="Cooking Oil 1L"/>
    <n v="2"/>
    <n v="112.09"/>
    <n v="0"/>
    <n v="224.18"/>
    <m/>
    <x v="6"/>
    <x v="6"/>
    <n v="224.18"/>
    <s v="OK"/>
  </r>
  <r>
    <s v="ORD-2484"/>
    <x v="292"/>
    <x v="2"/>
    <s v="M. Ansah"/>
    <x v="59"/>
    <x v="4"/>
    <s v="Laptop Stand"/>
    <n v="10"/>
    <n v="240.05"/>
    <n v="0"/>
    <n v="2400.5"/>
    <m/>
    <x v="7"/>
    <x v="7"/>
    <n v="2400.5"/>
    <s v="OK"/>
  </r>
  <r>
    <s v="ORD-1000"/>
    <x v="213"/>
    <x v="1"/>
    <s v="J. Tetteh"/>
    <x v="38"/>
    <x v="0"/>
    <s v="Denim Jeans"/>
    <n v="1"/>
    <n v="149.66999999999999"/>
    <n v="0"/>
    <n v="149.66999999999999"/>
    <m/>
    <x v="4"/>
    <x v="4"/>
    <n v="149.66999999999999"/>
    <s v="OK"/>
  </r>
  <r>
    <s v="ORD-1401"/>
    <x v="58"/>
    <x v="4"/>
    <s v="R. Ofori"/>
    <x v="125"/>
    <x v="3"/>
    <s v="Lip Balm Set"/>
    <n v="11"/>
    <n v="94.5"/>
    <n v="0"/>
    <n v="1039.5"/>
    <m/>
    <x v="8"/>
    <x v="8"/>
    <n v="1039.5"/>
    <s v="OK"/>
  </r>
  <r>
    <s v="ORD-2103"/>
    <x v="323"/>
    <x v="3"/>
    <s v="J. Tetteh"/>
    <x v="7"/>
    <x v="1"/>
    <s v="Electric Kettle"/>
    <n v="9"/>
    <n v="46.83"/>
    <n v="0.05"/>
    <n v="400.4"/>
    <m/>
    <x v="10"/>
    <x v="10"/>
    <n v="400.39649999999995"/>
    <s v="OK"/>
  </r>
  <r>
    <s v="ORD-1084"/>
    <x v="96"/>
    <x v="0"/>
    <s v="S. Addo"/>
    <x v="139"/>
    <x v="4"/>
    <s v="Bluetooth Speaker"/>
    <n v="8"/>
    <n v="29.43"/>
    <n v="0"/>
    <n v="235.44"/>
    <m/>
    <x v="0"/>
    <x v="0"/>
    <n v="235.44"/>
    <s v="OK"/>
  </r>
  <r>
    <s v="ORD-1162"/>
    <x v="135"/>
    <x v="0"/>
    <s v="Unassigned"/>
    <x v="154"/>
    <x v="3"/>
    <s v="Face Wash"/>
    <n v="1"/>
    <n v="110.99"/>
    <n v="0"/>
    <n v="110.99"/>
    <m/>
    <x v="11"/>
    <x v="11"/>
    <n v="110.99"/>
    <s v="OK"/>
  </r>
  <r>
    <s v="ORD-1114"/>
    <x v="173"/>
    <x v="0"/>
    <s v="P. Amoah"/>
    <x v="126"/>
    <x v="3"/>
    <s v="Lip Balm Set"/>
    <n v="5"/>
    <n v="12.09"/>
    <n v="0.15"/>
    <n v="51.38"/>
    <m/>
    <x v="4"/>
    <x v="4"/>
    <n v="51.3825"/>
    <s v="OK"/>
  </r>
  <r>
    <s v="ORD-1670"/>
    <x v="90"/>
    <x v="2"/>
    <s v="J. Tetteh"/>
    <x v="62"/>
    <x v="2"/>
    <s v="Pasta Pack"/>
    <n v="2"/>
    <n v="237.07"/>
    <n v="0"/>
    <n v="474.14"/>
    <m/>
    <x v="9"/>
    <x v="9"/>
    <n v="474.14"/>
    <s v="OK"/>
  </r>
  <r>
    <s v="ORD-2174"/>
    <x v="49"/>
    <x v="3"/>
    <s v="S. Addo"/>
    <x v="110"/>
    <x v="2"/>
    <s v="Cooking Oil 1L"/>
    <n v="8"/>
    <n v="86.01"/>
    <n v="0.15"/>
    <n v="584.87"/>
    <m/>
    <x v="4"/>
    <x v="4"/>
    <n v="584.86800000000005"/>
    <s v="OK"/>
  </r>
  <r>
    <s v="ORD-2390"/>
    <x v="190"/>
    <x v="0"/>
    <s v="M. Ansah"/>
    <x v="47"/>
    <x v="0"/>
    <s v="Sneakers"/>
    <n v="9"/>
    <n v="155.65"/>
    <n v="0.05"/>
    <n v="1330.81"/>
    <m/>
    <x v="11"/>
    <x v="11"/>
    <n v="1330.8075000000001"/>
    <s v="OK"/>
  </r>
  <r>
    <s v="ORD-1889"/>
    <x v="255"/>
    <x v="2"/>
    <s v="S. Addo"/>
    <x v="17"/>
    <x v="0"/>
    <s v="Sneakers"/>
    <n v="11"/>
    <n v="168.89"/>
    <n v="0.1"/>
    <n v="1672.01"/>
    <m/>
    <x v="0"/>
    <x v="0"/>
    <n v="1672.011"/>
    <s v="OK"/>
  </r>
  <r>
    <s v="ORD-1625"/>
    <x v="163"/>
    <x v="3"/>
    <s v="J. Tetteh"/>
    <x v="139"/>
    <x v="4"/>
    <s v="Wireless Earbuds"/>
    <n v="1"/>
    <n v="227.59"/>
    <n v="0"/>
    <n v="227.59"/>
    <m/>
    <x v="10"/>
    <x v="10"/>
    <n v="227.59"/>
    <s v="OK"/>
  </r>
  <r>
    <s v="ORD-2781"/>
    <x v="259"/>
    <x v="0"/>
    <s v="J. Tetteh"/>
    <x v="151"/>
    <x v="0"/>
    <s v="Leather Wallet"/>
    <n v="8"/>
    <n v="46.19"/>
    <n v="0"/>
    <n v="369.52"/>
    <m/>
    <x v="3"/>
    <x v="3"/>
    <n v="369.52"/>
    <s v="OK"/>
  </r>
  <r>
    <s v="ORD-1952"/>
    <x v="343"/>
    <x v="4"/>
    <s v="P. Amoah"/>
    <x v="183"/>
    <x v="3"/>
    <s v="Lip Balm Set"/>
    <n v="7"/>
    <n v="168.59"/>
    <n v="0"/>
    <n v="1180.1300000000001"/>
    <m/>
    <x v="5"/>
    <x v="5"/>
    <n v="1180.1300000000001"/>
    <s v="OK"/>
  </r>
  <r>
    <s v="ORD-1807"/>
    <x v="313"/>
    <x v="3"/>
    <s v="R. Ofori"/>
    <x v="67"/>
    <x v="0"/>
    <s v="Cotton T-Shirt"/>
    <n v="11"/>
    <n v="86.35"/>
    <n v="0.15"/>
    <n v="807.37"/>
    <m/>
    <x v="4"/>
    <x v="4"/>
    <n v="807.37249999999995"/>
    <s v="OK"/>
  </r>
  <r>
    <s v="ORD-1258"/>
    <x v="313"/>
    <x v="3"/>
    <s v="P. Amoah"/>
    <x v="48"/>
    <x v="0"/>
    <s v="Leather Wallet"/>
    <n v="7"/>
    <n v="38.22"/>
    <n v="0"/>
    <n v="267.54000000000002"/>
    <m/>
    <x v="4"/>
    <x v="4"/>
    <n v="267.53999999999996"/>
    <s v="OK"/>
  </r>
  <r>
    <s v="ORD-1624"/>
    <x v="353"/>
    <x v="2"/>
    <s v="R. Ofori"/>
    <x v="36"/>
    <x v="1"/>
    <s v="Electric Kettle"/>
    <n v="8"/>
    <n v="24.05"/>
    <n v="0.05"/>
    <n v="182.78"/>
    <m/>
    <x v="4"/>
    <x v="4"/>
    <n v="182.78"/>
    <s v="OK"/>
  </r>
  <r>
    <s v="ORD-1826"/>
    <x v="311"/>
    <x v="0"/>
    <s v="R. Ofori"/>
    <x v="95"/>
    <x v="4"/>
    <s v="Laptop Stand"/>
    <n v="3"/>
    <n v="184.6"/>
    <n v="0"/>
    <n v="553.79999999999995"/>
    <m/>
    <x v="4"/>
    <x v="4"/>
    <n v="553.79999999999995"/>
    <s v="OK"/>
  </r>
  <r>
    <s v="ORD-1234"/>
    <x v="191"/>
    <x v="3"/>
    <s v="M. Ansah"/>
    <x v="7"/>
    <x v="3"/>
    <s v="Shampoo 400ml"/>
    <n v="6"/>
    <n v="237.46"/>
    <n v="0.1"/>
    <n v="1282.28"/>
    <m/>
    <x v="2"/>
    <x v="2"/>
    <n v="1282.2840000000001"/>
    <s v="OK"/>
  </r>
  <r>
    <s v="ORD-1135"/>
    <x v="243"/>
    <x v="3"/>
    <s v="J. Tetteh"/>
    <x v="22"/>
    <x v="1"/>
    <s v="Electric Kettle"/>
    <n v="10"/>
    <n v="167.17"/>
    <n v="0"/>
    <n v="1671.7"/>
    <m/>
    <x v="3"/>
    <x v="3"/>
    <n v="1671.6999999999998"/>
    <s v="OK"/>
  </r>
  <r>
    <s v="ORD-1616"/>
    <x v="187"/>
    <x v="2"/>
    <s v="P. Amoah"/>
    <x v="30"/>
    <x v="4"/>
    <s v="Smartphone Case"/>
    <n v="5"/>
    <n v="143.57"/>
    <n v="0.15"/>
    <n v="610.16999999999996"/>
    <m/>
    <x v="9"/>
    <x v="9"/>
    <n v="610.1724999999999"/>
    <s v="OK"/>
  </r>
  <r>
    <s v="ORD-2782"/>
    <x v="57"/>
    <x v="3"/>
    <s v="S. Addo"/>
    <x v="90"/>
    <x v="1"/>
    <s v="Table Lamp"/>
    <n v="4"/>
    <n v="158.19"/>
    <n v="0"/>
    <n v="632.76"/>
    <m/>
    <x v="6"/>
    <x v="6"/>
    <n v="632.76"/>
    <s v="OK"/>
  </r>
  <r>
    <s v="ORD-1836"/>
    <x v="190"/>
    <x v="3"/>
    <s v="J. Tetteh"/>
    <x v="138"/>
    <x v="1"/>
    <s v="Table Lamp"/>
    <n v="5"/>
    <n v="200.22"/>
    <n v="0.15"/>
    <n v="850.93"/>
    <m/>
    <x v="11"/>
    <x v="11"/>
    <n v="850.93499999999995"/>
    <s v="MISMATCH"/>
  </r>
  <r>
    <s v="ORD-1842"/>
    <x v="165"/>
    <x v="4"/>
    <s v="P. Amoah"/>
    <x v="109"/>
    <x v="2"/>
    <s v="Sugar 1kg"/>
    <n v="1"/>
    <n v="31.11"/>
    <n v="0.1"/>
    <n v="28"/>
    <m/>
    <x v="1"/>
    <x v="1"/>
    <n v="27.998999999999999"/>
    <s v="OK"/>
  </r>
  <r>
    <s v="ORD-1959"/>
    <x v="192"/>
    <x v="3"/>
    <s v="P. Amoah"/>
    <x v="56"/>
    <x v="4"/>
    <s v="Power Bank"/>
    <n v="3"/>
    <n v="186.87"/>
    <n v="0.05"/>
    <n v="532.58000000000004"/>
    <m/>
    <x v="9"/>
    <x v="9"/>
    <n v="532.57949999999994"/>
    <s v="OK"/>
  </r>
  <r>
    <s v="ORD-1592"/>
    <x v="227"/>
    <x v="1"/>
    <s v="R. Ofori"/>
    <x v="37"/>
    <x v="2"/>
    <s v="Pasta Pack"/>
    <n v="7"/>
    <n v="219.18"/>
    <n v="0"/>
    <n v="1534.26"/>
    <m/>
    <x v="10"/>
    <x v="10"/>
    <n v="1534.26"/>
    <s v="OK"/>
  </r>
  <r>
    <s v="ORD-2314"/>
    <x v="307"/>
    <x v="1"/>
    <s v="S. Addo"/>
    <x v="174"/>
    <x v="3"/>
    <s v="Shampoo 400ml"/>
    <n v="2"/>
    <n v="230.1"/>
    <n v="0.15"/>
    <n v="391.17"/>
    <m/>
    <x v="0"/>
    <x v="0"/>
    <n v="391.16999999999996"/>
    <s v="OK"/>
  </r>
  <r>
    <s v="ORD-2291"/>
    <x v="192"/>
    <x v="2"/>
    <s v="J. Tetteh"/>
    <x v="119"/>
    <x v="4"/>
    <s v="Bluetooth Speaker"/>
    <n v="7"/>
    <n v="142.86000000000001"/>
    <n v="0.1"/>
    <n v="900.02"/>
    <m/>
    <x v="9"/>
    <x v="9"/>
    <n v="900.01800000000014"/>
    <s v="OK"/>
  </r>
  <r>
    <s v="ORD-1343"/>
    <x v="226"/>
    <x v="3"/>
    <s v="M. Ansah"/>
    <x v="177"/>
    <x v="3"/>
    <s v="Shampoo 400ml"/>
    <n v="2"/>
    <n v="81.459999999999994"/>
    <n v="0.05"/>
    <n v="154.77000000000001"/>
    <m/>
    <x v="7"/>
    <x v="7"/>
    <n v="154.77399999999997"/>
    <s v="OK"/>
  </r>
  <r>
    <s v="ORD-2736"/>
    <x v="84"/>
    <x v="4"/>
    <s v="R. Ofori"/>
    <x v="129"/>
    <x v="3"/>
    <s v="Face Wash"/>
    <n v="9"/>
    <n v="111.6"/>
    <n v="0"/>
    <n v="1004.4"/>
    <m/>
    <x v="6"/>
    <x v="6"/>
    <n v="1004.4"/>
    <s v="OK"/>
  </r>
  <r>
    <s v="ORD-2436"/>
    <x v="120"/>
    <x v="2"/>
    <s v="P. Amoah"/>
    <x v="43"/>
    <x v="0"/>
    <s v="Sunglasses"/>
    <n v="4"/>
    <n v="202.52"/>
    <n v="0"/>
    <n v="810.08"/>
    <m/>
    <x v="4"/>
    <x v="4"/>
    <n v="810.08"/>
    <s v="OK"/>
  </r>
  <r>
    <s v="ORD-1293"/>
    <x v="146"/>
    <x v="4"/>
    <s v="S. Addo"/>
    <x v="127"/>
    <x v="1"/>
    <s v="Electric Kettle"/>
    <n v="5"/>
    <n v="147.66999999999999"/>
    <n v="0"/>
    <n v="738.35"/>
    <m/>
    <x v="4"/>
    <x v="4"/>
    <n v="738.34999999999991"/>
    <s v="OK"/>
  </r>
  <r>
    <s v="ORD-1364"/>
    <x v="308"/>
    <x v="2"/>
    <s v="M. Ansah"/>
    <x v="163"/>
    <x v="4"/>
    <s v="Wireless Earbuds"/>
    <n v="4"/>
    <n v="67.3"/>
    <n v="0"/>
    <n v="269.2"/>
    <m/>
    <x v="9"/>
    <x v="9"/>
    <n v="269.2"/>
    <s v="OK"/>
  </r>
  <r>
    <s v="ORD-1178"/>
    <x v="264"/>
    <x v="0"/>
    <s v="J. Tetteh"/>
    <x v="12"/>
    <x v="0"/>
    <s v="Sunglasses"/>
    <n v="11"/>
    <n v="46.78"/>
    <n v="0.15"/>
    <n v="437.39"/>
    <m/>
    <x v="5"/>
    <x v="5"/>
    <n v="437.39300000000003"/>
    <s v="OK"/>
  </r>
  <r>
    <s v="ORD-1659"/>
    <x v="306"/>
    <x v="2"/>
    <s v="S. Addo"/>
    <x v="51"/>
    <x v="1"/>
    <s v="Blender"/>
    <n v="10"/>
    <n v="67.3"/>
    <n v="0"/>
    <n v="673"/>
    <m/>
    <x v="10"/>
    <x v="10"/>
    <n v="673"/>
    <s v="OK"/>
  </r>
  <r>
    <s v="ORD-1996"/>
    <x v="200"/>
    <x v="4"/>
    <s v="P. Amoah"/>
    <x v="143"/>
    <x v="0"/>
    <s v="Cotton T-Shirt"/>
    <n v="8"/>
    <n v="147.87"/>
    <n v="0"/>
    <n v="1182.96"/>
    <m/>
    <x v="2"/>
    <x v="2"/>
    <n v="1182.96"/>
    <s v="OK"/>
  </r>
  <r>
    <s v="ORD-1014"/>
    <x v="37"/>
    <x v="3"/>
    <s v="R. Ofori"/>
    <x v="82"/>
    <x v="1"/>
    <s v="Table Lamp"/>
    <n v="9"/>
    <n v="112.33"/>
    <n v="0.05"/>
    <n v="960.42"/>
    <m/>
    <x v="4"/>
    <x v="4"/>
    <n v="960.42150000000004"/>
    <s v="OK"/>
  </r>
  <r>
    <s v="ORD-2110"/>
    <x v="67"/>
    <x v="0"/>
    <s v="M. Ansah"/>
    <x v="178"/>
    <x v="1"/>
    <s v="Non-stick Pan"/>
    <n v="10"/>
    <n v="85.89"/>
    <n v="0.1"/>
    <n v="773.01"/>
    <m/>
    <x v="3"/>
    <x v="3"/>
    <n v="773.01"/>
    <s v="OK"/>
  </r>
  <r>
    <s v="ORD-2394"/>
    <x v="124"/>
    <x v="3"/>
    <s v="S. Addo"/>
    <x v="152"/>
    <x v="3"/>
    <s v="Lip Balm Set"/>
    <n v="5"/>
    <n v="233.87"/>
    <n v="0.1"/>
    <n v="1052.4100000000001"/>
    <m/>
    <x v="8"/>
    <x v="8"/>
    <n v="1052.415"/>
    <s v="MISMATCH"/>
  </r>
  <r>
    <s v="ORD-1165"/>
    <x v="150"/>
    <x v="2"/>
    <s v="J. Tetteh"/>
    <x v="97"/>
    <x v="3"/>
    <s v="Lip Balm Set"/>
    <n v="11"/>
    <n v="16.14"/>
    <n v="0.1"/>
    <n v="159.79"/>
    <m/>
    <x v="6"/>
    <x v="6"/>
    <n v="159.78600000000003"/>
    <s v="OK"/>
  </r>
  <r>
    <s v="ORD-2710"/>
    <x v="62"/>
    <x v="2"/>
    <s v="R. Ofori"/>
    <x v="59"/>
    <x v="4"/>
    <s v="Power Bank"/>
    <n v="2"/>
    <n v="130.97999999999999"/>
    <n v="0.05"/>
    <n v="248.86"/>
    <m/>
    <x v="10"/>
    <x v="10"/>
    <n v="248.86199999999997"/>
    <s v="OK"/>
  </r>
  <r>
    <s v="ORD-2359"/>
    <x v="102"/>
    <x v="0"/>
    <s v="M. Ansah"/>
    <x v="147"/>
    <x v="1"/>
    <s v="Blender"/>
    <n v="12"/>
    <n v="71.17"/>
    <n v="0.1"/>
    <n v="768.64"/>
    <m/>
    <x v="10"/>
    <x v="10"/>
    <n v="768.63599999999997"/>
    <s v="OK"/>
  </r>
  <r>
    <s v="ORD-1059"/>
    <x v="275"/>
    <x v="4"/>
    <s v="R. Ofori"/>
    <x v="172"/>
    <x v="3"/>
    <s v="Hair Oil"/>
    <n v="6"/>
    <n v="124.45"/>
    <n v="0"/>
    <n v="746.7"/>
    <m/>
    <x v="2"/>
    <x v="2"/>
    <n v="746.7"/>
    <s v="OK"/>
  </r>
  <r>
    <s v="ORD-1709"/>
    <x v="124"/>
    <x v="1"/>
    <s v="M. Ansah"/>
    <x v="11"/>
    <x v="3"/>
    <s v="Shea Butter Lotion"/>
    <n v="6"/>
    <n v="218.36"/>
    <n v="0"/>
    <n v="1310.1600000000001"/>
    <m/>
    <x v="8"/>
    <x v="8"/>
    <n v="1310.1600000000001"/>
    <s v="OK"/>
  </r>
  <r>
    <s v="ORD-1676"/>
    <x v="294"/>
    <x v="0"/>
    <s v="S. Addo"/>
    <x v="125"/>
    <x v="3"/>
    <s v="Shea Butter Lotion"/>
    <n v="8"/>
    <n v="232.93"/>
    <n v="0"/>
    <n v="1863.44"/>
    <m/>
    <x v="11"/>
    <x v="11"/>
    <n v="1863.44"/>
    <s v="OK"/>
  </r>
  <r>
    <s v="ORD-2378"/>
    <x v="134"/>
    <x v="2"/>
    <s v="P. Amoah"/>
    <x v="178"/>
    <x v="4"/>
    <s v="Smartphone Case"/>
    <n v="5"/>
    <n v="226.05"/>
    <n v="0"/>
    <n v="1130.25"/>
    <m/>
    <x v="10"/>
    <x v="10"/>
    <n v="1130.25"/>
    <s v="OK"/>
  </r>
  <r>
    <s v="ORD-1780"/>
    <x v="260"/>
    <x v="4"/>
    <s v="S. Addo"/>
    <x v="71"/>
    <x v="0"/>
    <s v="Cotton T-Shirt"/>
    <n v="12"/>
    <n v="66.260000000000005"/>
    <n v="0.15"/>
    <n v="675.85"/>
    <m/>
    <x v="7"/>
    <x v="7"/>
    <n v="675.85200000000009"/>
    <s v="OK"/>
  </r>
  <r>
    <s v="ORD-1424"/>
    <x v="247"/>
    <x v="2"/>
    <s v="M. Ansah"/>
    <x v="29"/>
    <x v="2"/>
    <s v="Canned Tomatoes"/>
    <n v="10"/>
    <n v="171.99"/>
    <n v="0"/>
    <n v="1719.9"/>
    <m/>
    <x v="2"/>
    <x v="2"/>
    <n v="1719.9"/>
    <s v="OK"/>
  </r>
  <r>
    <s v="ORD-1292"/>
    <x v="218"/>
    <x v="2"/>
    <s v="J. Tetteh"/>
    <x v="71"/>
    <x v="2"/>
    <s v="Pasta Pack"/>
    <n v="3"/>
    <n v="201.95"/>
    <n v="0"/>
    <n v="605.85"/>
    <m/>
    <x v="10"/>
    <x v="10"/>
    <n v="605.84999999999991"/>
    <s v="OK"/>
  </r>
  <r>
    <s v="ORD-2065"/>
    <x v="320"/>
    <x v="3"/>
    <s v="R. Ofori"/>
    <x v="65"/>
    <x v="2"/>
    <s v="Pasta Pack"/>
    <n v="4"/>
    <n v="231.8"/>
    <n v="0.05"/>
    <n v="880.84"/>
    <m/>
    <x v="7"/>
    <x v="7"/>
    <n v="880.84"/>
    <s v="OK"/>
  </r>
  <r>
    <s v="ORD-2633"/>
    <x v="233"/>
    <x v="0"/>
    <s v="Unassigned"/>
    <x v="27"/>
    <x v="2"/>
    <s v="Canned Tomatoes"/>
    <n v="7"/>
    <n v="33.4"/>
    <n v="0.05"/>
    <n v="222.11"/>
    <m/>
    <x v="0"/>
    <x v="0"/>
    <n v="222.10999999999999"/>
    <s v="OK"/>
  </r>
  <r>
    <s v="ORD-1329"/>
    <x v="49"/>
    <x v="0"/>
    <s v="S. Addo"/>
    <x v="109"/>
    <x v="3"/>
    <s v="Face Wash"/>
    <n v="7"/>
    <n v="74.84"/>
    <n v="0"/>
    <n v="523.88"/>
    <m/>
    <x v="4"/>
    <x v="4"/>
    <n v="523.88"/>
    <s v="OK"/>
  </r>
  <r>
    <s v="ORD-1429"/>
    <x v="134"/>
    <x v="2"/>
    <s v="S. Addo"/>
    <x v="25"/>
    <x v="3"/>
    <s v="Face Wash"/>
    <n v="9"/>
    <n v="246.18"/>
    <n v="0"/>
    <n v="2215.62"/>
    <m/>
    <x v="10"/>
    <x v="10"/>
    <n v="2215.62"/>
    <s v="OK"/>
  </r>
  <r>
    <s v="ORD-2012"/>
    <x v="319"/>
    <x v="2"/>
    <s v="P. Amoah"/>
    <x v="6"/>
    <x v="1"/>
    <s v="Storage Containers"/>
    <n v="5"/>
    <n v="25.74"/>
    <n v="0.15"/>
    <n v="109.39"/>
    <m/>
    <x v="10"/>
    <x v="10"/>
    <n v="109.39499999999998"/>
    <s v="MISMATCH"/>
  </r>
  <r>
    <s v="ORD-1079"/>
    <x v="17"/>
    <x v="3"/>
    <s v="J. Tetteh"/>
    <x v="183"/>
    <x v="4"/>
    <s v="Bluetooth Speaker"/>
    <n v="12"/>
    <n v="127.1"/>
    <n v="0"/>
    <n v="1525.2"/>
    <m/>
    <x v="8"/>
    <x v="8"/>
    <n v="1525.1999999999998"/>
    <s v="OK"/>
  </r>
  <r>
    <s v="ORD-2052"/>
    <x v="127"/>
    <x v="3"/>
    <s v="J. Tetteh"/>
    <x v="70"/>
    <x v="0"/>
    <s v="Leather Wallet"/>
    <n v="11"/>
    <n v="93.62"/>
    <n v="0"/>
    <n v="1029.82"/>
    <m/>
    <x v="8"/>
    <x v="8"/>
    <n v="1029.8200000000002"/>
    <s v="OK"/>
  </r>
  <r>
    <s v="ORD-1937"/>
    <x v="206"/>
    <x v="4"/>
    <s v="S. Addo"/>
    <x v="36"/>
    <x v="3"/>
    <s v="Shea Butter Lotion"/>
    <n v="2"/>
    <n v="144.68"/>
    <n v="0"/>
    <n v="289.36"/>
    <m/>
    <x v="8"/>
    <x v="8"/>
    <n v="289.36"/>
    <s v="OK"/>
  </r>
  <r>
    <s v="ORD-1834"/>
    <x v="84"/>
    <x v="4"/>
    <s v="S. Addo"/>
    <x v="172"/>
    <x v="1"/>
    <s v="Blender"/>
    <n v="4"/>
    <n v="171.09"/>
    <n v="0.1"/>
    <n v="615.91999999999996"/>
    <m/>
    <x v="6"/>
    <x v="6"/>
    <n v="615.92399999999998"/>
    <s v="OK"/>
  </r>
  <r>
    <s v="ORD-1749"/>
    <x v="123"/>
    <x v="3"/>
    <s v="S. Addo"/>
    <x v="24"/>
    <x v="4"/>
    <s v="Bluetooth Speaker"/>
    <n v="4"/>
    <n v="46.77"/>
    <n v="0.15"/>
    <n v="159.02000000000001"/>
    <m/>
    <x v="5"/>
    <x v="5"/>
    <n v="159.018"/>
    <s v="OK"/>
  </r>
  <r>
    <s v="ORD-1890"/>
    <x v="26"/>
    <x v="3"/>
    <s v="P. Amoah"/>
    <x v="138"/>
    <x v="0"/>
    <s v="Leather Wallet"/>
    <n v="4"/>
    <n v="164.31"/>
    <n v="0.1"/>
    <n v="591.52"/>
    <m/>
    <x v="3"/>
    <x v="3"/>
    <n v="591.51600000000008"/>
    <s v="OK"/>
  </r>
  <r>
    <s v="ORD-1254"/>
    <x v="330"/>
    <x v="4"/>
    <s v="J. Tetteh"/>
    <x v="26"/>
    <x v="3"/>
    <s v="Hair Oil"/>
    <n v="9"/>
    <n v="70.63"/>
    <n v="0"/>
    <n v="635.66999999999996"/>
    <m/>
    <x v="5"/>
    <x v="5"/>
    <n v="635.66999999999996"/>
    <s v="OK"/>
  </r>
  <r>
    <s v="ORD-2716"/>
    <x v="52"/>
    <x v="0"/>
    <s v="M. Ansah"/>
    <x v="62"/>
    <x v="0"/>
    <s v="Denim Jeans"/>
    <n v="3"/>
    <n v="150.13999999999999"/>
    <n v="0.1"/>
    <n v="405.38"/>
    <m/>
    <x v="4"/>
    <x v="4"/>
    <n v="405.37799999999999"/>
    <s v="OK"/>
  </r>
  <r>
    <s v="ORD-2780"/>
    <x v="345"/>
    <x v="2"/>
    <s v="R. Ofori"/>
    <x v="91"/>
    <x v="3"/>
    <s v="Shampoo 400ml"/>
    <n v="10"/>
    <n v="129.59"/>
    <n v="0.05"/>
    <n v="1231.1099999999999"/>
    <m/>
    <x v="9"/>
    <x v="9"/>
    <n v="1231.105"/>
    <s v="OK"/>
  </r>
  <r>
    <s v="ORD-2337"/>
    <x v="129"/>
    <x v="2"/>
    <s v="S. Addo"/>
    <x v="153"/>
    <x v="3"/>
    <s v="Hair Oil"/>
    <n v="10"/>
    <n v="246.39"/>
    <n v="0.1"/>
    <n v="2217.5100000000002"/>
    <m/>
    <x v="2"/>
    <x v="2"/>
    <n v="2217.5099999999998"/>
    <s v="OK"/>
  </r>
  <r>
    <s v="ORD-2108"/>
    <x v="226"/>
    <x v="4"/>
    <s v="P. Amoah"/>
    <x v="81"/>
    <x v="3"/>
    <s v="Shampoo 400ml"/>
    <n v="4"/>
    <n v="159.06"/>
    <n v="0"/>
    <n v="636.24"/>
    <m/>
    <x v="7"/>
    <x v="7"/>
    <n v="636.24"/>
    <s v="OK"/>
  </r>
  <r>
    <s v="ORD-1136"/>
    <x v="73"/>
    <x v="4"/>
    <s v="M. Ansah"/>
    <x v="5"/>
    <x v="1"/>
    <s v="Electric Kettle"/>
    <n v="11"/>
    <n v="105.66"/>
    <n v="0.15"/>
    <n v="987.92"/>
    <m/>
    <x v="10"/>
    <x v="10"/>
    <n v="987.92099999999994"/>
    <s v="OK"/>
  </r>
  <r>
    <s v="ORD-2135"/>
    <x v="217"/>
    <x v="1"/>
    <s v="J. Tetteh"/>
    <x v="167"/>
    <x v="3"/>
    <s v="Shampoo 400ml"/>
    <n v="3"/>
    <n v="199.25"/>
    <n v="0"/>
    <n v="597.75"/>
    <m/>
    <x v="0"/>
    <x v="0"/>
    <n v="597.75"/>
    <s v="OK"/>
  </r>
  <r>
    <s v="ORD-2218"/>
    <x v="97"/>
    <x v="2"/>
    <s v="S. Addo"/>
    <x v="165"/>
    <x v="1"/>
    <s v="Blender"/>
    <n v="5"/>
    <n v="227.7"/>
    <n v="0.1"/>
    <n v="1024.6500000000001"/>
    <m/>
    <x v="9"/>
    <x v="9"/>
    <n v="1024.6500000000001"/>
    <s v="OK"/>
  </r>
  <r>
    <s v="ORD-1852"/>
    <x v="273"/>
    <x v="1"/>
    <s v="J. Tetteh"/>
    <x v="108"/>
    <x v="2"/>
    <s v="Sugar 1kg"/>
    <n v="8"/>
    <n v="25.25"/>
    <n v="0.15"/>
    <n v="171.7"/>
    <m/>
    <x v="11"/>
    <x v="11"/>
    <n v="171.7"/>
    <s v="OK"/>
  </r>
  <r>
    <s v="ORD-2202"/>
    <x v="147"/>
    <x v="0"/>
    <s v="R. Ofori"/>
    <x v="133"/>
    <x v="1"/>
    <s v="Blender"/>
    <n v="1"/>
    <n v="208.76"/>
    <n v="0.1"/>
    <n v="187.88"/>
    <m/>
    <x v="3"/>
    <x v="3"/>
    <n v="187.88399999999999"/>
    <s v="OK"/>
  </r>
  <r>
    <s v="ORD-1723"/>
    <x v="190"/>
    <x v="4"/>
    <s v="P. Amoah"/>
    <x v="2"/>
    <x v="2"/>
    <s v="Canned Tomatoes"/>
    <n v="3"/>
    <n v="179.23"/>
    <n v="0.15"/>
    <n v="457.04"/>
    <m/>
    <x v="11"/>
    <x v="11"/>
    <n v="457.03649999999993"/>
    <s v="OK"/>
  </r>
  <r>
    <s v="ORD-1859"/>
    <x v="240"/>
    <x v="0"/>
    <s v="P. Amoah"/>
    <x v="182"/>
    <x v="0"/>
    <s v="Sunglasses"/>
    <n v="11"/>
    <n v="173.54"/>
    <n v="0"/>
    <n v="1908.94"/>
    <m/>
    <x v="3"/>
    <x v="3"/>
    <n v="1908.9399999999998"/>
    <s v="OK"/>
  </r>
  <r>
    <s v="ORD-1969"/>
    <x v="199"/>
    <x v="1"/>
    <s v="P. Amoah"/>
    <x v="110"/>
    <x v="2"/>
    <s v="Pasta Pack"/>
    <n v="10"/>
    <n v="110.18"/>
    <n v="0"/>
    <n v="1101.8"/>
    <m/>
    <x v="0"/>
    <x v="0"/>
    <n v="1101.8000000000002"/>
    <s v="OK"/>
  </r>
  <r>
    <s v="ORD-1496"/>
    <x v="22"/>
    <x v="3"/>
    <s v="J. Tetteh"/>
    <x v="68"/>
    <x v="1"/>
    <s v="Blender"/>
    <n v="10"/>
    <n v="153.37"/>
    <n v="0"/>
    <n v="1533.7"/>
    <m/>
    <x v="8"/>
    <x v="8"/>
    <n v="1533.7"/>
    <s v="OK"/>
  </r>
  <r>
    <s v="ORD-1950"/>
    <x v="268"/>
    <x v="2"/>
    <s v="P. Amoah"/>
    <x v="196"/>
    <x v="2"/>
    <s v="Sugar 1kg"/>
    <n v="11"/>
    <n v="98.48"/>
    <n v="0.15"/>
    <n v="920.79"/>
    <m/>
    <x v="11"/>
    <x v="11"/>
    <n v="920.7879999999999"/>
    <s v="OK"/>
  </r>
  <r>
    <s v="ORD-1805"/>
    <x v="63"/>
    <x v="0"/>
    <s v="R. Ofori"/>
    <x v="120"/>
    <x v="0"/>
    <s v="Cotton T-Shirt"/>
    <n v="5"/>
    <n v="166.2"/>
    <n v="0.15"/>
    <n v="706.35"/>
    <m/>
    <x v="7"/>
    <x v="7"/>
    <n v="706.35"/>
    <s v="OK"/>
  </r>
  <r>
    <s v="ORD-1129"/>
    <x v="31"/>
    <x v="3"/>
    <s v="M. Ansah"/>
    <x v="47"/>
    <x v="3"/>
    <s v="Shea Butter Lotion"/>
    <n v="1"/>
    <n v="127.83"/>
    <n v="0.05"/>
    <n v="121.44"/>
    <m/>
    <x v="2"/>
    <x v="2"/>
    <n v="121.43849999999999"/>
    <s v="OK"/>
  </r>
  <r>
    <s v="ORD-1337"/>
    <x v="74"/>
    <x v="3"/>
    <s v="P. Amoah"/>
    <x v="44"/>
    <x v="4"/>
    <s v="USB-C Cable"/>
    <n v="4"/>
    <n v="165.34"/>
    <n v="0"/>
    <n v="661.36"/>
    <m/>
    <x v="7"/>
    <x v="7"/>
    <n v="661.36"/>
    <s v="OK"/>
  </r>
  <r>
    <s v="ORD-2201"/>
    <x v="77"/>
    <x v="3"/>
    <s v="S. Addo"/>
    <x v="65"/>
    <x v="0"/>
    <s v="Sneakers"/>
    <n v="12"/>
    <n v="171.03"/>
    <n v="0"/>
    <n v="2052.36"/>
    <m/>
    <x v="2"/>
    <x v="2"/>
    <n v="2052.36"/>
    <s v="OK"/>
  </r>
  <r>
    <s v="ORD-1608"/>
    <x v="184"/>
    <x v="0"/>
    <s v="P. Amoah"/>
    <x v="172"/>
    <x v="0"/>
    <s v="Cotton T-Shirt"/>
    <n v="4"/>
    <n v="147.94"/>
    <n v="0"/>
    <n v="591.76"/>
    <m/>
    <x v="8"/>
    <x v="8"/>
    <n v="591.76"/>
    <s v="OK"/>
  </r>
  <r>
    <s v="ORD-2148"/>
    <x v="32"/>
    <x v="1"/>
    <s v="R. Ofori"/>
    <x v="185"/>
    <x v="4"/>
    <s v="Power Bank"/>
    <n v="1"/>
    <n v="192.87"/>
    <n v="0.1"/>
    <n v="173.58"/>
    <m/>
    <x v="2"/>
    <x v="2"/>
    <n v="173.583"/>
    <s v="OK"/>
  </r>
  <r>
    <s v="ORD-1195"/>
    <x v="235"/>
    <x v="3"/>
    <s v="R. Ofori"/>
    <x v="137"/>
    <x v="1"/>
    <s v="Electric Kettle"/>
    <n v="9"/>
    <n v="106.88"/>
    <n v="0.05"/>
    <n v="913.82"/>
    <m/>
    <x v="8"/>
    <x v="8"/>
    <n v="913.82399999999996"/>
    <s v="OK"/>
  </r>
  <r>
    <s v="ORD-2250"/>
    <x v="274"/>
    <x v="2"/>
    <s v="P. Amoah"/>
    <x v="119"/>
    <x v="0"/>
    <s v="Cotton T-Shirt"/>
    <n v="9"/>
    <n v="190.41"/>
    <n v="0"/>
    <n v="1713.69"/>
    <m/>
    <x v="2"/>
    <x v="2"/>
    <n v="1713.69"/>
    <s v="OK"/>
  </r>
  <r>
    <s v="ORD-2292"/>
    <x v="109"/>
    <x v="4"/>
    <s v="J. Tetteh"/>
    <x v="56"/>
    <x v="4"/>
    <s v="Power Bank"/>
    <n v="11"/>
    <n v="234.62"/>
    <n v="0.05"/>
    <n v="2451.7800000000002"/>
    <m/>
    <x v="8"/>
    <x v="8"/>
    <n v="2451.779"/>
    <s v="OK"/>
  </r>
  <r>
    <s v="ORD-2797"/>
    <x v="344"/>
    <x v="0"/>
    <s v="J. Tetteh"/>
    <x v="58"/>
    <x v="3"/>
    <s v="Hair Oil"/>
    <n v="4"/>
    <n v="41.14"/>
    <n v="0.15"/>
    <n v="139.88"/>
    <m/>
    <x v="8"/>
    <x v="8"/>
    <n v="139.876"/>
    <s v="OK"/>
  </r>
  <r>
    <s v="ORD-1909"/>
    <x v="146"/>
    <x v="3"/>
    <s v="Unassigned"/>
    <x v="100"/>
    <x v="1"/>
    <s v="Non-stick Pan"/>
    <n v="2"/>
    <n v="125.5"/>
    <n v="0"/>
    <n v="251"/>
    <m/>
    <x v="4"/>
    <x v="4"/>
    <n v="251"/>
    <s v="OK"/>
  </r>
  <r>
    <s v="ORD-1584"/>
    <x v="0"/>
    <x v="2"/>
    <s v="M. Ansah"/>
    <x v="127"/>
    <x v="1"/>
    <s v="Storage Containers"/>
    <n v="1"/>
    <n v="148.35"/>
    <n v="0.05"/>
    <n v="140.93"/>
    <m/>
    <x v="0"/>
    <x v="0"/>
    <n v="140.93249999999998"/>
    <s v="OK"/>
  </r>
  <r>
    <s v="ORD-1103"/>
    <x v="116"/>
    <x v="0"/>
    <s v="J. Tetteh"/>
    <x v="12"/>
    <x v="1"/>
    <s v="Electric Kettle"/>
    <n v="4"/>
    <n v="148.66"/>
    <n v="0"/>
    <n v="594.64"/>
    <m/>
    <x v="5"/>
    <x v="5"/>
    <n v="594.64"/>
    <s v="OK"/>
  </r>
  <r>
    <s v="ORD-2684"/>
    <x v="95"/>
    <x v="2"/>
    <s v="J. Tetteh"/>
    <x v="186"/>
    <x v="3"/>
    <s v="Shampoo 400ml"/>
    <n v="2"/>
    <n v="106.36"/>
    <n v="0"/>
    <n v="212.72"/>
    <m/>
    <x v="10"/>
    <x v="10"/>
    <n v="212.72"/>
    <s v="OK"/>
  </r>
  <r>
    <s v="ORD-2699"/>
    <x v="362"/>
    <x v="4"/>
    <s v="R. Ofori"/>
    <x v="148"/>
    <x v="2"/>
    <s v="Pasta Pack"/>
    <n v="3"/>
    <n v="247.95"/>
    <n v="0"/>
    <n v="743.85"/>
    <m/>
    <x v="4"/>
    <x v="4"/>
    <n v="743.84999999999991"/>
    <s v="OK"/>
  </r>
  <r>
    <s v="ORD-1719"/>
    <x v="330"/>
    <x v="3"/>
    <s v="S. Addo"/>
    <x v="183"/>
    <x v="4"/>
    <s v="Wireless Earbuds"/>
    <n v="4"/>
    <n v="116.02"/>
    <n v="0.15"/>
    <n v="394.47"/>
    <m/>
    <x v="5"/>
    <x v="5"/>
    <n v="394.46799999999996"/>
    <s v="OK"/>
  </r>
  <r>
    <s v="ORD-1884"/>
    <x v="98"/>
    <x v="3"/>
    <s v="P. Amoah"/>
    <x v="30"/>
    <x v="2"/>
    <s v="Cooking Oil 1L"/>
    <n v="10"/>
    <n v="51.22"/>
    <n v="0.15"/>
    <n v="435.37"/>
    <m/>
    <x v="10"/>
    <x v="10"/>
    <n v="435.37"/>
    <s v="OK"/>
  </r>
  <r>
    <s v="ORD-1776"/>
    <x v="188"/>
    <x v="2"/>
    <s v="P. Amoah"/>
    <x v="133"/>
    <x v="1"/>
    <s v="Non-stick Pan"/>
    <n v="2"/>
    <n v="67.36"/>
    <n v="0"/>
    <n v="134.72"/>
    <m/>
    <x v="11"/>
    <x v="11"/>
    <n v="134.72"/>
    <s v="OK"/>
  </r>
  <r>
    <s v="ORD-1849"/>
    <x v="313"/>
    <x v="3"/>
    <s v="R. Ofori"/>
    <x v="164"/>
    <x v="3"/>
    <s v="Shea Butter Lotion"/>
    <n v="2"/>
    <n v="231.87"/>
    <n v="0"/>
    <n v="463.74"/>
    <m/>
    <x v="4"/>
    <x v="4"/>
    <n v="463.74"/>
    <s v="OK"/>
  </r>
  <r>
    <s v="ORD-1894"/>
    <x v="140"/>
    <x v="4"/>
    <s v="P. Amoah"/>
    <x v="151"/>
    <x v="0"/>
    <s v="Denim Jeans"/>
    <n v="7"/>
    <n v="186.48"/>
    <n v="0.05"/>
    <n v="1240.0899999999999"/>
    <m/>
    <x v="6"/>
    <x v="6"/>
    <n v="1240.0919999999999"/>
    <s v="OK"/>
  </r>
  <r>
    <s v="ORD-1227"/>
    <x v="248"/>
    <x v="4"/>
    <s v="R. Ofori"/>
    <x v="179"/>
    <x v="0"/>
    <s v="Cotton T-Shirt"/>
    <n v="7"/>
    <n v="140.49"/>
    <n v="0.05"/>
    <n v="934.26"/>
    <m/>
    <x v="7"/>
    <x v="7"/>
    <n v="934.25850000000003"/>
    <s v="OK"/>
  </r>
  <r>
    <s v="ORD-2712"/>
    <x v="169"/>
    <x v="3"/>
    <s v="M. Ansah"/>
    <x v="58"/>
    <x v="4"/>
    <s v="USB-C Cable"/>
    <n v="11"/>
    <n v="8.81"/>
    <n v="0.15"/>
    <n v="82.37"/>
    <m/>
    <x v="10"/>
    <x v="10"/>
    <n v="82.373500000000007"/>
    <s v="OK"/>
  </r>
  <r>
    <s v="ORD-2325"/>
    <x v="342"/>
    <x v="0"/>
    <s v="R. Ofori"/>
    <x v="113"/>
    <x v="3"/>
    <s v="Shampoo 400ml"/>
    <n v="7"/>
    <n v="84.47"/>
    <n v="0.05"/>
    <n v="561.73"/>
    <m/>
    <x v="10"/>
    <x v="10"/>
    <n v="561.7254999999999"/>
    <s v="OK"/>
  </r>
  <r>
    <s v="ORD-2299"/>
    <x v="32"/>
    <x v="3"/>
    <s v="M. Ansah"/>
    <x v="157"/>
    <x v="3"/>
    <s v="Hair Oil"/>
    <n v="9"/>
    <n v="166.61"/>
    <n v="0.05"/>
    <n v="1424.52"/>
    <m/>
    <x v="2"/>
    <x v="2"/>
    <n v="1424.5155000000002"/>
    <s v="OK"/>
  </r>
  <r>
    <s v="ORD-1126"/>
    <x v="4"/>
    <x v="0"/>
    <s v="R. Ofori"/>
    <x v="54"/>
    <x v="2"/>
    <s v="Canned Tomatoes"/>
    <n v="11"/>
    <n v="216.74"/>
    <n v="0"/>
    <n v="2384.14"/>
    <m/>
    <x v="4"/>
    <x v="4"/>
    <n v="2384.1400000000003"/>
    <s v="OK"/>
  </r>
  <r>
    <s v="ORD-1405"/>
    <x v="136"/>
    <x v="0"/>
    <s v="P. Amoah"/>
    <x v="43"/>
    <x v="1"/>
    <s v="Blender"/>
    <n v="1"/>
    <n v="159.24"/>
    <n v="0.1"/>
    <n v="143.32"/>
    <m/>
    <x v="11"/>
    <x v="11"/>
    <n v="143.316"/>
    <s v="OK"/>
  </r>
  <r>
    <s v="ORD-1775"/>
    <x v="198"/>
    <x v="3"/>
    <s v="R. Ofori"/>
    <x v="124"/>
    <x v="2"/>
    <s v="Canned Tomatoes"/>
    <n v="4"/>
    <n v="55.76"/>
    <n v="0.05"/>
    <n v="211.89"/>
    <m/>
    <x v="8"/>
    <x v="8"/>
    <n v="211.88799999999998"/>
    <s v="OK"/>
  </r>
  <r>
    <s v="ORD-1821"/>
    <x v="333"/>
    <x v="0"/>
    <s v="S. Addo"/>
    <x v="76"/>
    <x v="0"/>
    <s v="Leather Wallet"/>
    <n v="7"/>
    <n v="164.47"/>
    <n v="0.15"/>
    <n v="978.6"/>
    <m/>
    <x v="4"/>
    <x v="4"/>
    <n v="978.59649999999999"/>
    <s v="OK"/>
  </r>
  <r>
    <s v="ORD-1711"/>
    <x v="291"/>
    <x v="2"/>
    <s v="P. Amoah"/>
    <x v="0"/>
    <x v="1"/>
    <s v="Storage Containers"/>
    <n v="12"/>
    <n v="70.17"/>
    <n v="0.05"/>
    <n v="799.94"/>
    <m/>
    <x v="11"/>
    <x v="11"/>
    <n v="799.93799999999987"/>
    <s v="OK"/>
  </r>
  <r>
    <s v="ORD-2719"/>
    <x v="363"/>
    <x v="0"/>
    <s v="Unassigned"/>
    <x v="177"/>
    <x v="1"/>
    <s v="Electric Kettle"/>
    <n v="7"/>
    <n v="118.02"/>
    <n v="0"/>
    <n v="826.14"/>
    <m/>
    <x v="4"/>
    <x v="4"/>
    <n v="826.14"/>
    <s v="OK"/>
  </r>
  <r>
    <s v="ORD-2060"/>
    <x v="212"/>
    <x v="1"/>
    <s v="J. Tetteh"/>
    <x v="16"/>
    <x v="3"/>
    <s v="Shea Butter Lotion"/>
    <n v="1"/>
    <n v="228.41"/>
    <n v="0"/>
    <n v="228.41"/>
    <m/>
    <x v="1"/>
    <x v="1"/>
    <n v="228.41"/>
    <s v="OK"/>
  </r>
  <r>
    <s v="ORD-2163"/>
    <x v="104"/>
    <x v="3"/>
    <s v="P. Amoah"/>
    <x v="42"/>
    <x v="4"/>
    <s v="Laptop Stand"/>
    <n v="7"/>
    <n v="60.15"/>
    <n v="0.05"/>
    <n v="400"/>
    <m/>
    <x v="3"/>
    <x v="3"/>
    <n v="399.9975"/>
    <s v="OK"/>
  </r>
  <r>
    <s v="ORD-1303"/>
    <x v="16"/>
    <x v="2"/>
    <s v="M. Ansah"/>
    <x v="115"/>
    <x v="1"/>
    <s v="Non-stick Pan"/>
    <n v="9"/>
    <n v="194.72"/>
    <n v="0"/>
    <n v="1752.48"/>
    <m/>
    <x v="5"/>
    <x v="5"/>
    <n v="1752.48"/>
    <s v="OK"/>
  </r>
  <r>
    <s v="ORD-1267"/>
    <x v="192"/>
    <x v="0"/>
    <s v="M. Ansah"/>
    <x v="185"/>
    <x v="4"/>
    <s v="Smartphone Case"/>
    <n v="11"/>
    <n v="162.19"/>
    <n v="0"/>
    <n v="1784.09"/>
    <m/>
    <x v="9"/>
    <x v="9"/>
    <n v="1784.09"/>
    <s v="OK"/>
  </r>
  <r>
    <s v="ORD-1545"/>
    <x v="169"/>
    <x v="3"/>
    <s v="P. Amoah"/>
    <x v="148"/>
    <x v="1"/>
    <s v="Storage Containers"/>
    <n v="3"/>
    <n v="92.05"/>
    <n v="0.05"/>
    <n v="262.33999999999997"/>
    <m/>
    <x v="10"/>
    <x v="10"/>
    <n v="262.34249999999997"/>
    <s v="OK"/>
  </r>
  <r>
    <s v="ORD-1212"/>
    <x v="137"/>
    <x v="2"/>
    <s v="P. Amoah"/>
    <x v="165"/>
    <x v="4"/>
    <s v="Laptop Stand"/>
    <n v="4"/>
    <n v="102.17"/>
    <n v="0.1"/>
    <n v="367.81"/>
    <m/>
    <x v="4"/>
    <x v="4"/>
    <n v="367.81200000000001"/>
    <s v="OK"/>
  </r>
  <r>
    <s v="ORD-1896"/>
    <x v="102"/>
    <x v="1"/>
    <s v="P. Amoah"/>
    <x v="37"/>
    <x v="3"/>
    <s v="Shampoo 400ml"/>
    <n v="4"/>
    <n v="79.34"/>
    <n v="0"/>
    <n v="317.36"/>
    <m/>
    <x v="10"/>
    <x v="10"/>
    <n v="317.36"/>
    <s v="OK"/>
  </r>
  <r>
    <s v="ORD-2222"/>
    <x v="24"/>
    <x v="0"/>
    <s v="P. Amoah"/>
    <x v="19"/>
    <x v="3"/>
    <s v="Shea Butter Lotion"/>
    <n v="3"/>
    <n v="58.73"/>
    <n v="0"/>
    <n v="176.19"/>
    <m/>
    <x v="5"/>
    <x v="5"/>
    <n v="176.19"/>
    <s v="OK"/>
  </r>
  <r>
    <s v="ORD-1916"/>
    <x v="288"/>
    <x v="3"/>
    <s v="S. Addo"/>
    <x v="4"/>
    <x v="3"/>
    <s v="Shampoo 400ml"/>
    <n v="1"/>
    <n v="248.51"/>
    <n v="0"/>
    <n v="248.51"/>
    <m/>
    <x v="0"/>
    <x v="0"/>
    <n v="248.51"/>
    <s v="OK"/>
  </r>
  <r>
    <s v="ORD-1675"/>
    <x v="354"/>
    <x v="1"/>
    <s v="J. Tetteh"/>
    <x v="64"/>
    <x v="0"/>
    <s v="Sunglasses"/>
    <n v="7"/>
    <n v="79.11"/>
    <n v="0.15"/>
    <n v="470.7"/>
    <m/>
    <x v="1"/>
    <x v="1"/>
    <n v="470.7045"/>
    <s v="OK"/>
  </r>
  <r>
    <s v="ORD-2289"/>
    <x v="339"/>
    <x v="3"/>
    <s v="P. Amoah"/>
    <x v="4"/>
    <x v="4"/>
    <s v="USB-C Cable"/>
    <n v="3"/>
    <n v="141.43"/>
    <n v="0.1"/>
    <n v="381.86"/>
    <m/>
    <x v="3"/>
    <x v="3"/>
    <n v="381.86100000000005"/>
    <s v="OK"/>
  </r>
  <r>
    <s v="ORD-1814"/>
    <x v="5"/>
    <x v="3"/>
    <s v="M. Ansah"/>
    <x v="36"/>
    <x v="1"/>
    <s v="Electric Kettle"/>
    <n v="2"/>
    <n v="62.9"/>
    <n v="0.05"/>
    <n v="119.51"/>
    <m/>
    <x v="5"/>
    <x v="5"/>
    <n v="119.50999999999999"/>
    <s v="OK"/>
  </r>
  <r>
    <s v="ORD-2265"/>
    <x v="1"/>
    <x v="4"/>
    <s v="M. Ansah"/>
    <x v="30"/>
    <x v="2"/>
    <s v="Sugar 1kg"/>
    <n v="6"/>
    <n v="54.15"/>
    <n v="0.15"/>
    <n v="276.16000000000003"/>
    <m/>
    <x v="1"/>
    <x v="1"/>
    <n v="276.16499999999996"/>
    <s v="MISMATCH"/>
  </r>
  <r>
    <s v="ORD-1342"/>
    <x v="53"/>
    <x v="0"/>
    <s v="R. Ofori"/>
    <x v="198"/>
    <x v="2"/>
    <s v="Canned Tomatoes"/>
    <n v="12"/>
    <n v="135.78"/>
    <n v="0"/>
    <n v="1629.36"/>
    <m/>
    <x v="6"/>
    <x v="6"/>
    <n v="1629.3600000000001"/>
    <s v="OK"/>
  </r>
  <r>
    <s v="ORD-1549"/>
    <x v="200"/>
    <x v="1"/>
    <s v="R. Ofori"/>
    <x v="173"/>
    <x v="3"/>
    <s v="Hair Oil"/>
    <n v="1"/>
    <n v="75.86"/>
    <n v="0.15"/>
    <n v="64.48"/>
    <m/>
    <x v="2"/>
    <x v="2"/>
    <n v="64.480999999999995"/>
    <s v="OK"/>
  </r>
  <r>
    <s v="ORD-2214"/>
    <x v="216"/>
    <x v="1"/>
    <s v="J. Tetteh"/>
    <x v="133"/>
    <x v="4"/>
    <s v="USB-C Cable"/>
    <n v="2"/>
    <n v="236.7"/>
    <n v="0.05"/>
    <n v="449.73"/>
    <m/>
    <x v="2"/>
    <x v="2"/>
    <n v="449.72999999999996"/>
    <s v="OK"/>
  </r>
  <r>
    <s v="ORD-1966"/>
    <x v="173"/>
    <x v="4"/>
    <s v="M. Ansah"/>
    <x v="184"/>
    <x v="1"/>
    <s v="Blender"/>
    <n v="8"/>
    <n v="70.56"/>
    <n v="0"/>
    <n v="564.48"/>
    <m/>
    <x v="4"/>
    <x v="4"/>
    <n v="564.48"/>
    <s v="OK"/>
  </r>
  <r>
    <s v="ORD-2230"/>
    <x v="116"/>
    <x v="4"/>
    <s v="R. Ofori"/>
    <x v="176"/>
    <x v="1"/>
    <s v="Non-stick Pan"/>
    <n v="9"/>
    <n v="241.74"/>
    <n v="0"/>
    <n v="2175.66"/>
    <m/>
    <x v="5"/>
    <x v="5"/>
    <n v="2175.66"/>
    <s v="OK"/>
  </r>
  <r>
    <s v="ORD-1295"/>
    <x v="337"/>
    <x v="4"/>
    <s v="R. Ofori"/>
    <x v="10"/>
    <x v="2"/>
    <s v="Canned Tomatoes"/>
    <n v="3"/>
    <n v="57.61"/>
    <n v="0"/>
    <n v="172.83"/>
    <m/>
    <x v="11"/>
    <x v="11"/>
    <n v="172.82999999999998"/>
    <s v="OK"/>
  </r>
  <r>
    <s v="ORD-1695"/>
    <x v="311"/>
    <x v="1"/>
    <s v="M. Ansah"/>
    <x v="45"/>
    <x v="4"/>
    <s v="USB-C Cable"/>
    <n v="7"/>
    <n v="117.74"/>
    <n v="0.15"/>
    <n v="700.55"/>
    <m/>
    <x v="4"/>
    <x v="4"/>
    <n v="700.55299999999988"/>
    <s v="OK"/>
  </r>
  <r>
    <s v="ORD-2452"/>
    <x v="169"/>
    <x v="0"/>
    <s v="S. Addo"/>
    <x v="130"/>
    <x v="1"/>
    <s v="Storage Containers"/>
    <n v="12"/>
    <n v="204.87"/>
    <n v="0.15"/>
    <n v="2089.67"/>
    <m/>
    <x v="10"/>
    <x v="10"/>
    <n v="2089.674"/>
    <s v="OK"/>
  </r>
  <r>
    <s v="ORD-1073"/>
    <x v="320"/>
    <x v="1"/>
    <s v="J. Tetteh"/>
    <x v="194"/>
    <x v="0"/>
    <s v="Sunglasses"/>
    <n v="11"/>
    <n v="249.9"/>
    <n v="0"/>
    <n v="2748.9"/>
    <m/>
    <x v="7"/>
    <x v="7"/>
    <n v="2748.9"/>
    <s v="OK"/>
  </r>
  <r>
    <s v="ORD-1605"/>
    <x v="361"/>
    <x v="3"/>
    <s v="J. Tetteh"/>
    <x v="18"/>
    <x v="3"/>
    <s v="Shampoo 400ml"/>
    <n v="3"/>
    <n v="233.11"/>
    <n v="0.05"/>
    <n v="664.36"/>
    <m/>
    <x v="6"/>
    <x v="6"/>
    <n v="664.36350000000004"/>
    <s v="OK"/>
  </r>
  <r>
    <s v="ORD-1104"/>
    <x v="323"/>
    <x v="2"/>
    <s v="P. Amoah"/>
    <x v="68"/>
    <x v="4"/>
    <s v="Smartphone Case"/>
    <n v="1"/>
    <n v="31.93"/>
    <n v="0"/>
    <n v="31.93"/>
    <m/>
    <x v="10"/>
    <x v="10"/>
    <n v="31.93"/>
    <s v="OK"/>
  </r>
  <r>
    <s v="ORD-1645"/>
    <x v="271"/>
    <x v="3"/>
    <s v="S. Addo"/>
    <x v="148"/>
    <x v="2"/>
    <s v="Pasta Pack"/>
    <n v="6"/>
    <n v="149.06"/>
    <n v="0.05"/>
    <n v="849.64"/>
    <m/>
    <x v="6"/>
    <x v="6"/>
    <n v="849.64199999999994"/>
    <s v="OK"/>
  </r>
  <r>
    <s v="ORD-2404"/>
    <x v="178"/>
    <x v="2"/>
    <s v="S. Addo"/>
    <x v="142"/>
    <x v="3"/>
    <s v="Lip Balm Set"/>
    <n v="10"/>
    <n v="10.62"/>
    <n v="0"/>
    <n v="106.2"/>
    <m/>
    <x v="6"/>
    <x v="6"/>
    <n v="106.19999999999999"/>
    <s v="OK"/>
  </r>
  <r>
    <s v="ORD-2785"/>
    <x v="333"/>
    <x v="2"/>
    <s v="S. Addo"/>
    <x v="181"/>
    <x v="4"/>
    <s v="Laptop Stand"/>
    <n v="3"/>
    <n v="58.66"/>
    <n v="0"/>
    <n v="175.98"/>
    <m/>
    <x v="4"/>
    <x v="4"/>
    <n v="175.98"/>
    <s v="OK"/>
  </r>
  <r>
    <s v="ORD-2040"/>
    <x v="178"/>
    <x v="1"/>
    <s v="J. Tetteh"/>
    <x v="169"/>
    <x v="0"/>
    <s v="Denim Jeans"/>
    <n v="1"/>
    <n v="27.54"/>
    <n v="0"/>
    <n v="27.54"/>
    <m/>
    <x v="6"/>
    <x v="6"/>
    <n v="27.54"/>
    <s v="OK"/>
  </r>
  <r>
    <s v="ORD-2019"/>
    <x v="227"/>
    <x v="0"/>
    <s v="J. Tetteh"/>
    <x v="46"/>
    <x v="0"/>
    <s v="Leather Wallet"/>
    <n v="3"/>
    <n v="204.31"/>
    <n v="0"/>
    <n v="612.92999999999995"/>
    <m/>
    <x v="10"/>
    <x v="10"/>
    <n v="612.93000000000006"/>
    <s v="OK"/>
  </r>
  <r>
    <s v="ORD-1091"/>
    <x v="300"/>
    <x v="1"/>
    <s v="R. Ofori"/>
    <x v="100"/>
    <x v="0"/>
    <s v="Sneakers"/>
    <n v="10"/>
    <n v="63.12"/>
    <n v="0"/>
    <n v="631.20000000000005"/>
    <m/>
    <x v="3"/>
    <x v="3"/>
    <n v="631.19999999999993"/>
    <s v="OK"/>
  </r>
  <r>
    <s v="ORD-2112"/>
    <x v="364"/>
    <x v="2"/>
    <s v="R. Ofori"/>
    <x v="76"/>
    <x v="4"/>
    <s v="Bluetooth Speaker"/>
    <n v="9"/>
    <n v="85.14"/>
    <n v="0"/>
    <n v="766.26"/>
    <m/>
    <x v="4"/>
    <x v="4"/>
    <n v="766.26"/>
    <s v="OK"/>
  </r>
  <r>
    <s v="ORD-2600"/>
    <x v="40"/>
    <x v="2"/>
    <s v="R. Ofori"/>
    <x v="14"/>
    <x v="1"/>
    <s v="Non-stick Pan"/>
    <n v="7"/>
    <n v="63.35"/>
    <n v="0.05"/>
    <n v="421.28"/>
    <m/>
    <x v="10"/>
    <x v="10"/>
    <n v="421.27749999999997"/>
    <s v="OK"/>
  </r>
  <r>
    <s v="ORD-1908"/>
    <x v="133"/>
    <x v="0"/>
    <s v="R. Ofori"/>
    <x v="189"/>
    <x v="3"/>
    <s v="Face Wash"/>
    <n v="1"/>
    <n v="228.48"/>
    <n v="0"/>
    <n v="228.48"/>
    <m/>
    <x v="11"/>
    <x v="11"/>
    <n v="228.48"/>
    <s v="OK"/>
  </r>
  <r>
    <s v="ORD-2474"/>
    <x v="13"/>
    <x v="2"/>
    <s v="S. Addo"/>
    <x v="177"/>
    <x v="0"/>
    <s v="Sneakers"/>
    <n v="3"/>
    <n v="179.39"/>
    <n v="0.1"/>
    <n v="484.35"/>
    <m/>
    <x v="2"/>
    <x v="2"/>
    <n v="484.35299999999995"/>
    <s v="OK"/>
  </r>
  <r>
    <s v="ORD-1102"/>
    <x v="165"/>
    <x v="3"/>
    <s v="J. Tetteh"/>
    <x v="183"/>
    <x v="0"/>
    <s v="Denim Jeans"/>
    <n v="10"/>
    <n v="162.22"/>
    <n v="0"/>
    <n v="1622.2"/>
    <m/>
    <x v="1"/>
    <x v="1"/>
    <n v="1622.2"/>
    <s v="OK"/>
  </r>
  <r>
    <s v="ORD-1238"/>
    <x v="113"/>
    <x v="3"/>
    <s v="M. Ansah"/>
    <x v="198"/>
    <x v="0"/>
    <s v="Cotton T-Shirt"/>
    <n v="11"/>
    <n v="64.3"/>
    <n v="0"/>
    <n v="707.3"/>
    <m/>
    <x v="8"/>
    <x v="8"/>
    <n v="707.3"/>
    <s v="OK"/>
  </r>
  <r>
    <s v="ORD-2554"/>
    <x v="321"/>
    <x v="1"/>
    <s v="P. Amoah"/>
    <x v="133"/>
    <x v="0"/>
    <s v="Denim Jeans"/>
    <n v="12"/>
    <n v="104.92"/>
    <n v="0"/>
    <n v="1259.04"/>
    <m/>
    <x v="5"/>
    <x v="5"/>
    <n v="1259.04"/>
    <s v="OK"/>
  </r>
  <r>
    <s v="ORD-1942"/>
    <x v="301"/>
    <x v="4"/>
    <s v="S. Addo"/>
    <x v="36"/>
    <x v="1"/>
    <s v="Blender"/>
    <n v="12"/>
    <n v="78.09"/>
    <n v="0.05"/>
    <n v="890.23"/>
    <m/>
    <x v="9"/>
    <x v="9"/>
    <n v="890.226"/>
    <s v="OK"/>
  </r>
  <r>
    <s v="ORD-2270"/>
    <x v="80"/>
    <x v="0"/>
    <s v="J. Tetteh"/>
    <x v="61"/>
    <x v="3"/>
    <s v="Shea Butter Lotion"/>
    <n v="3"/>
    <n v="149.58000000000001"/>
    <n v="0"/>
    <n v="448.74"/>
    <m/>
    <x v="2"/>
    <x v="2"/>
    <n v="448.74"/>
    <s v="OK"/>
  </r>
  <r>
    <s v="ORD-1938"/>
    <x v="342"/>
    <x v="4"/>
    <s v="P. Amoah"/>
    <x v="140"/>
    <x v="4"/>
    <s v="Smartphone Case"/>
    <n v="12"/>
    <n v="26.03"/>
    <n v="0"/>
    <n v="312.36"/>
    <m/>
    <x v="10"/>
    <x v="10"/>
    <n v="312.36"/>
    <s v="OK"/>
  </r>
  <r>
    <s v="ORD-2547"/>
    <x v="344"/>
    <x v="4"/>
    <s v="M. Ansah"/>
    <x v="95"/>
    <x v="2"/>
    <s v="Canned Tomatoes"/>
    <n v="5"/>
    <n v="246.06"/>
    <n v="0"/>
    <n v="1230.3"/>
    <m/>
    <x v="8"/>
    <x v="8"/>
    <n v="1230.3"/>
    <s v="OK"/>
  </r>
  <r>
    <s v="ORD-2181"/>
    <x v="148"/>
    <x v="1"/>
    <s v="J. Tetteh"/>
    <x v="40"/>
    <x v="1"/>
    <s v="Non-stick Pan"/>
    <n v="9"/>
    <n v="71.510000000000005"/>
    <n v="0.15"/>
    <n v="547.04999999999995"/>
    <m/>
    <x v="2"/>
    <x v="2"/>
    <n v="547.05150000000003"/>
    <s v="OK"/>
  </r>
  <r>
    <s v="ORD-2503"/>
    <x v="24"/>
    <x v="1"/>
    <s v="M. Ansah"/>
    <x v="158"/>
    <x v="1"/>
    <s v="Electric Kettle"/>
    <n v="5"/>
    <n v="53.42"/>
    <n v="0.05"/>
    <n v="253.75"/>
    <m/>
    <x v="5"/>
    <x v="5"/>
    <n v="253.745"/>
    <s v="OK"/>
  </r>
  <r>
    <s v="ORD-1005"/>
    <x v="345"/>
    <x v="2"/>
    <s v="J. Tetteh"/>
    <x v="82"/>
    <x v="0"/>
    <s v="Leather Wallet"/>
    <n v="4"/>
    <n v="135.86000000000001"/>
    <n v="0"/>
    <n v="543.44000000000005"/>
    <m/>
    <x v="9"/>
    <x v="9"/>
    <n v="543.44000000000005"/>
    <s v="OK"/>
  </r>
  <r>
    <s v="ORD-2737"/>
    <x v="57"/>
    <x v="2"/>
    <s v="P. Amoah"/>
    <x v="149"/>
    <x v="1"/>
    <s v="Non-stick Pan"/>
    <n v="7"/>
    <n v="20.53"/>
    <n v="0"/>
    <n v="143.71"/>
    <m/>
    <x v="6"/>
    <x v="6"/>
    <n v="143.71"/>
    <s v="OK"/>
  </r>
  <r>
    <s v="ORD-1965"/>
    <x v="298"/>
    <x v="1"/>
    <s v="P. Amoah"/>
    <x v="119"/>
    <x v="3"/>
    <s v="Face Wash"/>
    <n v="3"/>
    <n v="131.91"/>
    <n v="0"/>
    <n v="395.73"/>
    <m/>
    <x v="6"/>
    <x v="6"/>
    <n v="395.73"/>
    <s v="OK"/>
  </r>
  <r>
    <s v="ORD-1018"/>
    <x v="97"/>
    <x v="4"/>
    <s v="J. Tetteh"/>
    <x v="32"/>
    <x v="2"/>
    <s v="Canned Tomatoes"/>
    <n v="2"/>
    <n v="201.15"/>
    <n v="0"/>
    <n v="402.3"/>
    <m/>
    <x v="9"/>
    <x v="9"/>
    <n v="402.3"/>
    <s v="OK"/>
  </r>
  <r>
    <s v="ORD-2430"/>
    <x v="237"/>
    <x v="3"/>
    <s v="S. Addo"/>
    <x v="0"/>
    <x v="0"/>
    <s v="Sunglasses"/>
    <n v="8"/>
    <n v="221.47"/>
    <n v="0.05"/>
    <n v="1683.17"/>
    <m/>
    <x v="6"/>
    <x v="6"/>
    <n v="1683.172"/>
    <s v="OK"/>
  </r>
  <r>
    <s v="ORD-1121"/>
    <x v="98"/>
    <x v="0"/>
    <s v="J. Tetteh"/>
    <x v="59"/>
    <x v="3"/>
    <s v="Face Wash"/>
    <n v="2"/>
    <n v="117.64"/>
    <n v="0"/>
    <n v="235.28"/>
    <m/>
    <x v="10"/>
    <x v="10"/>
    <n v="235.28"/>
    <s v="OK"/>
  </r>
  <r>
    <s v="ORD-1661"/>
    <x v="220"/>
    <x v="0"/>
    <s v="J. Tetteh"/>
    <x v="170"/>
    <x v="0"/>
    <s v="Leather Wallet"/>
    <n v="11"/>
    <n v="174.22"/>
    <n v="0"/>
    <n v="1916.42"/>
    <m/>
    <x v="4"/>
    <x v="4"/>
    <n v="1916.42"/>
    <s v="OK"/>
  </r>
  <r>
    <s v="ORD-2539"/>
    <x v="278"/>
    <x v="2"/>
    <s v="J. Tetteh"/>
    <x v="107"/>
    <x v="3"/>
    <s v="Face Wash"/>
    <n v="9"/>
    <n v="203.09"/>
    <n v="0.15"/>
    <n v="1553.64"/>
    <m/>
    <x v="2"/>
    <x v="2"/>
    <n v="1553.6385"/>
    <s v="OK"/>
  </r>
  <r>
    <s v="ORD-1274"/>
    <x v="12"/>
    <x v="1"/>
    <s v="R. Ofori"/>
    <x v="148"/>
    <x v="3"/>
    <s v="Face Wash"/>
    <n v="9"/>
    <n v="25.19"/>
    <n v="0.1"/>
    <n v="204.04"/>
    <m/>
    <x v="4"/>
    <x v="4"/>
    <n v="204.03900000000002"/>
    <s v="OK"/>
  </r>
  <r>
    <s v="ORD-1433"/>
    <x v="94"/>
    <x v="4"/>
    <s v="R. Ofori"/>
    <x v="72"/>
    <x v="1"/>
    <s v="Storage Containers"/>
    <n v="7"/>
    <n v="94.44"/>
    <n v="0"/>
    <n v="661.08"/>
    <m/>
    <x v="4"/>
    <x v="4"/>
    <n v="661.07999999999993"/>
    <s v="OK"/>
  </r>
  <r>
    <s v="ORD-1811"/>
    <x v="38"/>
    <x v="3"/>
    <s v="J. Tetteh"/>
    <x v="110"/>
    <x v="0"/>
    <s v="Denim Jeans"/>
    <n v="5"/>
    <n v="163.77000000000001"/>
    <n v="0"/>
    <n v="818.85"/>
    <m/>
    <x v="3"/>
    <x v="3"/>
    <n v="818.85"/>
    <s v="OK"/>
  </r>
  <r>
    <s v="ORD-2300"/>
    <x v="68"/>
    <x v="2"/>
    <s v="P. Amoah"/>
    <x v="127"/>
    <x v="4"/>
    <s v="Laptop Stand"/>
    <n v="12"/>
    <n v="71.959999999999994"/>
    <n v="0.15"/>
    <n v="733.99"/>
    <m/>
    <x v="9"/>
    <x v="9"/>
    <n v="733.99199999999996"/>
    <s v="OK"/>
  </r>
  <r>
    <s v="ORD-2335"/>
    <x v="39"/>
    <x v="2"/>
    <s v="P. Amoah"/>
    <x v="53"/>
    <x v="1"/>
    <s v="Table Lamp"/>
    <n v="12"/>
    <n v="152.63999999999999"/>
    <n v="0"/>
    <n v="1831.68"/>
    <m/>
    <x v="3"/>
    <x v="3"/>
    <n v="1831.6799999999998"/>
    <s v="OK"/>
  </r>
  <r>
    <s v="ORD-2700"/>
    <x v="267"/>
    <x v="2"/>
    <s v="J. Tetteh"/>
    <x v="3"/>
    <x v="3"/>
    <s v="Lip Balm Set"/>
    <n v="12"/>
    <n v="38.049999999999997"/>
    <n v="0.05"/>
    <n v="433.77"/>
    <m/>
    <x v="1"/>
    <x v="1"/>
    <n v="433.76999999999992"/>
    <s v="OK"/>
  </r>
  <r>
    <s v="ORD-2720"/>
    <x v="214"/>
    <x v="0"/>
    <s v="R. Ofori"/>
    <x v="15"/>
    <x v="3"/>
    <s v="Lip Balm Set"/>
    <n v="5"/>
    <n v="139.19999999999999"/>
    <n v="0"/>
    <n v="696"/>
    <m/>
    <x v="11"/>
    <x v="11"/>
    <n v="696"/>
    <s v="OK"/>
  </r>
  <r>
    <s v="ORD-1181"/>
    <x v="338"/>
    <x v="3"/>
    <s v="P. Amoah"/>
    <x v="163"/>
    <x v="2"/>
    <s v="Sugar 1kg"/>
    <n v="12"/>
    <n v="170.59"/>
    <n v="0.15"/>
    <n v="1740.02"/>
    <m/>
    <x v="2"/>
    <x v="2"/>
    <n v="1740.0179999999998"/>
    <s v="OK"/>
  </r>
  <r>
    <s v="ORD-1184"/>
    <x v="311"/>
    <x v="3"/>
    <s v="R. Ofori"/>
    <x v="19"/>
    <x v="4"/>
    <s v="Smartphone Case"/>
    <n v="4"/>
    <n v="188.1"/>
    <n v="0"/>
    <n v="752.4"/>
    <m/>
    <x v="4"/>
    <x v="4"/>
    <n v="752.4"/>
    <s v="OK"/>
  </r>
  <r>
    <s v="ORD-1406"/>
    <x v="76"/>
    <x v="2"/>
    <s v="R. Ofori"/>
    <x v="196"/>
    <x v="1"/>
    <s v="Non-stick Pan"/>
    <n v="12"/>
    <n v="220.23"/>
    <n v="0.15"/>
    <n v="2246.35"/>
    <m/>
    <x v="8"/>
    <x v="8"/>
    <n v="2246.3459999999995"/>
    <s v="OK"/>
  </r>
  <r>
    <s v="ORD-1865"/>
    <x v="359"/>
    <x v="2"/>
    <s v="J. Tetteh"/>
    <x v="24"/>
    <x v="2"/>
    <s v="Cooking Oil 1L"/>
    <n v="8"/>
    <n v="149.26"/>
    <n v="0"/>
    <n v="1194.08"/>
    <m/>
    <x v="11"/>
    <x v="11"/>
    <n v="1194.08"/>
    <s v="OK"/>
  </r>
  <r>
    <s v="ORD-1520"/>
    <x v="179"/>
    <x v="0"/>
    <s v="J. Tetteh"/>
    <x v="26"/>
    <x v="3"/>
    <s v="Face Wash"/>
    <n v="6"/>
    <n v="200.89"/>
    <n v="0"/>
    <n v="1205.3399999999999"/>
    <m/>
    <x v="7"/>
    <x v="7"/>
    <n v="1205.3399999999999"/>
    <s v="OK"/>
  </r>
  <r>
    <s v="ORD-2003"/>
    <x v="332"/>
    <x v="0"/>
    <s v="R. Ofori"/>
    <x v="45"/>
    <x v="0"/>
    <s v="Leather Wallet"/>
    <n v="3"/>
    <n v="119.25"/>
    <n v="0.1"/>
    <n v="321.98"/>
    <m/>
    <x v="4"/>
    <x v="4"/>
    <n v="321.97500000000002"/>
    <s v="OK"/>
  </r>
  <r>
    <s v="ORD-1380"/>
    <x v="184"/>
    <x v="2"/>
    <s v="M. Ansah"/>
    <x v="3"/>
    <x v="4"/>
    <s v="Wireless Earbuds"/>
    <n v="11"/>
    <n v="239.93"/>
    <n v="0"/>
    <n v="2639.23"/>
    <m/>
    <x v="8"/>
    <x v="8"/>
    <n v="2639.23"/>
    <s v="OK"/>
  </r>
  <r>
    <s v="ORD-2434"/>
    <x v="63"/>
    <x v="1"/>
    <s v="J. Tetteh"/>
    <x v="179"/>
    <x v="1"/>
    <s v="Blender"/>
    <n v="3"/>
    <n v="229.21"/>
    <n v="0.15"/>
    <n v="584.49"/>
    <m/>
    <x v="7"/>
    <x v="7"/>
    <n v="584.4855"/>
    <s v="OK"/>
  </r>
  <r>
    <s v="ORD-2393"/>
    <x v="351"/>
    <x v="0"/>
    <s v="P. Amoah"/>
    <x v="35"/>
    <x v="2"/>
    <s v="Pasta Pack"/>
    <n v="2"/>
    <n v="119.99"/>
    <n v="0.15"/>
    <n v="203.98"/>
    <m/>
    <x v="4"/>
    <x v="4"/>
    <n v="203.98299999999998"/>
    <s v="OK"/>
  </r>
  <r>
    <s v="ORD-2424"/>
    <x v="205"/>
    <x v="4"/>
    <s v="S. Addo"/>
    <x v="8"/>
    <x v="2"/>
    <s v="Sugar 1kg"/>
    <n v="4"/>
    <n v="188.83"/>
    <n v="0.05"/>
    <n v="717.55"/>
    <m/>
    <x v="2"/>
    <x v="2"/>
    <n v="717.55399999999997"/>
    <s v="OK"/>
  </r>
  <r>
    <s v="ORD-1427"/>
    <x v="171"/>
    <x v="1"/>
    <s v="M. Ansah"/>
    <x v="165"/>
    <x v="1"/>
    <s v="Electric Kettle"/>
    <n v="4"/>
    <n v="55.66"/>
    <n v="0"/>
    <n v="222.64"/>
    <m/>
    <x v="1"/>
    <x v="1"/>
    <n v="222.64"/>
    <s v="OK"/>
  </r>
  <r>
    <s v="ORD-1078"/>
    <x v="124"/>
    <x v="0"/>
    <s v="J. Tetteh"/>
    <x v="30"/>
    <x v="0"/>
    <s v="Sneakers"/>
    <n v="5"/>
    <n v="178.9"/>
    <n v="0.1"/>
    <n v="805.05"/>
    <m/>
    <x v="8"/>
    <x v="8"/>
    <n v="805.05000000000007"/>
    <s v="OK"/>
  </r>
  <r>
    <s v="ORD-2009"/>
    <x v="258"/>
    <x v="4"/>
    <s v="M. Ansah"/>
    <x v="166"/>
    <x v="1"/>
    <s v="Storage Containers"/>
    <n v="9"/>
    <n v="175.06"/>
    <n v="0.15"/>
    <n v="1339.21"/>
    <m/>
    <x v="3"/>
    <x v="3"/>
    <n v="1339.2089999999998"/>
    <s v="OK"/>
  </r>
  <r>
    <s v="ORD-2793"/>
    <x v="112"/>
    <x v="3"/>
    <s v="P. Amoah"/>
    <x v="87"/>
    <x v="0"/>
    <s v="Leather Wallet"/>
    <n v="1"/>
    <n v="78.62"/>
    <n v="0.05"/>
    <n v="74.69"/>
    <m/>
    <x v="1"/>
    <x v="1"/>
    <n v="74.689000000000007"/>
    <s v="OK"/>
  </r>
  <r>
    <s v="ORD-1607"/>
    <x v="81"/>
    <x v="0"/>
    <s v="J. Tetteh"/>
    <x v="183"/>
    <x v="2"/>
    <s v="Sugar 1kg"/>
    <n v="7"/>
    <n v="80.48"/>
    <n v="0.1"/>
    <n v="507.02"/>
    <m/>
    <x v="11"/>
    <x v="11"/>
    <n v="507.024"/>
    <s v="OK"/>
  </r>
  <r>
    <s v="ORD-2661"/>
    <x v="193"/>
    <x v="2"/>
    <s v="S. Addo"/>
    <x v="25"/>
    <x v="4"/>
    <s v="USB-C Cable"/>
    <n v="6"/>
    <n v="208.57"/>
    <n v="0.05"/>
    <n v="1188.8499999999999"/>
    <m/>
    <x v="9"/>
    <x v="9"/>
    <n v="1188.8489999999999"/>
    <s v="OK"/>
  </r>
  <r>
    <s v="ORD-2057"/>
    <x v="261"/>
    <x v="2"/>
    <s v="J. Tetteh"/>
    <x v="199"/>
    <x v="0"/>
    <s v="Cotton T-Shirt"/>
    <n v="2"/>
    <n v="90.68"/>
    <n v="0.1"/>
    <n v="163.22"/>
    <m/>
    <x v="11"/>
    <x v="11"/>
    <n v="163.22400000000002"/>
    <s v="OK"/>
  </r>
  <r>
    <s v="ORD-2440"/>
    <x v="142"/>
    <x v="2"/>
    <s v="M. Ansah"/>
    <x v="46"/>
    <x v="4"/>
    <s v="USB-C Cable"/>
    <n v="6"/>
    <n v="244.7"/>
    <n v="0"/>
    <n v="1468.2"/>
    <m/>
    <x v="9"/>
    <x v="9"/>
    <n v="1468.1999999999998"/>
    <s v="OK"/>
  </r>
  <r>
    <s v="ORD-2514"/>
    <x v="335"/>
    <x v="0"/>
    <s v="J. Tetteh"/>
    <x v="177"/>
    <x v="4"/>
    <s v="Laptop Stand"/>
    <n v="11"/>
    <n v="190.6"/>
    <n v="0.1"/>
    <n v="1886.94"/>
    <m/>
    <x v="2"/>
    <x v="2"/>
    <n v="1886.94"/>
    <s v="OK"/>
  </r>
  <r>
    <s v="ORD-2091"/>
    <x v="287"/>
    <x v="4"/>
    <s v="S. Addo"/>
    <x v="16"/>
    <x v="1"/>
    <s v="Non-stick Pan"/>
    <n v="4"/>
    <n v="140.47"/>
    <n v="0"/>
    <n v="561.88"/>
    <m/>
    <x v="9"/>
    <x v="9"/>
    <n v="561.88"/>
    <s v="OK"/>
  </r>
  <r>
    <s v="ORD-2101"/>
    <x v="65"/>
    <x v="3"/>
    <s v="R. Ofori"/>
    <x v="19"/>
    <x v="4"/>
    <s v="Smartphone Case"/>
    <n v="11"/>
    <n v="81.69"/>
    <n v="0"/>
    <n v="898.59"/>
    <m/>
    <x v="5"/>
    <x v="5"/>
    <n v="898.58999999999992"/>
    <s v="OK"/>
  </r>
  <r>
    <s v="ORD-2129"/>
    <x v="33"/>
    <x v="1"/>
    <s v="P. Amoah"/>
    <x v="102"/>
    <x v="3"/>
    <s v="Lip Balm Set"/>
    <n v="5"/>
    <n v="58.47"/>
    <n v="0"/>
    <n v="292.35000000000002"/>
    <m/>
    <x v="7"/>
    <x v="7"/>
    <n v="292.35000000000002"/>
    <s v="OK"/>
  </r>
  <r>
    <s v="ORD-2235"/>
    <x v="71"/>
    <x v="0"/>
    <s v="R. Ofori"/>
    <x v="19"/>
    <x v="3"/>
    <s v="Lip Balm Set"/>
    <n v="3"/>
    <n v="122.83"/>
    <n v="0"/>
    <n v="368.49"/>
    <m/>
    <x v="4"/>
    <x v="4"/>
    <n v="368.49"/>
    <s v="OK"/>
  </r>
  <r>
    <s v="ORD-2610"/>
    <x v="353"/>
    <x v="0"/>
    <s v="R. Ofori"/>
    <x v="137"/>
    <x v="3"/>
    <s v="Lip Balm Set"/>
    <n v="11"/>
    <n v="108.65"/>
    <n v="0.05"/>
    <n v="1135.3900000000001"/>
    <m/>
    <x v="4"/>
    <x v="4"/>
    <n v="1135.3924999999999"/>
    <s v="OK"/>
  </r>
  <r>
    <s v="ORD-1958"/>
    <x v="225"/>
    <x v="2"/>
    <s v="M. Ansah"/>
    <x v="16"/>
    <x v="0"/>
    <s v="Sunglasses"/>
    <n v="1"/>
    <n v="11.28"/>
    <n v="0.15"/>
    <n v="9.59"/>
    <m/>
    <x v="0"/>
    <x v="0"/>
    <n v="9.5879999999999992"/>
    <s v="OK"/>
  </r>
  <r>
    <s v="ORD-1559"/>
    <x v="332"/>
    <x v="2"/>
    <s v="J. Tetteh"/>
    <x v="189"/>
    <x v="4"/>
    <s v="USB-C Cable"/>
    <n v="12"/>
    <n v="91.12"/>
    <n v="0"/>
    <n v="1093.44"/>
    <m/>
    <x v="4"/>
    <x v="4"/>
    <n v="1093.44"/>
    <s v="OK"/>
  </r>
  <r>
    <s v="ORD-1846"/>
    <x v="138"/>
    <x v="3"/>
    <s v="R. Ofori"/>
    <x v="146"/>
    <x v="0"/>
    <s v="Sneakers"/>
    <n v="5"/>
    <n v="134.32"/>
    <n v="0"/>
    <n v="671.6"/>
    <m/>
    <x v="9"/>
    <x v="9"/>
    <n v="671.59999999999991"/>
    <s v="OK"/>
  </r>
  <r>
    <s v="ORD-1690"/>
    <x v="212"/>
    <x v="2"/>
    <s v="J. Tetteh"/>
    <x v="116"/>
    <x v="1"/>
    <s v="Storage Containers"/>
    <n v="8"/>
    <n v="112.15"/>
    <n v="0"/>
    <n v="897.2"/>
    <m/>
    <x v="1"/>
    <x v="1"/>
    <n v="897.2"/>
    <s v="OK"/>
  </r>
  <r>
    <s v="ORD-2519"/>
    <x v="187"/>
    <x v="4"/>
    <s v="J. Tetteh"/>
    <x v="17"/>
    <x v="1"/>
    <s v="Storage Containers"/>
    <n v="7"/>
    <n v="134.86000000000001"/>
    <n v="0.05"/>
    <n v="896.82"/>
    <m/>
    <x v="9"/>
    <x v="9"/>
    <n v="896.81900000000007"/>
    <s v="OK"/>
  </r>
  <r>
    <s v="ORD-2762"/>
    <x v="92"/>
    <x v="3"/>
    <s v="P. Amoah"/>
    <x v="18"/>
    <x v="4"/>
    <s v="Wireless Earbuds"/>
    <n v="6"/>
    <n v="247.67"/>
    <n v="0.1"/>
    <n v="1337.42"/>
    <m/>
    <x v="0"/>
    <x v="0"/>
    <n v="1337.4180000000001"/>
    <s v="OK"/>
  </r>
  <r>
    <s v="ORD-2698"/>
    <x v="46"/>
    <x v="4"/>
    <s v="S. Addo"/>
    <x v="199"/>
    <x v="4"/>
    <s v="Wireless Earbuds"/>
    <n v="1"/>
    <n v="248.38"/>
    <n v="0.1"/>
    <n v="223.54"/>
    <m/>
    <x v="3"/>
    <x v="3"/>
    <n v="223.542"/>
    <s v="OK"/>
  </r>
  <r>
    <s v="ORD-1436"/>
    <x v="221"/>
    <x v="4"/>
    <s v="P. Amoah"/>
    <x v="142"/>
    <x v="2"/>
    <s v="Sugar 1kg"/>
    <n v="3"/>
    <n v="29.25"/>
    <n v="0"/>
    <n v="87.75"/>
    <m/>
    <x v="6"/>
    <x v="6"/>
    <n v="87.75"/>
    <s v="OK"/>
  </r>
  <r>
    <s v="ORD-1490"/>
    <x v="26"/>
    <x v="3"/>
    <s v="S. Addo"/>
    <x v="168"/>
    <x v="4"/>
    <s v="Bluetooth Speaker"/>
    <n v="1"/>
    <n v="187.38"/>
    <n v="0"/>
    <n v="187.38"/>
    <m/>
    <x v="3"/>
    <x v="3"/>
    <n v="187.38"/>
    <s v="OK"/>
  </r>
  <r>
    <s v="ORD-2674"/>
    <x v="356"/>
    <x v="3"/>
    <s v="S. Addo"/>
    <x v="83"/>
    <x v="0"/>
    <s v="Sunglasses"/>
    <n v="8"/>
    <n v="42.16"/>
    <n v="0"/>
    <n v="337.28"/>
    <m/>
    <x v="10"/>
    <x v="10"/>
    <n v="337.28"/>
    <s v="OK"/>
  </r>
  <r>
    <s v="ORD-2387"/>
    <x v="241"/>
    <x v="3"/>
    <s v="R. Ofori"/>
    <x v="9"/>
    <x v="1"/>
    <s v="Storage Containers"/>
    <n v="3"/>
    <n v="57.46"/>
    <n v="0.05"/>
    <n v="163.76"/>
    <m/>
    <x v="3"/>
    <x v="3"/>
    <n v="163.761"/>
    <s v="OK"/>
  </r>
  <r>
    <s v="ORD-1069"/>
    <x v="337"/>
    <x v="4"/>
    <s v="M. Ansah"/>
    <x v="114"/>
    <x v="1"/>
    <s v="Non-stick Pan"/>
    <n v="7"/>
    <n v="43.35"/>
    <n v="0.05"/>
    <n v="288.27999999999997"/>
    <m/>
    <x v="11"/>
    <x v="11"/>
    <n v="288.27749999999997"/>
    <s v="OK"/>
  </r>
  <r>
    <s v="ORD-2572"/>
    <x v="224"/>
    <x v="1"/>
    <s v="M. Ansah"/>
    <x v="37"/>
    <x v="0"/>
    <s v="Leather Wallet"/>
    <n v="7"/>
    <n v="16.71"/>
    <n v="0"/>
    <n v="116.97"/>
    <m/>
    <x v="5"/>
    <x v="5"/>
    <n v="116.97"/>
    <s v="OK"/>
  </r>
  <r>
    <s v="ORD-1808"/>
    <x v="234"/>
    <x v="2"/>
    <s v="P. Amoah"/>
    <x v="170"/>
    <x v="4"/>
    <s v="Smartphone Case"/>
    <n v="12"/>
    <n v="130.19999999999999"/>
    <n v="0"/>
    <n v="1562.4"/>
    <m/>
    <x v="10"/>
    <x v="10"/>
    <n v="1562.3999999999999"/>
    <s v="OK"/>
  </r>
  <r>
    <s v="ORD-2184"/>
    <x v="27"/>
    <x v="4"/>
    <s v="M. Ansah"/>
    <x v="157"/>
    <x v="3"/>
    <s v="Face Wash"/>
    <n v="9"/>
    <n v="118.75"/>
    <n v="0"/>
    <n v="1068.75"/>
    <m/>
    <x v="1"/>
    <x v="1"/>
    <n v="1068.75"/>
    <s v="OK"/>
  </r>
  <r>
    <s v="ORD-1011"/>
    <x v="175"/>
    <x v="0"/>
    <s v="P. Amoah"/>
    <x v="132"/>
    <x v="3"/>
    <s v="Shea Butter Lotion"/>
    <n v="3"/>
    <n v="96.61"/>
    <n v="0.1"/>
    <n v="260.85000000000002"/>
    <m/>
    <x v="8"/>
    <x v="8"/>
    <n v="260.84699999999998"/>
    <s v="OK"/>
  </r>
  <r>
    <s v="ORD-1144"/>
    <x v="284"/>
    <x v="4"/>
    <s v="R. Ofori"/>
    <x v="187"/>
    <x v="3"/>
    <s v="Hair Oil"/>
    <n v="10"/>
    <n v="159.83000000000001"/>
    <n v="0"/>
    <n v="1598.3"/>
    <m/>
    <x v="8"/>
    <x v="8"/>
    <n v="1598.3000000000002"/>
    <s v="OK"/>
  </r>
  <r>
    <s v="ORD-1917"/>
    <x v="81"/>
    <x v="3"/>
    <s v="S. Addo"/>
    <x v="113"/>
    <x v="1"/>
    <s v="Blender"/>
    <n v="9"/>
    <n v="117.8"/>
    <n v="0.05"/>
    <n v="1007.19"/>
    <m/>
    <x v="11"/>
    <x v="11"/>
    <n v="1007.1899999999999"/>
    <s v="OK"/>
  </r>
  <r>
    <s v="ORD-2541"/>
    <x v="172"/>
    <x v="4"/>
    <s v="P. Amoah"/>
    <x v="51"/>
    <x v="1"/>
    <s v="Electric Kettle"/>
    <n v="8"/>
    <n v="23.01"/>
    <n v="0"/>
    <n v="184.08"/>
    <m/>
    <x v="7"/>
    <x v="7"/>
    <n v="184.08"/>
    <s v="OK"/>
  </r>
  <r>
    <s v="ORD-2451"/>
    <x v="138"/>
    <x v="2"/>
    <s v="M. Ansah"/>
    <x v="113"/>
    <x v="1"/>
    <s v="Storage Containers"/>
    <n v="1"/>
    <n v="89.55"/>
    <n v="0"/>
    <n v="89.55"/>
    <m/>
    <x v="9"/>
    <x v="9"/>
    <n v="89.55"/>
    <s v="OK"/>
  </r>
  <r>
    <s v="ORD-1639"/>
    <x v="345"/>
    <x v="4"/>
    <s v="S. Addo"/>
    <x v="128"/>
    <x v="2"/>
    <s v="Rice 5kg"/>
    <n v="1"/>
    <n v="117.62"/>
    <n v="0"/>
    <n v="117.62"/>
    <m/>
    <x v="9"/>
    <x v="9"/>
    <n v="117.62"/>
    <s v="OK"/>
  </r>
  <r>
    <s v="ORD-1176"/>
    <x v="127"/>
    <x v="1"/>
    <s v="R. Ofori"/>
    <x v="184"/>
    <x v="0"/>
    <s v="Sunglasses"/>
    <n v="9"/>
    <n v="150.46"/>
    <n v="0.1"/>
    <n v="1218.73"/>
    <m/>
    <x v="8"/>
    <x v="8"/>
    <n v="1218.7260000000001"/>
    <s v="OK"/>
  </r>
  <r>
    <s v="ORD-1994"/>
    <x v="59"/>
    <x v="0"/>
    <s v="M. Ansah"/>
    <x v="192"/>
    <x v="3"/>
    <s v="Face Wash"/>
    <n v="12"/>
    <n v="186.08"/>
    <n v="0"/>
    <n v="2232.96"/>
    <m/>
    <x v="3"/>
    <x v="3"/>
    <n v="2232.96"/>
    <s v="OK"/>
  </r>
  <r>
    <s v="ORD-1440"/>
    <x v="136"/>
    <x v="3"/>
    <s v="J. Tetteh"/>
    <x v="24"/>
    <x v="3"/>
    <s v="Lip Balm Set"/>
    <n v="6"/>
    <n v="60.91"/>
    <n v="0.15"/>
    <n v="310.64"/>
    <m/>
    <x v="11"/>
    <x v="11"/>
    <n v="310.64099999999996"/>
    <s v="OK"/>
  </r>
  <r>
    <s v="ORD-1521"/>
    <x v="101"/>
    <x v="1"/>
    <s v="M. Ansah"/>
    <x v="33"/>
    <x v="4"/>
    <s v="Smartphone Case"/>
    <n v="2"/>
    <n v="50.91"/>
    <n v="0"/>
    <n v="101.82"/>
    <m/>
    <x v="5"/>
    <x v="5"/>
    <n v="101.82"/>
    <s v="OK"/>
  </r>
  <r>
    <s v="ORD-2462"/>
    <x v="148"/>
    <x v="3"/>
    <s v="J. Tetteh"/>
    <x v="10"/>
    <x v="3"/>
    <s v="Shampoo 400ml"/>
    <n v="1"/>
    <n v="236.91"/>
    <n v="0"/>
    <n v="236.91"/>
    <m/>
    <x v="2"/>
    <x v="2"/>
    <n v="236.91"/>
    <s v="OK"/>
  </r>
  <r>
    <s v="ORD-2766"/>
    <x v="343"/>
    <x v="1"/>
    <s v="S. Addo"/>
    <x v="48"/>
    <x v="1"/>
    <s v="Electric Kettle"/>
    <n v="1"/>
    <n v="216.16"/>
    <n v="0"/>
    <n v="216.16"/>
    <m/>
    <x v="5"/>
    <x v="5"/>
    <n v="216.16"/>
    <s v="OK"/>
  </r>
  <r>
    <s v="ORD-2004"/>
    <x v="110"/>
    <x v="3"/>
    <s v="Unassigned"/>
    <x v="74"/>
    <x v="0"/>
    <s v="Sneakers"/>
    <n v="5"/>
    <n v="15.03"/>
    <n v="0.1"/>
    <n v="67.63"/>
    <m/>
    <x v="6"/>
    <x v="6"/>
    <n v="67.634999999999991"/>
    <s v="MISMATCH"/>
  </r>
  <r>
    <s v="ORD-2255"/>
    <x v="64"/>
    <x v="0"/>
    <s v="P. Amoah"/>
    <x v="70"/>
    <x v="1"/>
    <s v="Table Lamp"/>
    <n v="6"/>
    <n v="178.15"/>
    <n v="0"/>
    <n v="1068.9000000000001"/>
    <m/>
    <x v="9"/>
    <x v="9"/>
    <n v="1068.9000000000001"/>
    <s v="OK"/>
  </r>
  <r>
    <s v="ORD-2234"/>
    <x v="2"/>
    <x v="3"/>
    <s v="M. Ansah"/>
    <x v="108"/>
    <x v="2"/>
    <s v="Canned Tomatoes"/>
    <n v="12"/>
    <n v="23.34"/>
    <n v="0.1"/>
    <n v="252.07"/>
    <m/>
    <x v="2"/>
    <x v="2"/>
    <n v="252.072"/>
    <s v="OK"/>
  </r>
  <r>
    <s v="ORD-1143"/>
    <x v="309"/>
    <x v="3"/>
    <s v="J. Tetteh"/>
    <x v="148"/>
    <x v="3"/>
    <s v="Lip Balm Set"/>
    <n v="1"/>
    <n v="78.78"/>
    <n v="0"/>
    <n v="78.78"/>
    <m/>
    <x v="1"/>
    <x v="1"/>
    <n v="78.78"/>
    <s v="OK"/>
  </r>
  <r>
    <s v="ORD-1753"/>
    <x v="53"/>
    <x v="0"/>
    <s v="S. Addo"/>
    <x v="15"/>
    <x v="0"/>
    <s v="Sneakers"/>
    <n v="2"/>
    <n v="52.68"/>
    <n v="0.1"/>
    <n v="94.82"/>
    <m/>
    <x v="6"/>
    <x v="6"/>
    <n v="94.823999999999998"/>
    <s v="OK"/>
  </r>
  <r>
    <s v="ORD-1519"/>
    <x v="219"/>
    <x v="2"/>
    <s v="P. Amoah"/>
    <x v="69"/>
    <x v="1"/>
    <s v="Storage Containers"/>
    <n v="7"/>
    <n v="197.08"/>
    <n v="0.15"/>
    <n v="1172.6300000000001"/>
    <m/>
    <x v="2"/>
    <x v="2"/>
    <n v="1172.6260000000002"/>
    <s v="OK"/>
  </r>
  <r>
    <s v="ORD-1048"/>
    <x v="174"/>
    <x v="3"/>
    <s v="P. Amoah"/>
    <x v="37"/>
    <x v="2"/>
    <s v="Canned Tomatoes"/>
    <n v="6"/>
    <n v="6.44"/>
    <n v="0"/>
    <n v="38.64"/>
    <m/>
    <x v="9"/>
    <x v="9"/>
    <n v="38.64"/>
    <s v="OK"/>
  </r>
  <r>
    <s v="ORD-2322"/>
    <x v="161"/>
    <x v="3"/>
    <s v="M. Ansah"/>
    <x v="193"/>
    <x v="4"/>
    <s v="Laptop Stand"/>
    <n v="6"/>
    <n v="20.38"/>
    <n v="0.15"/>
    <n v="103.94"/>
    <m/>
    <x v="0"/>
    <x v="0"/>
    <n v="103.938"/>
    <s v="OK"/>
  </r>
  <r>
    <s v="ORD-1822"/>
    <x v="1"/>
    <x v="4"/>
    <s v="M. Ansah"/>
    <x v="8"/>
    <x v="2"/>
    <s v="Rice 5kg"/>
    <n v="3"/>
    <n v="236.34"/>
    <n v="0"/>
    <n v="709.02"/>
    <m/>
    <x v="1"/>
    <x v="1"/>
    <n v="709.02"/>
    <s v="OK"/>
  </r>
  <r>
    <s v="ORD-1428"/>
    <x v="170"/>
    <x v="0"/>
    <s v="R. Ofori"/>
    <x v="147"/>
    <x v="1"/>
    <s v="Blender"/>
    <n v="9"/>
    <n v="192.24"/>
    <n v="0"/>
    <n v="1730.16"/>
    <m/>
    <x v="8"/>
    <x v="8"/>
    <n v="1730.16"/>
    <s v="OK"/>
  </r>
  <r>
    <s v="ORD-1612"/>
    <x v="191"/>
    <x v="0"/>
    <s v="M. Ansah"/>
    <x v="114"/>
    <x v="3"/>
    <s v="Lip Balm Set"/>
    <n v="9"/>
    <n v="247.15"/>
    <n v="0"/>
    <n v="2224.35"/>
    <m/>
    <x v="2"/>
    <x v="2"/>
    <n v="2224.35"/>
    <s v="OK"/>
  </r>
  <r>
    <s v="ORD-2505"/>
    <x v="291"/>
    <x v="2"/>
    <s v="J. Tetteh"/>
    <x v="35"/>
    <x v="4"/>
    <s v="Bluetooth Speaker"/>
    <n v="3"/>
    <n v="13.61"/>
    <n v="0.15"/>
    <n v="34.71"/>
    <m/>
    <x v="11"/>
    <x v="11"/>
    <n v="34.705500000000001"/>
    <s v="OK"/>
  </r>
  <r>
    <s v="ORD-2032"/>
    <x v="194"/>
    <x v="2"/>
    <s v="P. Amoah"/>
    <x v="73"/>
    <x v="2"/>
    <s v="Cooking Oil 1L"/>
    <n v="5"/>
    <n v="59.89"/>
    <n v="0"/>
    <n v="299.45"/>
    <m/>
    <x v="2"/>
    <x v="2"/>
    <n v="299.45"/>
    <s v="OK"/>
  </r>
  <r>
    <s v="ORD-1156"/>
    <x v="281"/>
    <x v="2"/>
    <s v="S. Addo"/>
    <x v="23"/>
    <x v="3"/>
    <s v="Face Wash"/>
    <n v="3"/>
    <n v="11.35"/>
    <n v="0.05"/>
    <n v="32.35"/>
    <m/>
    <x v="1"/>
    <x v="1"/>
    <n v="32.347499999999997"/>
    <s v="OK"/>
  </r>
  <r>
    <s v="ORD-1539"/>
    <x v="127"/>
    <x v="4"/>
    <s v="R. Ofori"/>
    <x v="18"/>
    <x v="1"/>
    <s v="Storage Containers"/>
    <n v="11"/>
    <n v="52.94"/>
    <n v="0"/>
    <n v="582.34"/>
    <m/>
    <x v="8"/>
    <x v="8"/>
    <n v="582.33999999999992"/>
    <s v="OK"/>
  </r>
  <r>
    <s v="ORD-2530"/>
    <x v="79"/>
    <x v="0"/>
    <s v="P. Amoah"/>
    <x v="21"/>
    <x v="1"/>
    <s v="Blender"/>
    <n v="5"/>
    <n v="208.45"/>
    <n v="0"/>
    <n v="1042.25"/>
    <m/>
    <x v="4"/>
    <x v="4"/>
    <n v="1042.25"/>
    <s v="OK"/>
  </r>
  <r>
    <s v="ORD-2460"/>
    <x v="65"/>
    <x v="1"/>
    <s v="P. Amoah"/>
    <x v="22"/>
    <x v="2"/>
    <s v="Rice 5kg"/>
    <n v="12"/>
    <n v="9"/>
    <n v="0.15"/>
    <n v="91.8"/>
    <m/>
    <x v="5"/>
    <x v="5"/>
    <n v="91.8"/>
    <s v="OK"/>
  </r>
  <r>
    <s v="ORD-2290"/>
    <x v="46"/>
    <x v="1"/>
    <s v="P. Amoah"/>
    <x v="59"/>
    <x v="4"/>
    <s v="Laptop Stand"/>
    <n v="3"/>
    <n v="156.55000000000001"/>
    <n v="0.15"/>
    <n v="399.2"/>
    <m/>
    <x v="3"/>
    <x v="3"/>
    <n v="399.20250000000004"/>
    <s v="OK"/>
  </r>
  <r>
    <s v="ORD-1461"/>
    <x v="335"/>
    <x v="3"/>
    <s v="S. Addo"/>
    <x v="196"/>
    <x v="1"/>
    <s v="Table Lamp"/>
    <n v="10"/>
    <n v="72.45"/>
    <n v="0.1"/>
    <n v="652.04999999999995"/>
    <m/>
    <x v="2"/>
    <x v="2"/>
    <n v="652.05000000000007"/>
    <s v="OK"/>
  </r>
  <r>
    <s v="ORD-1576"/>
    <x v="343"/>
    <x v="1"/>
    <s v="M. Ansah"/>
    <x v="163"/>
    <x v="0"/>
    <s v="Sunglasses"/>
    <n v="11"/>
    <n v="37.68"/>
    <n v="0.1"/>
    <n v="373.03"/>
    <m/>
    <x v="5"/>
    <x v="5"/>
    <n v="373.03200000000004"/>
    <s v="OK"/>
  </r>
  <r>
    <s v="ORD-2362"/>
    <x v="236"/>
    <x v="4"/>
    <s v="P. Amoah"/>
    <x v="177"/>
    <x v="1"/>
    <s v="Storage Containers"/>
    <n v="12"/>
    <n v="199.03"/>
    <n v="0.15"/>
    <n v="2030.11"/>
    <m/>
    <x v="10"/>
    <x v="10"/>
    <n v="2030.106"/>
    <s v="OK"/>
  </r>
  <r>
    <s v="ORD-1255"/>
    <x v="58"/>
    <x v="1"/>
    <s v="J. Tetteh"/>
    <x v="127"/>
    <x v="2"/>
    <s v="Pasta Pack"/>
    <n v="1"/>
    <n v="77.94"/>
    <n v="0.05"/>
    <n v="74.040000000000006"/>
    <m/>
    <x v="8"/>
    <x v="8"/>
    <n v="74.042999999999992"/>
    <s v="OK"/>
  </r>
  <r>
    <s v="ORD-1979"/>
    <x v="87"/>
    <x v="1"/>
    <s v="M. Ansah"/>
    <x v="115"/>
    <x v="4"/>
    <s v="Bluetooth Speaker"/>
    <n v="12"/>
    <n v="216.04"/>
    <n v="0.05"/>
    <n v="2462.86"/>
    <m/>
    <x v="0"/>
    <x v="0"/>
    <n v="2462.8559999999998"/>
    <s v="OK"/>
  </r>
  <r>
    <s v="ORD-2185"/>
    <x v="40"/>
    <x v="1"/>
    <s v="J. Tetteh"/>
    <x v="183"/>
    <x v="1"/>
    <s v="Storage Containers"/>
    <n v="10"/>
    <n v="29.47"/>
    <n v="0"/>
    <n v="294.7"/>
    <m/>
    <x v="10"/>
    <x v="10"/>
    <n v="294.7"/>
    <s v="OK"/>
  </r>
  <r>
    <s v="ORD-2006"/>
    <x v="134"/>
    <x v="1"/>
    <s v="M. Ansah"/>
    <x v="62"/>
    <x v="4"/>
    <s v="Laptop Stand"/>
    <n v="1"/>
    <n v="76.25"/>
    <n v="0.05"/>
    <n v="72.44"/>
    <m/>
    <x v="10"/>
    <x v="10"/>
    <n v="72.4375"/>
    <s v="OK"/>
  </r>
  <r>
    <s v="ORD-2521"/>
    <x v="296"/>
    <x v="1"/>
    <s v="J. Tetteh"/>
    <x v="145"/>
    <x v="3"/>
    <s v="Hair Oil"/>
    <n v="4"/>
    <n v="17.989999999999998"/>
    <n v="0"/>
    <n v="71.959999999999994"/>
    <m/>
    <x v="8"/>
    <x v="8"/>
    <n v="71.959999999999994"/>
    <s v="OK"/>
  </r>
  <r>
    <s v="ORD-1560"/>
    <x v="239"/>
    <x v="0"/>
    <s v="J. Tetteh"/>
    <x v="152"/>
    <x v="4"/>
    <s v="Wireless Earbuds"/>
    <n v="11"/>
    <n v="237.87"/>
    <n v="0"/>
    <n v="2616.5700000000002"/>
    <m/>
    <x v="5"/>
    <x v="5"/>
    <n v="2616.5700000000002"/>
    <s v="OK"/>
  </r>
  <r>
    <s v="ORD-1208"/>
    <x v="62"/>
    <x v="2"/>
    <s v="P. Amoah"/>
    <x v="77"/>
    <x v="1"/>
    <s v="Non-stick Pan"/>
    <n v="5"/>
    <n v="213.09"/>
    <n v="0.15"/>
    <n v="905.63"/>
    <m/>
    <x v="10"/>
    <x v="10"/>
    <n v="905.63250000000005"/>
    <s v="OK"/>
  </r>
  <r>
    <s v="ORD-1910"/>
    <x v="290"/>
    <x v="3"/>
    <s v="J. Tetteh"/>
    <x v="67"/>
    <x v="0"/>
    <s v="Cotton T-Shirt"/>
    <n v="10"/>
    <n v="224.42"/>
    <n v="0"/>
    <n v="2244.1999999999998"/>
    <m/>
    <x v="9"/>
    <x v="9"/>
    <n v="2244.1999999999998"/>
    <s v="OK"/>
  </r>
  <r>
    <s v="ORD-2311"/>
    <x v="34"/>
    <x v="2"/>
    <s v="S. Addo"/>
    <x v="130"/>
    <x v="0"/>
    <s v="Leather Wallet"/>
    <n v="11"/>
    <n v="188.75"/>
    <n v="0.05"/>
    <n v="1972.44"/>
    <m/>
    <x v="6"/>
    <x v="6"/>
    <n v="1972.4375"/>
    <s v="OK"/>
  </r>
  <r>
    <s v="ORD-1001"/>
    <x v="172"/>
    <x v="3"/>
    <s v="P. Amoah"/>
    <x v="64"/>
    <x v="1"/>
    <s v="Table Lamp"/>
    <n v="10"/>
    <n v="59.01"/>
    <n v="0"/>
    <n v="590.1"/>
    <m/>
    <x v="7"/>
    <x v="7"/>
    <n v="590.1"/>
    <s v="OK"/>
  </r>
  <r>
    <s v="ORD-2365"/>
    <x v="263"/>
    <x v="0"/>
    <s v="R. Ofori"/>
    <x v="19"/>
    <x v="2"/>
    <s v="Pasta Pack"/>
    <n v="6"/>
    <n v="221.77"/>
    <n v="0"/>
    <n v="1330.62"/>
    <m/>
    <x v="0"/>
    <x v="0"/>
    <n v="1330.6200000000001"/>
    <s v="OK"/>
  </r>
  <r>
    <s v="ORD-1269"/>
    <x v="154"/>
    <x v="2"/>
    <s v="P. Amoah"/>
    <x v="36"/>
    <x v="4"/>
    <s v="Wireless Earbuds"/>
    <n v="6"/>
    <n v="241"/>
    <n v="0"/>
    <n v="1446"/>
    <m/>
    <x v="9"/>
    <x v="9"/>
    <n v="1446"/>
    <s v="OK"/>
  </r>
  <r>
    <s v="ORD-1265"/>
    <x v="42"/>
    <x v="1"/>
    <s v="J. Tetteh"/>
    <x v="166"/>
    <x v="0"/>
    <s v="Denim Jeans"/>
    <n v="3"/>
    <n v="121.82"/>
    <n v="0.1"/>
    <n v="328.91"/>
    <m/>
    <x v="6"/>
    <x v="6"/>
    <n v="328.91399999999999"/>
    <s v="OK"/>
  </r>
  <r>
    <s v="ORD-1914"/>
    <x v="157"/>
    <x v="3"/>
    <s v="P. Amoah"/>
    <x v="35"/>
    <x v="2"/>
    <s v="Canned Tomatoes"/>
    <n v="11"/>
    <n v="38.86"/>
    <n v="0"/>
    <n v="427.46"/>
    <m/>
    <x v="8"/>
    <x v="8"/>
    <n v="427.46"/>
    <s v="OK"/>
  </r>
  <r>
    <s v="ORD-2796"/>
    <x v="311"/>
    <x v="2"/>
    <s v="S. Addo"/>
    <x v="85"/>
    <x v="0"/>
    <s v="Denim Jeans"/>
    <n v="3"/>
    <n v="70.31"/>
    <n v="0"/>
    <n v="210.93"/>
    <m/>
    <x v="4"/>
    <x v="4"/>
    <n v="210.93"/>
    <s v="OK"/>
  </r>
  <r>
    <s v="ORD-2119"/>
    <x v="222"/>
    <x v="3"/>
    <s v="M. Ansah"/>
    <x v="171"/>
    <x v="0"/>
    <s v="Cotton T-Shirt"/>
    <n v="2"/>
    <n v="107.8"/>
    <n v="0"/>
    <n v="215.6"/>
    <m/>
    <x v="11"/>
    <x v="11"/>
    <n v="215.6"/>
    <s v="OK"/>
  </r>
  <r>
    <s v="ORD-2791"/>
    <x v="147"/>
    <x v="2"/>
    <s v="R. Ofori"/>
    <x v="106"/>
    <x v="3"/>
    <s v="Shea Butter Lotion"/>
    <n v="6"/>
    <n v="127.77"/>
    <n v="0.05"/>
    <n v="728.29"/>
    <m/>
    <x v="3"/>
    <x v="3"/>
    <n v="728.28899999999999"/>
    <s v="OK"/>
  </r>
  <r>
    <s v="ORD-1864"/>
    <x v="267"/>
    <x v="4"/>
    <s v="S. Addo"/>
    <x v="81"/>
    <x v="4"/>
    <s v="Smartphone Case"/>
    <n v="4"/>
    <n v="217.87"/>
    <n v="0"/>
    <n v="871.48"/>
    <m/>
    <x v="1"/>
    <x v="1"/>
    <n v="871.48"/>
    <s v="OK"/>
  </r>
  <r>
    <s v="ORD-2066"/>
    <x v="43"/>
    <x v="3"/>
    <s v="S. Addo"/>
    <x v="129"/>
    <x v="3"/>
    <s v="Face Wash"/>
    <n v="9"/>
    <n v="105.08"/>
    <n v="0"/>
    <n v="945.72"/>
    <m/>
    <x v="11"/>
    <x v="11"/>
    <n v="945.72"/>
    <s v="OK"/>
  </r>
  <r>
    <s v="ORD-1873"/>
    <x v="237"/>
    <x v="2"/>
    <s v="S. Addo"/>
    <x v="154"/>
    <x v="4"/>
    <s v="Smartphone Case"/>
    <n v="3"/>
    <n v="126.4"/>
    <n v="0"/>
    <n v="379.2"/>
    <m/>
    <x v="6"/>
    <x v="6"/>
    <n v="379.20000000000005"/>
    <s v="OK"/>
  </r>
  <r>
    <s v="ORD-2637"/>
    <x v="364"/>
    <x v="0"/>
    <s v="P. Amoah"/>
    <x v="172"/>
    <x v="3"/>
    <s v="Shampoo 400ml"/>
    <n v="3"/>
    <n v="245.59"/>
    <n v="0.1"/>
    <n v="663.09"/>
    <m/>
    <x v="4"/>
    <x v="4"/>
    <n v="663.09299999999996"/>
    <s v="OK"/>
  </r>
  <r>
    <s v="ORD-1398"/>
    <x v="259"/>
    <x v="2"/>
    <s v="M. Ansah"/>
    <x v="150"/>
    <x v="3"/>
    <s v="Shea Butter Lotion"/>
    <n v="3"/>
    <n v="114.32"/>
    <n v="0.1"/>
    <n v="308.66000000000003"/>
    <m/>
    <x v="3"/>
    <x v="3"/>
    <n v="308.66399999999999"/>
    <s v="OK"/>
  </r>
  <r>
    <s v="ORD-2664"/>
    <x v="92"/>
    <x v="4"/>
    <s v="S. Addo"/>
    <x v="143"/>
    <x v="2"/>
    <s v="Rice 5kg"/>
    <n v="11"/>
    <n v="62.63"/>
    <n v="0.15"/>
    <n v="585.59"/>
    <m/>
    <x v="0"/>
    <x v="0"/>
    <n v="585.59050000000002"/>
    <s v="OK"/>
  </r>
  <r>
    <s v="ORD-1045"/>
    <x v="220"/>
    <x v="1"/>
    <s v="R. Ofori"/>
    <x v="163"/>
    <x v="3"/>
    <s v="Hair Oil"/>
    <n v="5"/>
    <n v="210.77"/>
    <n v="0.1"/>
    <n v="948.47"/>
    <m/>
    <x v="4"/>
    <x v="4"/>
    <n v="948.46500000000015"/>
    <s v="OK"/>
  </r>
  <r>
    <s v="ORD-1161"/>
    <x v="50"/>
    <x v="3"/>
    <s v="P. Amoah"/>
    <x v="133"/>
    <x v="2"/>
    <s v="Pasta Pack"/>
    <n v="11"/>
    <n v="243.23"/>
    <n v="0"/>
    <n v="2675.53"/>
    <m/>
    <x v="9"/>
    <x v="9"/>
    <n v="2675.5299999999997"/>
    <s v="OK"/>
  </r>
  <r>
    <s v="ORD-1991"/>
    <x v="11"/>
    <x v="3"/>
    <s v="S. Addo"/>
    <x v="5"/>
    <x v="1"/>
    <s v="Storage Containers"/>
    <n v="2"/>
    <n v="132.06"/>
    <n v="0.15"/>
    <n v="224.5"/>
    <m/>
    <x v="3"/>
    <x v="3"/>
    <n v="224.50200000000001"/>
    <s v="OK"/>
  </r>
  <r>
    <s v="ORD-1727"/>
    <x v="121"/>
    <x v="4"/>
    <s v="S. Addo"/>
    <x v="189"/>
    <x v="2"/>
    <s v="Rice 5kg"/>
    <n v="10"/>
    <n v="107.31"/>
    <n v="0"/>
    <n v="1073.0999999999999"/>
    <m/>
    <x v="0"/>
    <x v="0"/>
    <n v="1073.0999999999999"/>
    <s v="OK"/>
  </r>
  <r>
    <s v="ORD-1629"/>
    <x v="28"/>
    <x v="1"/>
    <s v="J. Tetteh"/>
    <x v="163"/>
    <x v="0"/>
    <s v="Sunglasses"/>
    <n v="7"/>
    <n v="245.42"/>
    <n v="0"/>
    <n v="1717.94"/>
    <m/>
    <x v="7"/>
    <x v="7"/>
    <n v="1717.9399999999998"/>
    <s v="OK"/>
  </r>
  <r>
    <s v="ORD-1288"/>
    <x v="267"/>
    <x v="2"/>
    <s v="R. Ofori"/>
    <x v="96"/>
    <x v="0"/>
    <s v="Sneakers"/>
    <n v="4"/>
    <n v="23.3"/>
    <n v="0"/>
    <n v="93.2"/>
    <m/>
    <x v="1"/>
    <x v="1"/>
    <n v="93.2"/>
    <s v="OK"/>
  </r>
  <r>
    <s v="ORD-2613"/>
    <x v="217"/>
    <x v="2"/>
    <s v="J. Tetteh"/>
    <x v="40"/>
    <x v="3"/>
    <s v="Shea Butter Lotion"/>
    <n v="8"/>
    <n v="106.77"/>
    <n v="0"/>
    <n v="854.16"/>
    <m/>
    <x v="0"/>
    <x v="0"/>
    <n v="854.16"/>
    <s v="OK"/>
  </r>
  <r>
    <s v="ORD-2059"/>
    <x v="290"/>
    <x v="4"/>
    <s v="P. Amoah"/>
    <x v="191"/>
    <x v="0"/>
    <s v="Denim Jeans"/>
    <n v="11"/>
    <n v="243.9"/>
    <n v="0"/>
    <n v="2682.9"/>
    <m/>
    <x v="9"/>
    <x v="9"/>
    <n v="2682.9"/>
    <s v="OK"/>
  </r>
  <r>
    <s v="ORD-2777"/>
    <x v="236"/>
    <x v="4"/>
    <s v="J. Tetteh"/>
    <x v="182"/>
    <x v="4"/>
    <s v="Laptop Stand"/>
    <n v="9"/>
    <n v="194.34"/>
    <n v="0.05"/>
    <n v="1661.61"/>
    <m/>
    <x v="10"/>
    <x v="10"/>
    <n v="1661.607"/>
    <s v="OK"/>
  </r>
  <r>
    <s v="ORD-1575"/>
    <x v="219"/>
    <x v="0"/>
    <s v="M. Ansah"/>
    <x v="73"/>
    <x v="0"/>
    <s v="Denim Jeans"/>
    <n v="3"/>
    <n v="34.58"/>
    <n v="0.05"/>
    <n v="98.55"/>
    <m/>
    <x v="2"/>
    <x v="2"/>
    <n v="98.552999999999997"/>
    <s v="OK"/>
  </r>
  <r>
    <s v="ORD-1850"/>
    <x v="328"/>
    <x v="3"/>
    <s v="P. Amoah"/>
    <x v="111"/>
    <x v="4"/>
    <s v="Wireless Earbuds"/>
    <n v="7"/>
    <n v="158.61000000000001"/>
    <n v="0"/>
    <n v="1110.27"/>
    <m/>
    <x v="5"/>
    <x v="5"/>
    <n v="1110.27"/>
    <s v="OK"/>
  </r>
  <r>
    <s v="ORD-2339"/>
    <x v="115"/>
    <x v="3"/>
    <s v="M. Ansah"/>
    <x v="61"/>
    <x v="2"/>
    <s v="Rice 5kg"/>
    <n v="11"/>
    <n v="11.19"/>
    <n v="0.15"/>
    <n v="104.63"/>
    <m/>
    <x v="11"/>
    <x v="11"/>
    <n v="104.62649999999999"/>
    <s v="OK"/>
  </r>
  <r>
    <s v="ORD-1911"/>
    <x v="181"/>
    <x v="3"/>
    <s v="R. Ofori"/>
    <x v="171"/>
    <x v="3"/>
    <s v="Face Wash"/>
    <n v="5"/>
    <n v="158.07"/>
    <n v="0"/>
    <n v="790.35"/>
    <m/>
    <x v="11"/>
    <x v="11"/>
    <n v="790.34999999999991"/>
    <s v="OK"/>
  </r>
  <r>
    <s v="ORD-2254"/>
    <x v="300"/>
    <x v="2"/>
    <s v="P. Amoah"/>
    <x v="158"/>
    <x v="4"/>
    <s v="Smartphone Case"/>
    <n v="9"/>
    <n v="106.56"/>
    <n v="0.1"/>
    <n v="863.14"/>
    <m/>
    <x v="3"/>
    <x v="3"/>
    <n v="863.13599999999997"/>
    <s v="OK"/>
  </r>
  <r>
    <s v="ORD-2657"/>
    <x v="99"/>
    <x v="0"/>
    <s v="J. Tetteh"/>
    <x v="26"/>
    <x v="3"/>
    <s v="Shampoo 400ml"/>
    <n v="6"/>
    <n v="145.66999999999999"/>
    <n v="0"/>
    <n v="874.02"/>
    <m/>
    <x v="5"/>
    <x v="5"/>
    <n v="874.02"/>
    <s v="OK"/>
  </r>
  <r>
    <s v="ORD-1932"/>
    <x v="23"/>
    <x v="4"/>
    <s v="M. Ansah"/>
    <x v="152"/>
    <x v="1"/>
    <s v="Table Lamp"/>
    <n v="1"/>
    <n v="28.86"/>
    <n v="0"/>
    <n v="28.86"/>
    <m/>
    <x v="5"/>
    <x v="5"/>
    <n v="28.86"/>
    <s v="OK"/>
  </r>
  <r>
    <s v="ORD-2100"/>
    <x v="32"/>
    <x v="2"/>
    <s v="S. Addo"/>
    <x v="60"/>
    <x v="4"/>
    <s v="USB-C Cable"/>
    <n v="12"/>
    <n v="13.94"/>
    <n v="0.1"/>
    <n v="150.55000000000001"/>
    <m/>
    <x v="2"/>
    <x v="2"/>
    <n v="150.55199999999999"/>
    <s v="OK"/>
  </r>
  <r>
    <s v="ORD-2207"/>
    <x v="238"/>
    <x v="3"/>
    <s v="M. Ansah"/>
    <x v="44"/>
    <x v="0"/>
    <s v="Sneakers"/>
    <n v="11"/>
    <n v="135.43"/>
    <n v="0.15"/>
    <n v="1266.27"/>
    <m/>
    <x v="5"/>
    <x v="5"/>
    <n v="1266.2705000000001"/>
    <s v="OK"/>
  </r>
  <r>
    <s v="ORD-1247"/>
    <x v="282"/>
    <x v="2"/>
    <s v="Unassigned"/>
    <x v="189"/>
    <x v="4"/>
    <s v="Power Bank"/>
    <n v="2"/>
    <n v="53.28"/>
    <n v="0"/>
    <n v="106.56"/>
    <m/>
    <x v="9"/>
    <x v="9"/>
    <n v="106.56"/>
    <s v="OK"/>
  </r>
  <r>
    <s v="ORD-1476"/>
    <x v="239"/>
    <x v="3"/>
    <s v="J. Tetteh"/>
    <x v="25"/>
    <x v="2"/>
    <s v="Cooking Oil 1L"/>
    <n v="10"/>
    <n v="14.16"/>
    <n v="0.05"/>
    <n v="134.52000000000001"/>
    <m/>
    <x v="5"/>
    <x v="5"/>
    <n v="134.51999999999998"/>
    <s v="OK"/>
  </r>
  <r>
    <s v="ORD-1085"/>
    <x v="149"/>
    <x v="0"/>
    <s v="S. Addo"/>
    <x v="174"/>
    <x v="1"/>
    <s v="Blender"/>
    <n v="6"/>
    <n v="164.21"/>
    <n v="0.15"/>
    <n v="837.47"/>
    <m/>
    <x v="8"/>
    <x v="8"/>
    <n v="837.471"/>
    <s v="OK"/>
  </r>
  <r>
    <s v="ORD-1469"/>
    <x v="82"/>
    <x v="3"/>
    <s v="M. Ansah"/>
    <x v="150"/>
    <x v="1"/>
    <s v="Table Lamp"/>
    <n v="11"/>
    <n v="187.8"/>
    <n v="0.1"/>
    <n v="1859.22"/>
    <m/>
    <x v="5"/>
    <x v="5"/>
    <n v="1859.2200000000003"/>
    <s v="OK"/>
  </r>
  <r>
    <s v="ORD-1225"/>
    <x v="99"/>
    <x v="3"/>
    <s v="M. Ansah"/>
    <x v="22"/>
    <x v="1"/>
    <s v="Storage Containers"/>
    <n v="7"/>
    <n v="143.84"/>
    <n v="0.15"/>
    <n v="855.85"/>
    <m/>
    <x v="5"/>
    <x v="5"/>
    <n v="855.84799999999996"/>
    <s v="OK"/>
  </r>
  <r>
    <s v="ORD-1774"/>
    <x v="227"/>
    <x v="0"/>
    <s v="P. Amoah"/>
    <x v="3"/>
    <x v="2"/>
    <s v="Pasta Pack"/>
    <n v="6"/>
    <n v="83.85"/>
    <n v="0.1"/>
    <n v="452.79"/>
    <m/>
    <x v="10"/>
    <x v="10"/>
    <n v="452.78999999999996"/>
    <s v="OK"/>
  </r>
  <r>
    <s v="ORD-1331"/>
    <x v="206"/>
    <x v="2"/>
    <s v="S. Addo"/>
    <x v="66"/>
    <x v="1"/>
    <s v="Table Lamp"/>
    <n v="12"/>
    <n v="179.62"/>
    <n v="0.15"/>
    <n v="1832.12"/>
    <m/>
    <x v="8"/>
    <x v="8"/>
    <n v="1832.124"/>
    <s v="OK"/>
  </r>
  <r>
    <s v="ORD-1233"/>
    <x v="211"/>
    <x v="2"/>
    <s v="R. Ofori"/>
    <x v="160"/>
    <x v="2"/>
    <s v="Sugar 1kg"/>
    <n v="4"/>
    <n v="66.67"/>
    <n v="0.15"/>
    <n v="226.68"/>
    <m/>
    <x v="0"/>
    <x v="0"/>
    <n v="226.678"/>
    <s v="OK"/>
  </r>
  <r>
    <s v="ORD-1588"/>
    <x v="218"/>
    <x v="3"/>
    <s v="R. Ofori"/>
    <x v="90"/>
    <x v="3"/>
    <s v="Hair Oil"/>
    <n v="7"/>
    <n v="8.5500000000000007"/>
    <n v="0.15"/>
    <n v="50.87"/>
    <m/>
    <x v="10"/>
    <x v="10"/>
    <n v="50.872500000000009"/>
    <s v="OK"/>
  </r>
  <r>
    <s v="ORD-1475"/>
    <x v="2"/>
    <x v="0"/>
    <s v="S. Addo"/>
    <x v="84"/>
    <x v="0"/>
    <s v="Sunglasses"/>
    <n v="10"/>
    <n v="144.77000000000001"/>
    <n v="0"/>
    <n v="1447.7"/>
    <m/>
    <x v="2"/>
    <x v="2"/>
    <n v="1447.7"/>
    <s v="OK"/>
  </r>
  <r>
    <s v="ORD-2284"/>
    <x v="199"/>
    <x v="2"/>
    <s v="S. Addo"/>
    <x v="156"/>
    <x v="3"/>
    <s v="Face Wash"/>
    <n v="4"/>
    <n v="101.75"/>
    <n v="0"/>
    <n v="407"/>
    <m/>
    <x v="0"/>
    <x v="0"/>
    <n v="407"/>
    <s v="OK"/>
  </r>
  <r>
    <s v="ORD-1599"/>
    <x v="317"/>
    <x v="0"/>
    <s v="R. Ofori"/>
    <x v="122"/>
    <x v="1"/>
    <s v="Non-stick Pan"/>
    <n v="11"/>
    <n v="132.57"/>
    <n v="0"/>
    <n v="1458.27"/>
    <m/>
    <x v="11"/>
    <x v="11"/>
    <n v="1458.27"/>
    <s v="OK"/>
  </r>
  <r>
    <s v="ORD-1421"/>
    <x v="110"/>
    <x v="1"/>
    <s v="P. Amoah"/>
    <x v="12"/>
    <x v="2"/>
    <s v="Canned Tomatoes"/>
    <n v="9"/>
    <n v="230.2"/>
    <n v="0"/>
    <n v="2071.8000000000002"/>
    <m/>
    <x v="6"/>
    <x v="6"/>
    <n v="2071.7999999999997"/>
    <s v="OK"/>
  </r>
  <r>
    <s v="ORD-1182"/>
    <x v="226"/>
    <x v="2"/>
    <s v="S. Addo"/>
    <x v="142"/>
    <x v="1"/>
    <s v="Electric Kettle"/>
    <n v="12"/>
    <n v="193.94"/>
    <n v="0"/>
    <n v="2327.2800000000002"/>
    <m/>
    <x v="7"/>
    <x v="7"/>
    <n v="2327.2799999999997"/>
    <s v="OK"/>
  </r>
  <r>
    <s v="ORD-2000"/>
    <x v="78"/>
    <x v="2"/>
    <s v="R. Ofori"/>
    <x v="150"/>
    <x v="2"/>
    <s v="Rice 5kg"/>
    <n v="4"/>
    <n v="187.37"/>
    <n v="0.05"/>
    <n v="712.01"/>
    <m/>
    <x v="11"/>
    <x v="11"/>
    <n v="712.00599999999997"/>
    <s v="OK"/>
  </r>
  <r>
    <s v="ORD-2641"/>
    <x v="350"/>
    <x v="3"/>
    <s v="M. Ansah"/>
    <x v="107"/>
    <x v="4"/>
    <s v="Laptop Stand"/>
    <n v="6"/>
    <n v="108.5"/>
    <n v="0.1"/>
    <n v="585.9"/>
    <m/>
    <x v="3"/>
    <x v="3"/>
    <n v="585.9"/>
    <s v="OK"/>
  </r>
  <r>
    <s v="ORD-2356"/>
    <x v="156"/>
    <x v="1"/>
    <s v="P. Amoah"/>
    <x v="177"/>
    <x v="3"/>
    <s v="Shea Butter Lotion"/>
    <n v="1"/>
    <n v="236.96"/>
    <n v="0"/>
    <n v="236.96"/>
    <m/>
    <x v="6"/>
    <x v="6"/>
    <n v="236.96"/>
    <s v="OK"/>
  </r>
  <r>
    <s v="ORD-2462"/>
    <x v="148"/>
    <x v="0"/>
    <s v="J. Tetteh"/>
    <x v="10"/>
    <x v="3"/>
    <s v="Shampoo 400ml"/>
    <n v="1"/>
    <n v="236.91"/>
    <n v="0"/>
    <n v="236.91"/>
    <m/>
    <x v="2"/>
    <x v="2"/>
    <n v="236.91"/>
    <s v="OK"/>
  </r>
  <r>
    <s v="ORD-1049"/>
    <x v="63"/>
    <x v="3"/>
    <s v="R. Ofori"/>
    <x v="14"/>
    <x v="3"/>
    <s v="Lip Balm Set"/>
    <n v="1"/>
    <n v="111.78"/>
    <n v="0.05"/>
    <n v="106.19"/>
    <m/>
    <x v="7"/>
    <x v="7"/>
    <n v="106.191"/>
    <s v="OK"/>
  </r>
  <r>
    <s v="ORD-2029"/>
    <x v="81"/>
    <x v="1"/>
    <s v="J. Tetteh"/>
    <x v="119"/>
    <x v="3"/>
    <s v="Shea Butter Lotion"/>
    <n v="7"/>
    <n v="93.09"/>
    <n v="0.1"/>
    <n v="586.47"/>
    <m/>
    <x v="11"/>
    <x v="11"/>
    <n v="586.46699999999998"/>
    <s v="OK"/>
  </r>
  <r>
    <s v="ORD-1529"/>
    <x v="8"/>
    <x v="4"/>
    <s v="Unassigned"/>
    <x v="156"/>
    <x v="1"/>
    <s v="Blender"/>
    <n v="1"/>
    <n v="17.43"/>
    <n v="0.05"/>
    <n v="16.559999999999999"/>
    <m/>
    <x v="5"/>
    <x v="5"/>
    <n v="16.558499999999999"/>
    <s v="OK"/>
  </r>
  <r>
    <s v="ORD-2258"/>
    <x v="55"/>
    <x v="3"/>
    <s v="R. Ofori"/>
    <x v="37"/>
    <x v="2"/>
    <s v="Sugar 1kg"/>
    <n v="7"/>
    <n v="126.8"/>
    <n v="0"/>
    <n v="887.6"/>
    <m/>
    <x v="8"/>
    <x v="8"/>
    <n v="887.6"/>
    <s v="OK"/>
  </r>
  <r>
    <s v="ORD-1486"/>
    <x v="344"/>
    <x v="4"/>
    <s v="R. Ofori"/>
    <x v="142"/>
    <x v="3"/>
    <s v="Lip Balm Set"/>
    <n v="11"/>
    <n v="175.29"/>
    <n v="0"/>
    <n v="1928.19"/>
    <m/>
    <x v="8"/>
    <x v="8"/>
    <n v="1928.1899999999998"/>
    <s v="OK"/>
  </r>
  <r>
    <s v="ORD-2775"/>
    <x v="136"/>
    <x v="4"/>
    <s v="S. Addo"/>
    <x v="147"/>
    <x v="4"/>
    <s v="USB-C Cable"/>
    <n v="9"/>
    <n v="179.86"/>
    <n v="0"/>
    <n v="1618.74"/>
    <m/>
    <x v="11"/>
    <x v="11"/>
    <n v="1618.7400000000002"/>
    <s v="OK"/>
  </r>
  <r>
    <s v="ORD-1497"/>
    <x v="270"/>
    <x v="1"/>
    <s v="R. Ofori"/>
    <x v="49"/>
    <x v="1"/>
    <s v="Blender"/>
    <n v="6"/>
    <n v="179.44"/>
    <n v="0"/>
    <n v="1076.6400000000001"/>
    <m/>
    <x v="11"/>
    <x v="11"/>
    <n v="1076.6399999999999"/>
    <s v="OK"/>
  </r>
  <r>
    <s v="ORD-2646"/>
    <x v="126"/>
    <x v="2"/>
    <s v="S. Addo"/>
    <x v="51"/>
    <x v="0"/>
    <s v="Sneakers"/>
    <n v="5"/>
    <n v="38.53"/>
    <n v="0.05"/>
    <n v="183.02"/>
    <m/>
    <x v="3"/>
    <x v="3"/>
    <n v="183.01749999999998"/>
    <s v="OK"/>
  </r>
  <r>
    <s v="ORD-1106"/>
    <x v="199"/>
    <x v="2"/>
    <s v="P. Amoah"/>
    <x v="199"/>
    <x v="2"/>
    <s v="Canned Tomatoes"/>
    <n v="10"/>
    <n v="128.44"/>
    <n v="0"/>
    <n v="1284.4000000000001"/>
    <m/>
    <x v="0"/>
    <x v="0"/>
    <n v="1284.4000000000001"/>
    <s v="OK"/>
  </r>
  <r>
    <s v="ORD-1443"/>
    <x v="111"/>
    <x v="3"/>
    <s v="S. Addo"/>
    <x v="187"/>
    <x v="2"/>
    <s v="Pasta Pack"/>
    <n v="7"/>
    <n v="25.66"/>
    <n v="0"/>
    <n v="179.62"/>
    <m/>
    <x v="4"/>
    <x v="4"/>
    <n v="179.62"/>
    <s v="OK"/>
  </r>
  <r>
    <s v="ORD-2512"/>
    <x v="63"/>
    <x v="4"/>
    <s v="M. Ansah"/>
    <x v="165"/>
    <x v="4"/>
    <s v="USB-C Cable"/>
    <n v="10"/>
    <n v="131.9"/>
    <n v="0.05"/>
    <n v="1253.05"/>
    <m/>
    <x v="7"/>
    <x v="7"/>
    <n v="1253.05"/>
    <s v="OK"/>
  </r>
  <r>
    <s v="ORD-1646"/>
    <x v="353"/>
    <x v="3"/>
    <s v="J. Tetteh"/>
    <x v="183"/>
    <x v="0"/>
    <s v="Sunglasses"/>
    <n v="9"/>
    <n v="87.31"/>
    <n v="0.15"/>
    <n v="667.92"/>
    <m/>
    <x v="4"/>
    <x v="4"/>
    <n v="667.92149999999992"/>
    <s v="OK"/>
  </r>
  <r>
    <s v="ORD-2036"/>
    <x v="286"/>
    <x v="1"/>
    <s v="S. Addo"/>
    <x v="64"/>
    <x v="4"/>
    <s v="Power Bank"/>
    <n v="10"/>
    <n v="151.55000000000001"/>
    <n v="0"/>
    <n v="1515.5"/>
    <m/>
    <x v="0"/>
    <x v="0"/>
    <n v="1515.5"/>
    <s v="OK"/>
  </r>
  <r>
    <s v="ORD-1726"/>
    <x v="253"/>
    <x v="4"/>
    <s v="P. Amoah"/>
    <x v="68"/>
    <x v="2"/>
    <s v="Rice 5kg"/>
    <n v="5"/>
    <n v="234.52"/>
    <n v="0"/>
    <n v="1172.5999999999999"/>
    <m/>
    <x v="10"/>
    <x v="10"/>
    <n v="1172.6000000000001"/>
    <s v="OK"/>
  </r>
  <r>
    <s v="ORD-1190"/>
    <x v="255"/>
    <x v="1"/>
    <s v="M. Ansah"/>
    <x v="86"/>
    <x v="1"/>
    <s v="Table Lamp"/>
    <n v="8"/>
    <n v="44.81"/>
    <n v="0.15"/>
    <n v="304.70999999999998"/>
    <m/>
    <x v="0"/>
    <x v="0"/>
    <n v="304.70800000000003"/>
    <s v="OK"/>
  </r>
  <r>
    <s v="ORD-1282"/>
    <x v="84"/>
    <x v="1"/>
    <s v="P. Amoah"/>
    <x v="51"/>
    <x v="3"/>
    <s v="Shea Butter Lotion"/>
    <n v="8"/>
    <n v="21.89"/>
    <n v="0"/>
    <n v="175.12"/>
    <m/>
    <x v="6"/>
    <x v="6"/>
    <n v="175.12"/>
    <s v="OK"/>
  </r>
  <r>
    <s v="ORD-1029"/>
    <x v="225"/>
    <x v="1"/>
    <s v="J. Tetteh"/>
    <x v="174"/>
    <x v="0"/>
    <s v="Sunglasses"/>
    <n v="1"/>
    <n v="208.19"/>
    <n v="0"/>
    <n v="208.19"/>
    <m/>
    <x v="0"/>
    <x v="0"/>
    <n v="208.19"/>
    <s v="OK"/>
  </r>
  <r>
    <s v="ORD-1169"/>
    <x v="154"/>
    <x v="2"/>
    <s v="S. Addo"/>
    <x v="45"/>
    <x v="1"/>
    <s v="Electric Kettle"/>
    <n v="3"/>
    <n v="65.83"/>
    <n v="0"/>
    <n v="197.49"/>
    <m/>
    <x v="9"/>
    <x v="9"/>
    <n v="197.49"/>
    <s v="OK"/>
  </r>
  <r>
    <s v="ORD-2001"/>
    <x v="313"/>
    <x v="2"/>
    <s v="S. Addo"/>
    <x v="161"/>
    <x v="3"/>
    <s v="Hair Oil"/>
    <n v="7"/>
    <n v="222.56"/>
    <n v="0.1"/>
    <n v="1402.13"/>
    <m/>
    <x v="4"/>
    <x v="4"/>
    <n v="1402.1280000000002"/>
    <s v="OK"/>
  </r>
  <r>
    <s v="ORD-2204"/>
    <x v="56"/>
    <x v="4"/>
    <s v="P. Amoah"/>
    <x v="56"/>
    <x v="3"/>
    <s v="Shea Butter Lotion"/>
    <n v="8"/>
    <n v="145.61000000000001"/>
    <n v="0.1"/>
    <n v="1048.3900000000001"/>
    <m/>
    <x v="11"/>
    <x v="11"/>
    <n v="1048.3920000000001"/>
    <s v="OK"/>
  </r>
  <r>
    <s v="ORD-1100"/>
    <x v="127"/>
    <x v="2"/>
    <s v="R. Ofori"/>
    <x v="166"/>
    <x v="3"/>
    <s v="Shampoo 400ml"/>
    <n v="5"/>
    <n v="235.07"/>
    <n v="0"/>
    <n v="1175.3499999999999"/>
    <m/>
    <x v="8"/>
    <x v="8"/>
    <n v="1175.3499999999999"/>
    <s v="OK"/>
  </r>
  <r>
    <s v="ORD-1197"/>
    <x v="38"/>
    <x v="2"/>
    <s v="S. Addo"/>
    <x v="68"/>
    <x v="3"/>
    <s v="Lip Balm Set"/>
    <n v="4"/>
    <n v="33.479999999999997"/>
    <n v="0.15"/>
    <n v="113.83"/>
    <m/>
    <x v="3"/>
    <x v="3"/>
    <n v="113.83199999999998"/>
    <s v="OK"/>
  </r>
  <r>
    <s v="ORD-1495"/>
    <x v="18"/>
    <x v="1"/>
    <s v="Unassigned"/>
    <x v="191"/>
    <x v="0"/>
    <s v="Denim Jeans"/>
    <n v="11"/>
    <n v="113.54"/>
    <n v="0.15"/>
    <n v="1061.5999999999999"/>
    <m/>
    <x v="9"/>
    <x v="9"/>
    <n v="1061.5989999999999"/>
    <s v="OK"/>
  </r>
  <r>
    <s v="ORD-1647"/>
    <x v="355"/>
    <x v="3"/>
    <s v="M. Ansah"/>
    <x v="41"/>
    <x v="3"/>
    <s v="Face Wash"/>
    <n v="9"/>
    <n v="210.89"/>
    <n v="0"/>
    <n v="1898.01"/>
    <m/>
    <x v="3"/>
    <x v="3"/>
    <n v="1898.0099999999998"/>
    <s v="OK"/>
  </r>
  <r>
    <s v="ORD-1987"/>
    <x v="146"/>
    <x v="0"/>
    <s v="M. Ansah"/>
    <x v="60"/>
    <x v="1"/>
    <s v="Blender"/>
    <n v="10"/>
    <n v="238.12"/>
    <n v="0.15"/>
    <n v="2024.02"/>
    <m/>
    <x v="4"/>
    <x v="4"/>
    <n v="2024.0199999999998"/>
    <s v="OK"/>
  </r>
  <r>
    <s v="ORD-1044"/>
    <x v="227"/>
    <x v="0"/>
    <s v="M. Ansah"/>
    <x v="183"/>
    <x v="3"/>
    <s v="Shampoo 400ml"/>
    <n v="8"/>
    <n v="237.76"/>
    <n v="0.1"/>
    <n v="1711.87"/>
    <m/>
    <x v="10"/>
    <x v="10"/>
    <n v="1711.8720000000001"/>
    <s v="OK"/>
  </r>
  <r>
    <s v="ORD-2759"/>
    <x v="156"/>
    <x v="1"/>
    <s v="P. Amoah"/>
    <x v="47"/>
    <x v="1"/>
    <s v="Electric Kettle"/>
    <n v="10"/>
    <n v="178.53"/>
    <n v="0.15"/>
    <n v="1517.5"/>
    <m/>
    <x v="6"/>
    <x v="6"/>
    <n v="1517.5049999999999"/>
    <s v="MISMATCH"/>
  </r>
  <r>
    <s v="ORD-1710"/>
    <x v="219"/>
    <x v="4"/>
    <s v="S. Addo"/>
    <x v="122"/>
    <x v="3"/>
    <s v="Hair Oil"/>
    <n v="4"/>
    <n v="35.130000000000003"/>
    <n v="0.05"/>
    <n v="133.49"/>
    <m/>
    <x v="2"/>
    <x v="2"/>
    <n v="133.494"/>
    <s v="OK"/>
  </r>
  <r>
    <s v="ORD-1373"/>
    <x v="363"/>
    <x v="1"/>
    <s v="S. Addo"/>
    <x v="28"/>
    <x v="3"/>
    <s v="Hair Oil"/>
    <n v="7"/>
    <n v="231.99"/>
    <n v="0.05"/>
    <n v="1542.73"/>
    <m/>
    <x v="4"/>
    <x v="4"/>
    <n v="1542.7335"/>
    <s v="OK"/>
  </r>
  <r>
    <s v="ORD-1678"/>
    <x v="205"/>
    <x v="2"/>
    <s v="P. Amoah"/>
    <x v="103"/>
    <x v="0"/>
    <s v="Leather Wallet"/>
    <n v="6"/>
    <n v="223.7"/>
    <n v="0.15"/>
    <n v="1140.8699999999999"/>
    <m/>
    <x v="2"/>
    <x v="2"/>
    <n v="1140.8699999999999"/>
    <s v="OK"/>
  </r>
  <r>
    <s v="ORD-1566"/>
    <x v="140"/>
    <x v="4"/>
    <s v="P. Amoah"/>
    <x v="169"/>
    <x v="0"/>
    <s v="Denim Jeans"/>
    <n v="7"/>
    <n v="122.14"/>
    <n v="0.15"/>
    <n v="726.73"/>
    <m/>
    <x v="6"/>
    <x v="6"/>
    <n v="726.73299999999995"/>
    <s v="OK"/>
  </r>
  <r>
    <s v="ORD-2672"/>
    <x v="325"/>
    <x v="3"/>
    <s v="P. Amoah"/>
    <x v="19"/>
    <x v="1"/>
    <s v="Storage Containers"/>
    <n v="6"/>
    <n v="182.1"/>
    <n v="0"/>
    <n v="1092.5999999999999"/>
    <m/>
    <x v="7"/>
    <x v="7"/>
    <n v="1092.5999999999999"/>
    <s v="OK"/>
  </r>
  <r>
    <s v="ORD-1847"/>
    <x v="343"/>
    <x v="1"/>
    <s v="S. Addo"/>
    <x v="122"/>
    <x v="3"/>
    <s v="Hair Oil"/>
    <n v="12"/>
    <n v="213.2"/>
    <n v="0"/>
    <n v="2558.4"/>
    <m/>
    <x v="5"/>
    <x v="5"/>
    <n v="2558.3999999999996"/>
    <s v="OK"/>
  </r>
  <r>
    <s v="ORD-1460"/>
    <x v="168"/>
    <x v="2"/>
    <s v="M. Ansah"/>
    <x v="23"/>
    <x v="1"/>
    <s v="Blender"/>
    <n v="8"/>
    <n v="123.9"/>
    <n v="0.1"/>
    <n v="892.08"/>
    <m/>
    <x v="1"/>
    <x v="1"/>
    <n v="892.08"/>
    <s v="OK"/>
  </r>
  <r>
    <s v="ORD-2437"/>
    <x v="3"/>
    <x v="1"/>
    <s v="S. Addo"/>
    <x v="42"/>
    <x v="2"/>
    <s v="Sugar 1kg"/>
    <n v="10"/>
    <n v="17.57"/>
    <n v="0"/>
    <n v="175.7"/>
    <m/>
    <x v="3"/>
    <x v="3"/>
    <n v="175.7"/>
    <s v="OK"/>
  </r>
  <r>
    <s v="ORD-2155"/>
    <x v="307"/>
    <x v="4"/>
    <s v="R. Ofori"/>
    <x v="181"/>
    <x v="4"/>
    <s v="USB-C Cable"/>
    <n v="8"/>
    <n v="72.319999999999993"/>
    <n v="0.1"/>
    <n v="520.70000000000005"/>
    <m/>
    <x v="0"/>
    <x v="0"/>
    <n v="520.70399999999995"/>
    <s v="OK"/>
  </r>
  <r>
    <s v="ORD-1039"/>
    <x v="123"/>
    <x v="0"/>
    <s v="P. Amoah"/>
    <x v="77"/>
    <x v="1"/>
    <s v="Storage Containers"/>
    <n v="1"/>
    <n v="104.49"/>
    <n v="0"/>
    <n v="104.49"/>
    <m/>
    <x v="5"/>
    <x v="5"/>
    <n v="104.49"/>
    <s v="OK"/>
  </r>
  <r>
    <s v="ORD-1434"/>
    <x v="117"/>
    <x v="4"/>
    <s v="J. Tetteh"/>
    <x v="12"/>
    <x v="3"/>
    <s v="Shampoo 400ml"/>
    <n v="7"/>
    <n v="141.06"/>
    <n v="0"/>
    <n v="987.42"/>
    <m/>
    <x v="1"/>
    <x v="1"/>
    <n v="987.42000000000007"/>
    <s v="OK"/>
  </r>
  <r>
    <s v="ORD-1973"/>
    <x v="172"/>
    <x v="4"/>
    <s v="S. Addo"/>
    <x v="59"/>
    <x v="1"/>
    <s v="Table Lamp"/>
    <n v="2"/>
    <n v="134.18"/>
    <n v="0.1"/>
    <n v="241.52"/>
    <m/>
    <x v="7"/>
    <x v="7"/>
    <n v="241.52400000000003"/>
    <s v="OK"/>
  </r>
  <r>
    <s v="ORD-2239"/>
    <x v="192"/>
    <x v="1"/>
    <s v="J. Tetteh"/>
    <x v="0"/>
    <x v="1"/>
    <s v="Blender"/>
    <n v="8"/>
    <n v="32.65"/>
    <n v="0.05"/>
    <n v="248.14"/>
    <m/>
    <x v="9"/>
    <x v="9"/>
    <n v="248.14"/>
    <s v="OK"/>
  </r>
  <r>
    <s v="ORD-2007"/>
    <x v="352"/>
    <x v="3"/>
    <s v="S. Addo"/>
    <x v="24"/>
    <x v="2"/>
    <s v="Canned Tomatoes"/>
    <n v="7"/>
    <n v="47.46"/>
    <n v="0.15"/>
    <n v="282.39"/>
    <m/>
    <x v="2"/>
    <x v="2"/>
    <n v="282.387"/>
    <s v="OK"/>
  </r>
  <r>
    <s v="ORD-2579"/>
    <x v="30"/>
    <x v="1"/>
    <s v="M. Ansah"/>
    <x v="33"/>
    <x v="0"/>
    <s v="Cotton T-Shirt"/>
    <n v="11"/>
    <n v="49.21"/>
    <n v="0"/>
    <n v="541.30999999999995"/>
    <m/>
    <x v="0"/>
    <x v="0"/>
    <n v="541.31000000000006"/>
    <s v="OK"/>
  </r>
  <r>
    <s v="ORD-2590"/>
    <x v="334"/>
    <x v="2"/>
    <s v="P. Amoah"/>
    <x v="88"/>
    <x v="2"/>
    <s v="Pasta Pack"/>
    <n v="3"/>
    <n v="169.89"/>
    <n v="0"/>
    <n v="509.67"/>
    <m/>
    <x v="6"/>
    <x v="6"/>
    <n v="509.66999999999996"/>
    <s v="OK"/>
  </r>
  <r>
    <s v="ORD-2498"/>
    <x v="292"/>
    <x v="1"/>
    <s v="M. Ansah"/>
    <x v="34"/>
    <x v="3"/>
    <s v="Hair Oil"/>
    <n v="5"/>
    <n v="28.73"/>
    <n v="0"/>
    <n v="143.65"/>
    <m/>
    <x v="7"/>
    <x v="7"/>
    <n v="143.65"/>
    <s v="OK"/>
  </r>
  <r>
    <s v="ORD-1456"/>
    <x v="354"/>
    <x v="1"/>
    <s v="J. Tetteh"/>
    <x v="26"/>
    <x v="4"/>
    <s v="Laptop Stand"/>
    <n v="4"/>
    <n v="161.44"/>
    <n v="0"/>
    <n v="645.76"/>
    <m/>
    <x v="1"/>
    <x v="1"/>
    <n v="645.76"/>
    <s v="OK"/>
  </r>
  <r>
    <s v="ORD-1260"/>
    <x v="259"/>
    <x v="1"/>
    <s v="R. Ofori"/>
    <x v="187"/>
    <x v="2"/>
    <s v="Canned Tomatoes"/>
    <n v="6"/>
    <n v="175.2"/>
    <n v="0.05"/>
    <n v="998.64"/>
    <m/>
    <x v="3"/>
    <x v="3"/>
    <n v="998.63999999999976"/>
    <s v="OK"/>
  </r>
  <r>
    <s v="ORD-1035"/>
    <x v="313"/>
    <x v="1"/>
    <s v="R. Ofori"/>
    <x v="199"/>
    <x v="4"/>
    <s v="Smartphone Case"/>
    <n v="2"/>
    <n v="235.11"/>
    <n v="0"/>
    <n v="470.22"/>
    <m/>
    <x v="4"/>
    <x v="4"/>
    <n v="470.22"/>
    <s v="OK"/>
  </r>
  <r>
    <s v="ORD-1827"/>
    <x v="91"/>
    <x v="2"/>
    <s v="P. Amoah"/>
    <x v="137"/>
    <x v="1"/>
    <s v="Electric Kettle"/>
    <n v="4"/>
    <n v="143.94"/>
    <n v="0"/>
    <n v="575.76"/>
    <m/>
    <x v="0"/>
    <x v="0"/>
    <n v="575.76"/>
    <s v="OK"/>
  </r>
  <r>
    <s v="ORD-1309"/>
    <x v="68"/>
    <x v="2"/>
    <s v="R. Ofori"/>
    <x v="134"/>
    <x v="2"/>
    <s v="Canned Tomatoes"/>
    <n v="2"/>
    <n v="138.78"/>
    <n v="0.05"/>
    <n v="263.68"/>
    <m/>
    <x v="9"/>
    <x v="9"/>
    <n v="263.68200000000002"/>
    <s v="OK"/>
  </r>
  <r>
    <s v="ORD-1276"/>
    <x v="236"/>
    <x v="3"/>
    <s v="J. Tetteh"/>
    <x v="157"/>
    <x v="2"/>
    <s v="Cooking Oil 1L"/>
    <n v="10"/>
    <n v="116.08"/>
    <n v="0"/>
    <n v="1160.8"/>
    <m/>
    <x v="10"/>
    <x v="10"/>
    <n v="1160.8"/>
    <s v="OK"/>
  </r>
  <r>
    <s v="ORD-1636"/>
    <x v="88"/>
    <x v="4"/>
    <s v="R. Ofori"/>
    <x v="179"/>
    <x v="4"/>
    <s v="Wireless Earbuds"/>
    <n v="12"/>
    <n v="12.28"/>
    <n v="0"/>
    <n v="147.36000000000001"/>
    <m/>
    <x v="7"/>
    <x v="7"/>
    <n v="147.35999999999999"/>
    <s v="OK"/>
  </r>
  <r>
    <s v="ORD-1654"/>
    <x v="150"/>
    <x v="4"/>
    <s v="M. Ansah"/>
    <x v="122"/>
    <x v="2"/>
    <s v="Cooking Oil 1L"/>
    <n v="5"/>
    <n v="200.28"/>
    <n v="0.05"/>
    <n v="951.33"/>
    <m/>
    <x v="6"/>
    <x v="6"/>
    <n v="951.32999999999993"/>
    <s v="OK"/>
  </r>
  <r>
    <s v="ORD-1622"/>
    <x v="327"/>
    <x v="2"/>
    <s v="M. Ansah"/>
    <x v="187"/>
    <x v="2"/>
    <s v="Canned Tomatoes"/>
    <n v="12"/>
    <n v="90.31"/>
    <n v="0"/>
    <n v="1083.72"/>
    <m/>
    <x v="6"/>
    <x v="6"/>
    <n v="1083.72"/>
    <s v="OK"/>
  </r>
  <r>
    <s v="ORD-1844"/>
    <x v="327"/>
    <x v="1"/>
    <s v="P. Amoah"/>
    <x v="186"/>
    <x v="0"/>
    <s v="Sunglasses"/>
    <n v="12"/>
    <n v="126.28"/>
    <n v="0.05"/>
    <n v="1439.59"/>
    <m/>
    <x v="6"/>
    <x v="6"/>
    <n v="1439.5920000000001"/>
    <s v="OK"/>
  </r>
  <r>
    <s v="ORD-1393"/>
    <x v="294"/>
    <x v="4"/>
    <s v="R. Ofori"/>
    <x v="17"/>
    <x v="3"/>
    <s v="Lip Balm Set"/>
    <n v="4"/>
    <n v="81.739999999999995"/>
    <n v="0.15"/>
    <n v="277.92"/>
    <m/>
    <x v="11"/>
    <x v="11"/>
    <n v="277.916"/>
    <s v="OK"/>
  </r>
  <r>
    <s v="ORD-1107"/>
    <x v="230"/>
    <x v="4"/>
    <s v="R. Ofori"/>
    <x v="123"/>
    <x v="2"/>
    <s v="Rice 5kg"/>
    <n v="8"/>
    <n v="125.12"/>
    <n v="0"/>
    <n v="1000.96"/>
    <m/>
    <x v="10"/>
    <x v="10"/>
    <n v="1000.96"/>
    <s v="OK"/>
  </r>
  <r>
    <s v="ORD-1349"/>
    <x v="345"/>
    <x v="3"/>
    <s v="M. Ansah"/>
    <x v="183"/>
    <x v="0"/>
    <s v="Cotton T-Shirt"/>
    <n v="9"/>
    <n v="195.6"/>
    <n v="0"/>
    <n v="1760.4"/>
    <m/>
    <x v="9"/>
    <x v="9"/>
    <n v="1760.3999999999999"/>
    <s v="OK"/>
  </r>
  <r>
    <s v="ORD-1524"/>
    <x v="115"/>
    <x v="2"/>
    <s v="S. Addo"/>
    <x v="168"/>
    <x v="0"/>
    <s v="Sneakers"/>
    <n v="9"/>
    <n v="206.42"/>
    <n v="0.15"/>
    <n v="1579.11"/>
    <m/>
    <x v="11"/>
    <x v="11"/>
    <n v="1579.1129999999998"/>
    <s v="OK"/>
  </r>
  <r>
    <s v="ORD-1784"/>
    <x v="3"/>
    <x v="3"/>
    <s v="J. Tetteh"/>
    <x v="44"/>
    <x v="1"/>
    <s v="Table Lamp"/>
    <n v="7"/>
    <n v="88.26"/>
    <n v="0.05"/>
    <n v="586.92999999999995"/>
    <m/>
    <x v="3"/>
    <x v="3"/>
    <n v="586.92899999999997"/>
    <s v="OK"/>
  </r>
  <r>
    <s v="ORD-1047"/>
    <x v="142"/>
    <x v="0"/>
    <s v="J. Tetteh"/>
    <x v="34"/>
    <x v="1"/>
    <s v="Storage Containers"/>
    <n v="8"/>
    <n v="86.07"/>
    <n v="0.05"/>
    <n v="654.13"/>
    <m/>
    <x v="9"/>
    <x v="9"/>
    <n v="654.13199999999995"/>
    <s v="OK"/>
  </r>
  <r>
    <s v="ORD-1203"/>
    <x v="66"/>
    <x v="2"/>
    <s v="S. Addo"/>
    <x v="65"/>
    <x v="2"/>
    <s v="Cooking Oil 1L"/>
    <n v="12"/>
    <n v="51.18"/>
    <n v="0"/>
    <n v="614.16"/>
    <m/>
    <x v="11"/>
    <x v="11"/>
    <n v="614.16"/>
    <s v="OK"/>
  </r>
  <r>
    <s v="ORD-1108"/>
    <x v="149"/>
    <x v="4"/>
    <s v="S. Addo"/>
    <x v="114"/>
    <x v="3"/>
    <s v="Shampoo 400ml"/>
    <n v="10"/>
    <n v="98.32"/>
    <n v="0.1"/>
    <n v="884.88"/>
    <m/>
    <x v="8"/>
    <x v="8"/>
    <n v="884.88"/>
    <s v="OK"/>
  </r>
  <r>
    <s v="ORD-2655"/>
    <x v="83"/>
    <x v="0"/>
    <s v="J. Tetteh"/>
    <x v="177"/>
    <x v="1"/>
    <s v="Storage Containers"/>
    <n v="2"/>
    <n v="106.63"/>
    <n v="0"/>
    <n v="213.26"/>
    <m/>
    <x v="1"/>
    <x v="1"/>
    <n v="213.26"/>
    <s v="OK"/>
  </r>
  <r>
    <s v="ORD-1021"/>
    <x v="257"/>
    <x v="4"/>
    <s v="S. Addo"/>
    <x v="10"/>
    <x v="1"/>
    <s v="Storage Containers"/>
    <n v="12"/>
    <n v="108.64"/>
    <n v="0.1"/>
    <n v="1173.31"/>
    <m/>
    <x v="10"/>
    <x v="10"/>
    <n v="1173.3120000000001"/>
    <s v="OK"/>
  </r>
  <r>
    <s v="ORD-1402"/>
    <x v="21"/>
    <x v="3"/>
    <s v="S. Addo"/>
    <x v="148"/>
    <x v="2"/>
    <s v="Cooking Oil 1L"/>
    <n v="10"/>
    <n v="199.2"/>
    <n v="0"/>
    <n v="1992"/>
    <m/>
    <x v="2"/>
    <x v="2"/>
    <n v="1992"/>
    <s v="OK"/>
  </r>
  <r>
    <s v="ORD-2107"/>
    <x v="351"/>
    <x v="4"/>
    <s v="M. Ansah"/>
    <x v="100"/>
    <x v="4"/>
    <s v="Wireless Earbuds"/>
    <n v="6"/>
    <n v="136.74"/>
    <n v="0"/>
    <n v="820.44"/>
    <m/>
    <x v="4"/>
    <x v="4"/>
    <n v="820.44"/>
    <s v="OK"/>
  </r>
  <r>
    <s v="ORD-2154"/>
    <x v="153"/>
    <x v="4"/>
    <s v="S. Addo"/>
    <x v="62"/>
    <x v="1"/>
    <s v="Storage Containers"/>
    <n v="3"/>
    <n v="153.13"/>
    <n v="0.15"/>
    <n v="390.48"/>
    <m/>
    <x v="3"/>
    <x v="3"/>
    <n v="390.48149999999998"/>
    <s v="OK"/>
  </r>
  <r>
    <s v="ORD-2439"/>
    <x v="2"/>
    <x v="4"/>
    <s v="S. Addo"/>
    <x v="94"/>
    <x v="2"/>
    <s v="Canned Tomatoes"/>
    <n v="10"/>
    <n v="64.41"/>
    <n v="0.05"/>
    <n v="611.89"/>
    <m/>
    <x v="2"/>
    <x v="2"/>
    <n v="611.89499999999987"/>
    <s v="MISMATCH"/>
  </r>
  <r>
    <s v="ORD-1989"/>
    <x v="216"/>
    <x v="2"/>
    <s v="J. Tetteh"/>
    <x v="189"/>
    <x v="0"/>
    <s v="Leather Wallet"/>
    <n v="7"/>
    <n v="56.96"/>
    <n v="0.1"/>
    <n v="358.85"/>
    <m/>
    <x v="2"/>
    <x v="2"/>
    <n v="358.84800000000001"/>
    <s v="OK"/>
  </r>
  <r>
    <s v="ORD-1741"/>
    <x v="158"/>
    <x v="1"/>
    <s v="S. Addo"/>
    <x v="60"/>
    <x v="0"/>
    <s v="Sunglasses"/>
    <n v="9"/>
    <n v="148.36000000000001"/>
    <n v="0"/>
    <n v="1335.24"/>
    <m/>
    <x v="8"/>
    <x v="8"/>
    <n v="1335.2400000000002"/>
    <s v="OK"/>
  </r>
  <r>
    <s v="ORD-2721"/>
    <x v="212"/>
    <x v="3"/>
    <s v="P. Amoah"/>
    <x v="157"/>
    <x v="4"/>
    <s v="Smartphone Case"/>
    <n v="11"/>
    <n v="164.22"/>
    <n v="0"/>
    <n v="1806.42"/>
    <m/>
    <x v="1"/>
    <x v="1"/>
    <n v="1806.42"/>
    <s v="OK"/>
  </r>
  <r>
    <s v="ORD-2310"/>
    <x v="361"/>
    <x v="4"/>
    <s v="P. Amoah"/>
    <x v="168"/>
    <x v="0"/>
    <s v="Denim Jeans"/>
    <n v="3"/>
    <n v="83.05"/>
    <n v="0"/>
    <n v="249.15"/>
    <m/>
    <x v="6"/>
    <x v="6"/>
    <n v="249.14999999999998"/>
    <s v="OK"/>
  </r>
  <r>
    <s v="ORD-2147"/>
    <x v="221"/>
    <x v="3"/>
    <s v="R. Ofori"/>
    <x v="52"/>
    <x v="1"/>
    <s v="Table Lamp"/>
    <n v="2"/>
    <n v="74.02"/>
    <n v="0.05"/>
    <n v="140.63999999999999"/>
    <m/>
    <x v="6"/>
    <x v="6"/>
    <n v="140.63799999999998"/>
    <s v="OK"/>
  </r>
  <r>
    <s v="ORD-1033"/>
    <x v="83"/>
    <x v="0"/>
    <s v="M. Ansah"/>
    <x v="169"/>
    <x v="4"/>
    <s v="Bluetooth Speaker"/>
    <n v="2"/>
    <n v="197.91"/>
    <n v="0.05"/>
    <n v="376.03"/>
    <m/>
    <x v="1"/>
    <x v="1"/>
    <n v="376.029"/>
    <s v="OK"/>
  </r>
  <r>
    <s v="ORD-1787"/>
    <x v="228"/>
    <x v="4"/>
    <s v="P. Amoah"/>
    <x v="175"/>
    <x v="0"/>
    <s v="Cotton T-Shirt"/>
    <n v="10"/>
    <n v="207.49"/>
    <n v="0.05"/>
    <n v="1971.15"/>
    <m/>
    <x v="11"/>
    <x v="11"/>
    <n v="1971.155"/>
    <s v="MISMATCH"/>
  </r>
  <r>
    <s v="ORD-2540"/>
    <x v="47"/>
    <x v="1"/>
    <s v="M. Ansah"/>
    <x v="100"/>
    <x v="4"/>
    <s v="Power Bank"/>
    <n v="1"/>
    <n v="89.02"/>
    <n v="0.1"/>
    <n v="80.12"/>
    <m/>
    <x v="9"/>
    <x v="9"/>
    <n v="80.117999999999995"/>
    <s v="OK"/>
  </r>
  <r>
    <s v="ORD-1923"/>
    <x v="55"/>
    <x v="2"/>
    <s v="R. Ofori"/>
    <x v="34"/>
    <x v="3"/>
    <s v="Hair Oil"/>
    <n v="3"/>
    <n v="58.63"/>
    <n v="0.15"/>
    <n v="149.51"/>
    <m/>
    <x v="8"/>
    <x v="8"/>
    <n v="149.50650000000002"/>
    <s v="OK"/>
  </r>
  <r>
    <s v="ORD-2043"/>
    <x v="63"/>
    <x v="4"/>
    <s v="S. Addo"/>
    <x v="57"/>
    <x v="0"/>
    <s v="Sunglasses"/>
    <n v="6"/>
    <n v="179.72"/>
    <n v="0.1"/>
    <n v="970.49"/>
    <m/>
    <x v="7"/>
    <x v="7"/>
    <n v="970.48799999999994"/>
    <s v="OK"/>
  </r>
  <r>
    <s v="ORD-2756"/>
    <x v="42"/>
    <x v="2"/>
    <s v="M. Ansah"/>
    <x v="102"/>
    <x v="1"/>
    <s v="Non-stick Pan"/>
    <n v="3"/>
    <n v="168.38"/>
    <n v="0.05"/>
    <n v="479.88"/>
    <m/>
    <x v="6"/>
    <x v="6"/>
    <n v="479.88299999999998"/>
    <s v="OK"/>
  </r>
  <r>
    <s v="ORD-2243"/>
    <x v="159"/>
    <x v="2"/>
    <s v="P. Amoah"/>
    <x v="70"/>
    <x v="3"/>
    <s v="Lip Balm Set"/>
    <n v="2"/>
    <n v="15.31"/>
    <n v="0.1"/>
    <n v="27.56"/>
    <m/>
    <x v="3"/>
    <x v="3"/>
    <n v="27.558"/>
    <s v="OK"/>
  </r>
  <r>
    <s v="ORD-1579"/>
    <x v="19"/>
    <x v="3"/>
    <s v="S. Addo"/>
    <x v="22"/>
    <x v="2"/>
    <s v="Pasta Pack"/>
    <n v="4"/>
    <n v="141.63999999999999"/>
    <n v="0"/>
    <n v="566.55999999999995"/>
    <m/>
    <x v="10"/>
    <x v="10"/>
    <n v="566.55999999999995"/>
    <s v="OK"/>
  </r>
  <r>
    <s v="ORD-1481"/>
    <x v="180"/>
    <x v="4"/>
    <s v="R. Ofori"/>
    <x v="57"/>
    <x v="2"/>
    <s v="Pasta Pack"/>
    <n v="12"/>
    <n v="142.49"/>
    <n v="0.1"/>
    <n v="1538.89"/>
    <m/>
    <x v="8"/>
    <x v="8"/>
    <n v="1538.8920000000001"/>
    <s v="OK"/>
  </r>
  <r>
    <s v="ORD-1931"/>
    <x v="149"/>
    <x v="0"/>
    <s v="S. Addo"/>
    <x v="0"/>
    <x v="2"/>
    <s v="Cooking Oil 1L"/>
    <n v="12"/>
    <n v="14.8"/>
    <n v="0.15"/>
    <n v="150.96"/>
    <m/>
    <x v="8"/>
    <x v="8"/>
    <n v="150.96"/>
    <s v="OK"/>
  </r>
  <r>
    <s v="ORD-1356"/>
    <x v="332"/>
    <x v="1"/>
    <s v="J. Tetteh"/>
    <x v="182"/>
    <x v="3"/>
    <s v="Hair Oil"/>
    <n v="8"/>
    <n v="123.35"/>
    <n v="0"/>
    <n v="986.8"/>
    <m/>
    <x v="4"/>
    <x v="4"/>
    <n v="986.8"/>
    <s v="OK"/>
  </r>
  <r>
    <s v="ORD-2685"/>
    <x v="127"/>
    <x v="0"/>
    <s v="R. Ofori"/>
    <x v="142"/>
    <x v="2"/>
    <s v="Canned Tomatoes"/>
    <n v="10"/>
    <n v="176.23"/>
    <n v="0.05"/>
    <n v="1674.18"/>
    <m/>
    <x v="8"/>
    <x v="8"/>
    <n v="1674.1849999999999"/>
    <s v="MISMATCH"/>
  </r>
  <r>
    <s v="ORD-2248"/>
    <x v="280"/>
    <x v="4"/>
    <s v="M. Ansah"/>
    <x v="117"/>
    <x v="0"/>
    <s v="Leather Wallet"/>
    <n v="12"/>
    <n v="29.82"/>
    <n v="0"/>
    <n v="357.84"/>
    <m/>
    <x v="2"/>
    <x v="2"/>
    <n v="357.84000000000003"/>
    <s v="OK"/>
  </r>
  <r>
    <s v="ORD-1759"/>
    <x v="305"/>
    <x v="4"/>
    <s v="P. Amoah"/>
    <x v="130"/>
    <x v="2"/>
    <s v="Canned Tomatoes"/>
    <n v="11"/>
    <n v="88.21"/>
    <n v="0"/>
    <n v="970.31"/>
    <m/>
    <x v="8"/>
    <x v="8"/>
    <n v="970.31"/>
    <s v="OK"/>
  </r>
  <r>
    <s v="ORD-1092"/>
    <x v="15"/>
    <x v="1"/>
    <s v="J. Tetteh"/>
    <x v="20"/>
    <x v="0"/>
    <s v="Cotton T-Shirt"/>
    <n v="12"/>
    <n v="228.1"/>
    <n v="0.05"/>
    <n v="2600.34"/>
    <m/>
    <x v="5"/>
    <x v="5"/>
    <n v="2600.3399999999997"/>
    <s v="OK"/>
  </r>
  <r>
    <s v="ORD-2175"/>
    <x v="309"/>
    <x v="2"/>
    <s v="P. Amoah"/>
    <x v="68"/>
    <x v="3"/>
    <s v="Shea Butter Lotion"/>
    <n v="6"/>
    <n v="59.15"/>
    <n v="0.1"/>
    <n v="319.41000000000003"/>
    <m/>
    <x v="1"/>
    <x v="1"/>
    <n v="319.40999999999997"/>
    <s v="OK"/>
  </r>
  <r>
    <s v="ORD-2415"/>
    <x v="152"/>
    <x v="1"/>
    <s v="M. Ansah"/>
    <x v="179"/>
    <x v="4"/>
    <s v="Power Bank"/>
    <n v="5"/>
    <n v="215.33"/>
    <n v="0"/>
    <n v="1076.6500000000001"/>
    <m/>
    <x v="1"/>
    <x v="1"/>
    <n v="1076.6500000000001"/>
    <s v="OK"/>
  </r>
  <r>
    <s v="ORD-2341"/>
    <x v="268"/>
    <x v="1"/>
    <s v="S. Addo"/>
    <x v="52"/>
    <x v="0"/>
    <s v="Denim Jeans"/>
    <n v="1"/>
    <n v="84.09"/>
    <n v="0"/>
    <n v="84.09"/>
    <m/>
    <x v="11"/>
    <x v="11"/>
    <n v="84.09"/>
    <s v="OK"/>
  </r>
  <r>
    <s v="ORD-2472"/>
    <x v="289"/>
    <x v="2"/>
    <s v="S. Addo"/>
    <x v="118"/>
    <x v="3"/>
    <s v="Shea Butter Lotion"/>
    <n v="2"/>
    <n v="76.900000000000006"/>
    <n v="0"/>
    <n v="153.80000000000001"/>
    <m/>
    <x v="5"/>
    <x v="5"/>
    <n v="153.80000000000001"/>
    <s v="OK"/>
  </r>
  <r>
    <s v="ORD-1803"/>
    <x v="142"/>
    <x v="2"/>
    <s v="J. Tetteh"/>
    <x v="19"/>
    <x v="4"/>
    <s v="Laptop Stand"/>
    <n v="6"/>
    <n v="204.83"/>
    <n v="0.1"/>
    <n v="1106.08"/>
    <m/>
    <x v="9"/>
    <x v="9"/>
    <n v="1106.0820000000001"/>
    <s v="OK"/>
  </r>
  <r>
    <s v="ORD-1745"/>
    <x v="333"/>
    <x v="3"/>
    <s v="P. Amoah"/>
    <x v="134"/>
    <x v="4"/>
    <s v="Wireless Earbuds"/>
    <n v="9"/>
    <n v="191.8"/>
    <n v="0"/>
    <n v="1726.2"/>
    <m/>
    <x v="4"/>
    <x v="4"/>
    <n v="1726.2"/>
    <s v="OK"/>
  </r>
  <r>
    <s v="ORD-2546"/>
    <x v="237"/>
    <x v="4"/>
    <s v="S. Addo"/>
    <x v="110"/>
    <x v="1"/>
    <s v="Electric Kettle"/>
    <n v="3"/>
    <n v="129.72"/>
    <n v="0.05"/>
    <n v="369.7"/>
    <m/>
    <x v="6"/>
    <x v="6"/>
    <n v="369.70199999999994"/>
    <s v="OK"/>
  </r>
  <r>
    <s v="ORD-1279"/>
    <x v="37"/>
    <x v="2"/>
    <s v="J. Tetteh"/>
    <x v="111"/>
    <x v="2"/>
    <s v="Canned Tomatoes"/>
    <n v="5"/>
    <n v="95.08"/>
    <n v="0"/>
    <n v="475.4"/>
    <m/>
    <x v="4"/>
    <x v="4"/>
    <n v="475.4"/>
    <s v="OK"/>
  </r>
  <r>
    <s v="ORD-2607"/>
    <x v="26"/>
    <x v="0"/>
    <s v="S. Addo"/>
    <x v="188"/>
    <x v="4"/>
    <s v="Wireless Earbuds"/>
    <n v="4"/>
    <n v="148.65"/>
    <n v="0"/>
    <n v="594.6"/>
    <m/>
    <x v="3"/>
    <x v="3"/>
    <n v="594.6"/>
    <s v="OK"/>
  </r>
  <r>
    <s v="ORD-1764"/>
    <x v="54"/>
    <x v="3"/>
    <s v="S. Addo"/>
    <x v="106"/>
    <x v="1"/>
    <s v="Electric Kettle"/>
    <n v="8"/>
    <n v="175.22"/>
    <n v="0.1"/>
    <n v="1261.58"/>
    <m/>
    <x v="7"/>
    <x v="7"/>
    <n v="1261.5840000000001"/>
    <s v="OK"/>
  </r>
  <r>
    <s v="ORD-1604"/>
    <x v="103"/>
    <x v="0"/>
    <s v="P. Amoah"/>
    <x v="51"/>
    <x v="0"/>
    <s v="Leather Wallet"/>
    <n v="6"/>
    <n v="168.06"/>
    <n v="0"/>
    <n v="1008.36"/>
    <m/>
    <x v="4"/>
    <x v="4"/>
    <n v="1008.36"/>
    <s v="OK"/>
  </r>
  <r>
    <s v="ORD-2373"/>
    <x v="3"/>
    <x v="1"/>
    <s v="J. Tetteh"/>
    <x v="123"/>
    <x v="3"/>
    <s v="Lip Balm Set"/>
    <n v="5"/>
    <n v="91.12"/>
    <n v="0.15"/>
    <n v="387.26"/>
    <m/>
    <x v="3"/>
    <x v="3"/>
    <n v="387.26"/>
    <s v="OK"/>
  </r>
  <r>
    <s v="ORD-2398"/>
    <x v="117"/>
    <x v="3"/>
    <s v="R. Ofori"/>
    <x v="200"/>
    <x v="2"/>
    <s v="Sugar 1kg"/>
    <n v="3"/>
    <n v="136.66999999999999"/>
    <n v="0"/>
    <n v="410.01"/>
    <m/>
    <x v="1"/>
    <x v="1"/>
    <n v="410.01"/>
    <s v="OK"/>
  </r>
  <r>
    <s v="ORD-1400"/>
    <x v="34"/>
    <x v="4"/>
    <s v="J. Tetteh"/>
    <x v="1"/>
    <x v="0"/>
    <s v="Sneakers"/>
    <n v="9"/>
    <n v="30.29"/>
    <n v="0.15"/>
    <n v="231.72"/>
    <m/>
    <x v="6"/>
    <x v="6"/>
    <n v="231.71850000000001"/>
    <s v="OK"/>
  </r>
  <r>
    <s v="ORD-2728"/>
    <x v="339"/>
    <x v="0"/>
    <s v="J. Tetteh"/>
    <x v="52"/>
    <x v="1"/>
    <s v="Storage Containers"/>
    <n v="9"/>
    <n v="137.28"/>
    <n v="0.1"/>
    <n v="1111.97"/>
    <m/>
    <x v="3"/>
    <x v="3"/>
    <n v="1111.9680000000001"/>
    <s v="OK"/>
  </r>
  <r>
    <s v="ORD-1257"/>
    <x v="123"/>
    <x v="3"/>
    <s v="J. Tetteh"/>
    <x v="9"/>
    <x v="3"/>
    <s v="Shampoo 400ml"/>
    <n v="10"/>
    <n v="135.41"/>
    <n v="0.1"/>
    <n v="1218.69"/>
    <m/>
    <x v="5"/>
    <x v="5"/>
    <n v="1218.69"/>
    <s v="OK"/>
  </r>
  <r>
    <s v="ORD-1944"/>
    <x v="333"/>
    <x v="0"/>
    <s v="M. Ansah"/>
    <x v="190"/>
    <x v="2"/>
    <s v="Canned Tomatoes"/>
    <n v="12"/>
    <n v="91.9"/>
    <n v="0.1"/>
    <n v="992.52"/>
    <m/>
    <x v="4"/>
    <x v="4"/>
    <n v="992.52000000000021"/>
    <s v="OK"/>
  </r>
  <r>
    <s v="ORD-2096"/>
    <x v="164"/>
    <x v="1"/>
    <s v="R. Ofori"/>
    <x v="4"/>
    <x v="0"/>
    <s v="Sneakers"/>
    <n v="12"/>
    <n v="123.42"/>
    <n v="0.1"/>
    <n v="1332.94"/>
    <m/>
    <x v="5"/>
    <x v="5"/>
    <n v="1332.9359999999999"/>
    <s v="OK"/>
  </r>
  <r>
    <s v="ORD-2219"/>
    <x v="115"/>
    <x v="1"/>
    <s v="J. Tetteh"/>
    <x v="6"/>
    <x v="4"/>
    <s v="Smartphone Case"/>
    <n v="7"/>
    <n v="16.39"/>
    <n v="0.1"/>
    <n v="103.26"/>
    <m/>
    <x v="11"/>
    <x v="11"/>
    <n v="103.25700000000001"/>
    <s v="OK"/>
  </r>
  <r>
    <s v="ORD-2507"/>
    <x v="215"/>
    <x v="4"/>
    <s v="P. Amoah"/>
    <x v="117"/>
    <x v="2"/>
    <s v="Cooking Oil 1L"/>
    <n v="10"/>
    <n v="109.1"/>
    <n v="0.05"/>
    <n v="1036.45"/>
    <m/>
    <x v="7"/>
    <x v="7"/>
    <n v="1036.45"/>
    <s v="OK"/>
  </r>
  <r>
    <s v="ORD-2161"/>
    <x v="235"/>
    <x v="3"/>
    <s v="R. Ofori"/>
    <x v="153"/>
    <x v="1"/>
    <s v="Storage Containers"/>
    <n v="4"/>
    <n v="28.76"/>
    <n v="0"/>
    <n v="115.04"/>
    <m/>
    <x v="8"/>
    <x v="8"/>
    <n v="115.04"/>
    <s v="OK"/>
  </r>
  <r>
    <s v="ORD-1494"/>
    <x v="188"/>
    <x v="0"/>
    <s v="P. Amoah"/>
    <x v="85"/>
    <x v="3"/>
    <s v="Shampoo 400ml"/>
    <n v="9"/>
    <n v="21.61"/>
    <n v="0.15"/>
    <n v="165.32"/>
    <m/>
    <x v="11"/>
    <x v="11"/>
    <n v="165.31649999999999"/>
    <s v="OK"/>
  </r>
  <r>
    <s v="ORD-1772"/>
    <x v="289"/>
    <x v="4"/>
    <s v="M. Ansah"/>
    <x v="58"/>
    <x v="1"/>
    <s v="Blender"/>
    <n v="6"/>
    <n v="198.45"/>
    <n v="0"/>
    <n v="1190.7"/>
    <m/>
    <x v="5"/>
    <x v="5"/>
    <n v="1190.6999999999998"/>
    <s v="OK"/>
  </r>
  <r>
    <s v="ORD-1550"/>
    <x v="294"/>
    <x v="2"/>
    <s v="P. Amoah"/>
    <x v="123"/>
    <x v="3"/>
    <s v="Face Wash"/>
    <n v="5"/>
    <n v="165.8"/>
    <n v="0.15"/>
    <n v="704.65"/>
    <m/>
    <x v="11"/>
    <x v="11"/>
    <n v="704.65"/>
    <s v="OK"/>
  </r>
  <r>
    <s v="ORD-2486"/>
    <x v="20"/>
    <x v="0"/>
    <s v="S. Addo"/>
    <x v="33"/>
    <x v="0"/>
    <s v="Sneakers"/>
    <n v="3"/>
    <n v="215.15"/>
    <n v="0"/>
    <n v="645.45000000000005"/>
    <m/>
    <x v="10"/>
    <x v="10"/>
    <n v="645.45000000000005"/>
    <s v="OK"/>
  </r>
  <r>
    <s v="ORD-1201"/>
    <x v="120"/>
    <x v="3"/>
    <s v="J. Tetteh"/>
    <x v="46"/>
    <x v="2"/>
    <s v="Canned Tomatoes"/>
    <n v="6"/>
    <n v="165.12"/>
    <n v="0"/>
    <n v="990.72"/>
    <m/>
    <x v="4"/>
    <x v="4"/>
    <n v="990.72"/>
    <s v="OK"/>
  </r>
  <r>
    <s v="ORD-1312"/>
    <x v="208"/>
    <x v="0"/>
    <s v="S. Addo"/>
    <x v="32"/>
    <x v="2"/>
    <s v="Cooking Oil 1L"/>
    <n v="9"/>
    <n v="105.27"/>
    <n v="0.15"/>
    <n v="805.32"/>
    <m/>
    <x v="7"/>
    <x v="7"/>
    <n v="805.31549999999993"/>
    <s v="OK"/>
  </r>
  <r>
    <s v="ORD-1290"/>
    <x v="146"/>
    <x v="4"/>
    <s v="M. Ansah"/>
    <x v="147"/>
    <x v="2"/>
    <s v="Sugar 1kg"/>
    <n v="12"/>
    <n v="207.46"/>
    <n v="0.1"/>
    <n v="2240.5700000000002"/>
    <m/>
    <x v="4"/>
    <x v="4"/>
    <n v="2240.5680000000002"/>
    <s v="OK"/>
  </r>
  <r>
    <s v="ORD-1763"/>
    <x v="143"/>
    <x v="0"/>
    <s v="M. Ansah"/>
    <x v="139"/>
    <x v="0"/>
    <s v="Cotton T-Shirt"/>
    <n v="9"/>
    <n v="129.24"/>
    <n v="0"/>
    <n v="1163.1600000000001"/>
    <m/>
    <x v="6"/>
    <x v="6"/>
    <n v="1163.1600000000001"/>
    <s v="OK"/>
  </r>
  <r>
    <s v="ORD-2136"/>
    <x v="337"/>
    <x v="2"/>
    <s v="M. Ansah"/>
    <x v="195"/>
    <x v="1"/>
    <s v="Storage Containers"/>
    <n v="3"/>
    <n v="80.34"/>
    <n v="0"/>
    <n v="241.02"/>
    <m/>
    <x v="11"/>
    <x v="11"/>
    <n v="241.02"/>
    <s v="OK"/>
  </r>
  <r>
    <s v="ORD-1949"/>
    <x v="24"/>
    <x v="0"/>
    <s v="S. Addo"/>
    <x v="13"/>
    <x v="2"/>
    <s v="Canned Tomatoes"/>
    <n v="6"/>
    <n v="133.18"/>
    <n v="0"/>
    <n v="799.08"/>
    <m/>
    <x v="5"/>
    <x v="5"/>
    <n v="799.08"/>
    <s v="OK"/>
  </r>
  <r>
    <s v="ORD-1183"/>
    <x v="214"/>
    <x v="1"/>
    <s v="S. Addo"/>
    <x v="18"/>
    <x v="2"/>
    <s v="Sugar 1kg"/>
    <n v="7"/>
    <n v="224.46"/>
    <n v="0"/>
    <n v="1571.22"/>
    <m/>
    <x v="11"/>
    <x v="11"/>
    <n v="1571.22"/>
    <s v="OK"/>
  </r>
  <r>
    <s v="ORD-2176"/>
    <x v="306"/>
    <x v="0"/>
    <s v="R. Ofori"/>
    <x v="48"/>
    <x v="0"/>
    <s v="Denim Jeans"/>
    <n v="12"/>
    <n v="42.84"/>
    <n v="0"/>
    <n v="514.08000000000004"/>
    <m/>
    <x v="10"/>
    <x v="10"/>
    <n v="514.08000000000004"/>
    <s v="OK"/>
  </r>
  <r>
    <s v="ORD-2349"/>
    <x v="179"/>
    <x v="4"/>
    <s v="J. Tetteh"/>
    <x v="90"/>
    <x v="4"/>
    <s v="Wireless Earbuds"/>
    <n v="1"/>
    <n v="147.77000000000001"/>
    <n v="0"/>
    <n v="147.77000000000001"/>
    <m/>
    <x v="7"/>
    <x v="7"/>
    <n v="147.77000000000001"/>
    <s v="OK"/>
  </r>
  <r>
    <s v="ORD-2727"/>
    <x v="29"/>
    <x v="0"/>
    <s v="R. Ofori"/>
    <x v="127"/>
    <x v="0"/>
    <s v="Sunglasses"/>
    <n v="3"/>
    <n v="77.08"/>
    <n v="0.05"/>
    <n v="219.68"/>
    <m/>
    <x v="9"/>
    <x v="9"/>
    <n v="219.678"/>
    <s v="OK"/>
  </r>
  <r>
    <s v="ORD-2068"/>
    <x v="353"/>
    <x v="2"/>
    <s v="J. Tetteh"/>
    <x v="40"/>
    <x v="4"/>
    <s v="Bluetooth Speaker"/>
    <n v="3"/>
    <n v="247.53"/>
    <n v="0.1"/>
    <n v="668.33"/>
    <m/>
    <x v="4"/>
    <x v="4"/>
    <n v="668.33100000000002"/>
    <s v="OK"/>
  </r>
  <r>
    <s v="ORD-2468"/>
    <x v="41"/>
    <x v="4"/>
    <s v="R. Ofori"/>
    <x v="189"/>
    <x v="2"/>
    <s v="Canned Tomatoes"/>
    <n v="11"/>
    <n v="51.59"/>
    <n v="0.05"/>
    <n v="539.12"/>
    <m/>
    <x v="7"/>
    <x v="7"/>
    <n v="539.1155"/>
    <s v="OK"/>
  </r>
  <r>
    <s v="ORD-2030"/>
    <x v="179"/>
    <x v="1"/>
    <s v="M. Ansah"/>
    <x v="76"/>
    <x v="0"/>
    <s v="Denim Jeans"/>
    <n v="6"/>
    <n v="127.71"/>
    <n v="0.1"/>
    <n v="689.63"/>
    <m/>
    <x v="7"/>
    <x v="7"/>
    <n v="689.63400000000001"/>
    <s v="OK"/>
  </r>
  <r>
    <s v="ORD-1250"/>
    <x v="14"/>
    <x v="3"/>
    <s v="M. Ansah"/>
    <x v="94"/>
    <x v="3"/>
    <s v="Hair Oil"/>
    <n v="8"/>
    <n v="108.64"/>
    <n v="0.15"/>
    <n v="738.75"/>
    <m/>
    <x v="5"/>
    <x v="5"/>
    <n v="738.75199999999995"/>
    <s v="OK"/>
  </r>
  <r>
    <s v="ORD-1823"/>
    <x v="145"/>
    <x v="2"/>
    <s v="J. Tetteh"/>
    <x v="192"/>
    <x v="3"/>
    <s v="Shampoo 400ml"/>
    <n v="10"/>
    <n v="102.43"/>
    <n v="0"/>
    <n v="1024.3"/>
    <m/>
    <x v="8"/>
    <x v="8"/>
    <n v="1024.3000000000002"/>
    <s v="OK"/>
  </r>
  <r>
    <s v="ORD-2099"/>
    <x v="133"/>
    <x v="2"/>
    <s v="J. Tetteh"/>
    <x v="12"/>
    <x v="1"/>
    <s v="Storage Containers"/>
    <n v="8"/>
    <n v="156.04"/>
    <n v="0.1"/>
    <n v="1123.49"/>
    <m/>
    <x v="11"/>
    <x v="11"/>
    <n v="1123.4880000000001"/>
    <s v="OK"/>
  </r>
  <r>
    <s v="ORD-2536"/>
    <x v="139"/>
    <x v="2"/>
    <s v="J. Tetteh"/>
    <x v="26"/>
    <x v="3"/>
    <s v="Hair Oil"/>
    <n v="1"/>
    <n v="56.13"/>
    <n v="0"/>
    <n v="56.13"/>
    <m/>
    <x v="2"/>
    <x v="2"/>
    <n v="56.13"/>
    <s v="OK"/>
  </r>
  <r>
    <s v="ORD-1940"/>
    <x v="304"/>
    <x v="4"/>
    <s v="R. Ofori"/>
    <x v="153"/>
    <x v="2"/>
    <s v="Rice 5kg"/>
    <n v="1"/>
    <n v="83.45"/>
    <n v="0.1"/>
    <n v="75.11"/>
    <m/>
    <x v="11"/>
    <x v="11"/>
    <n v="75.105000000000004"/>
    <s v="OK"/>
  </r>
  <r>
    <s v="ORD-1391"/>
    <x v="329"/>
    <x v="4"/>
    <s v="S. Addo"/>
    <x v="74"/>
    <x v="3"/>
    <s v="Shea Butter Lotion"/>
    <n v="8"/>
    <n v="182.77"/>
    <n v="0"/>
    <n v="1462.16"/>
    <m/>
    <x v="0"/>
    <x v="0"/>
    <n v="1462.16"/>
    <s v="OK"/>
  </r>
  <r>
    <s v="ORD-2456"/>
    <x v="355"/>
    <x v="2"/>
    <s v="P. Amoah"/>
    <x v="139"/>
    <x v="3"/>
    <s v="Hair Oil"/>
    <n v="12"/>
    <n v="111.56"/>
    <n v="0"/>
    <n v="1338.72"/>
    <m/>
    <x v="3"/>
    <x v="3"/>
    <n v="1338.72"/>
    <s v="OK"/>
  </r>
  <r>
    <s v="ORD-2092"/>
    <x v="232"/>
    <x v="4"/>
    <s v="R. Ofori"/>
    <x v="148"/>
    <x v="3"/>
    <s v="Shea Butter Lotion"/>
    <n v="1"/>
    <n v="74.36"/>
    <n v="0"/>
    <n v="74.36"/>
    <m/>
    <x v="6"/>
    <x v="6"/>
    <n v="74.36"/>
    <s v="OK"/>
  </r>
  <r>
    <s v="ORD-2191"/>
    <x v="101"/>
    <x v="3"/>
    <s v="M. Ansah"/>
    <x v="156"/>
    <x v="4"/>
    <s v="Laptop Stand"/>
    <n v="4"/>
    <n v="84.32"/>
    <n v="0.05"/>
    <n v="320.42"/>
    <m/>
    <x v="5"/>
    <x v="5"/>
    <n v="320.41599999999994"/>
    <s v="OK"/>
  </r>
  <r>
    <s v="ORD-1904"/>
    <x v="258"/>
    <x v="2"/>
    <s v="J. Tetteh"/>
    <x v="130"/>
    <x v="2"/>
    <s v="Cooking Oil 1L"/>
    <n v="1"/>
    <n v="183.06"/>
    <n v="0.1"/>
    <n v="164.75"/>
    <m/>
    <x v="3"/>
    <x v="3"/>
    <n v="164.75400000000002"/>
    <s v="OK"/>
  </r>
  <r>
    <s v="ORD-1730"/>
    <x v="124"/>
    <x v="0"/>
    <s v="P. Amoah"/>
    <x v="143"/>
    <x v="0"/>
    <s v="Cotton T-Shirt"/>
    <n v="2"/>
    <n v="142.46"/>
    <n v="0.15"/>
    <n v="242.18"/>
    <m/>
    <x v="8"/>
    <x v="8"/>
    <n v="242.18200000000002"/>
    <s v="OK"/>
  </r>
  <r>
    <s v="ORD-1554"/>
    <x v="21"/>
    <x v="2"/>
    <s v="Unassigned"/>
    <x v="51"/>
    <x v="1"/>
    <s v="Storage Containers"/>
    <n v="2"/>
    <n v="162.35"/>
    <n v="0"/>
    <n v="324.7"/>
    <m/>
    <x v="2"/>
    <x v="2"/>
    <n v="324.7"/>
    <s v="OK"/>
  </r>
  <r>
    <s v="ORD-1366"/>
    <x v="53"/>
    <x v="1"/>
    <s v="R. Ofori"/>
    <x v="161"/>
    <x v="2"/>
    <s v="Pasta Pack"/>
    <n v="7"/>
    <n v="140.54"/>
    <n v="0.1"/>
    <n v="885.4"/>
    <m/>
    <x v="6"/>
    <x v="6"/>
    <n v="885.40200000000004"/>
    <s v="OK"/>
  </r>
  <r>
    <s v="ORD-1345"/>
    <x v="248"/>
    <x v="3"/>
    <s v="J. Tetteh"/>
    <x v="134"/>
    <x v="0"/>
    <s v="Denim Jeans"/>
    <n v="3"/>
    <n v="183.16"/>
    <n v="0"/>
    <n v="549.48"/>
    <m/>
    <x v="7"/>
    <x v="7"/>
    <n v="549.48"/>
    <s v="OK"/>
  </r>
  <r>
    <s v="ORD-2608"/>
    <x v="53"/>
    <x v="0"/>
    <s v="M. Ansah"/>
    <x v="53"/>
    <x v="4"/>
    <s v="Smartphone Case"/>
    <n v="1"/>
    <n v="88.28"/>
    <n v="0.1"/>
    <n v="79.45"/>
    <m/>
    <x v="6"/>
    <x v="6"/>
    <n v="79.451999999999998"/>
    <s v="OK"/>
  </r>
  <r>
    <s v="ORD-1535"/>
    <x v="56"/>
    <x v="0"/>
    <s v="P. Amoah"/>
    <x v="14"/>
    <x v="2"/>
    <s v="Cooking Oil 1L"/>
    <n v="6"/>
    <n v="99.04"/>
    <n v="0"/>
    <n v="594.24"/>
    <m/>
    <x v="11"/>
    <x v="11"/>
    <n v="594.24"/>
    <s v="OK"/>
  </r>
  <r>
    <s v="ORD-2422"/>
    <x v="216"/>
    <x v="4"/>
    <s v="P. Amoah"/>
    <x v="76"/>
    <x v="3"/>
    <s v="Hair Oil"/>
    <n v="9"/>
    <n v="189.15"/>
    <n v="0.05"/>
    <n v="1617.23"/>
    <m/>
    <x v="2"/>
    <x v="2"/>
    <n v="1617.2325000000001"/>
    <s v="OK"/>
  </r>
  <r>
    <s v="ORD-2209"/>
    <x v="65"/>
    <x v="0"/>
    <s v="S. Addo"/>
    <x v="49"/>
    <x v="1"/>
    <s v="Table Lamp"/>
    <n v="4"/>
    <n v="166.25"/>
    <n v="0"/>
    <n v="665"/>
    <m/>
    <x v="5"/>
    <x v="5"/>
    <n v="665"/>
    <s v="OK"/>
  </r>
  <r>
    <s v="ORD-2372"/>
    <x v="64"/>
    <x v="2"/>
    <s v="S. Addo"/>
    <x v="103"/>
    <x v="2"/>
    <s v="Rice 5kg"/>
    <n v="7"/>
    <n v="56.07"/>
    <n v="0.1"/>
    <n v="353.24"/>
    <m/>
    <x v="9"/>
    <x v="9"/>
    <n v="353.24100000000004"/>
    <s v="OK"/>
  </r>
  <r>
    <s v="ORD-2639"/>
    <x v="355"/>
    <x v="2"/>
    <s v="P. Amoah"/>
    <x v="109"/>
    <x v="3"/>
    <s v="Lip Balm Set"/>
    <n v="4"/>
    <n v="195.21"/>
    <n v="0.05"/>
    <n v="741.8"/>
    <m/>
    <x v="3"/>
    <x v="3"/>
    <n v="741.798"/>
    <s v="OK"/>
  </r>
  <r>
    <s v="ORD-1919"/>
    <x v="298"/>
    <x v="2"/>
    <s v="M. Ansah"/>
    <x v="25"/>
    <x v="3"/>
    <s v="Shea Butter Lotion"/>
    <n v="2"/>
    <n v="94.48"/>
    <n v="0"/>
    <n v="188.96"/>
    <m/>
    <x v="6"/>
    <x v="6"/>
    <n v="188.96"/>
    <s v="OK"/>
  </r>
  <r>
    <s v="ORD-1211"/>
    <x v="179"/>
    <x v="2"/>
    <s v="R. Ofori"/>
    <x v="71"/>
    <x v="1"/>
    <s v="Table Lamp"/>
    <n v="1"/>
    <n v="79.28"/>
    <n v="0"/>
    <n v="79.28"/>
    <m/>
    <x v="7"/>
    <x v="7"/>
    <n v="79.28"/>
    <s v="OK"/>
  </r>
  <r>
    <s v="ORD-2603"/>
    <x v="82"/>
    <x v="1"/>
    <s v="P. Amoah"/>
    <x v="28"/>
    <x v="0"/>
    <s v="Denim Jeans"/>
    <n v="3"/>
    <n v="103.54"/>
    <n v="0"/>
    <n v="310.62"/>
    <m/>
    <x v="5"/>
    <x v="5"/>
    <n v="310.62"/>
    <s v="OK"/>
  </r>
  <r>
    <s v="ORD-1502"/>
    <x v="201"/>
    <x v="0"/>
    <s v="P. Amoah"/>
    <x v="160"/>
    <x v="2"/>
    <s v="Cooking Oil 1L"/>
    <n v="11"/>
    <n v="118.58"/>
    <n v="0.05"/>
    <n v="1239.1600000000001"/>
    <m/>
    <x v="6"/>
    <x v="6"/>
    <n v="1239.1609999999998"/>
    <s v="OK"/>
  </r>
  <r>
    <s v="ORD-1537"/>
    <x v="132"/>
    <x v="4"/>
    <s v="P. Amoah"/>
    <x v="108"/>
    <x v="3"/>
    <s v="Lip Balm Set"/>
    <n v="7"/>
    <n v="48.16"/>
    <n v="0"/>
    <n v="337.12"/>
    <m/>
    <x v="0"/>
    <x v="0"/>
    <n v="337.12"/>
    <s v="OK"/>
  </r>
  <r>
    <s v="ORD-2220"/>
    <x v="225"/>
    <x v="4"/>
    <s v="M. Ansah"/>
    <x v="191"/>
    <x v="1"/>
    <s v="Blender"/>
    <n v="2"/>
    <n v="247.11"/>
    <n v="0.05"/>
    <n v="469.51"/>
    <m/>
    <x v="0"/>
    <x v="0"/>
    <n v="469.50900000000001"/>
    <s v="OK"/>
  </r>
  <r>
    <s v="ORD-1175"/>
    <x v="77"/>
    <x v="4"/>
    <s v="M. Ansah"/>
    <x v="115"/>
    <x v="3"/>
    <s v="Shea Butter Lotion"/>
    <n v="3"/>
    <n v="132.24"/>
    <n v="0.1"/>
    <n v="357.05"/>
    <m/>
    <x v="2"/>
    <x v="2"/>
    <n v="357.04800000000006"/>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A10AA1-7DF1-48F7-90B9-35DFCDD23BA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9" firstHeaderRow="1" firstDataRow="1" firstDataCol="1"/>
  <pivotFields count="16">
    <pivotField showAll="0"/>
    <pivotField numFmtId="164" showAll="0">
      <items count="366">
        <item x="42"/>
        <item x="140"/>
        <item x="53"/>
        <item x="293"/>
        <item x="178"/>
        <item x="202"/>
        <item x="89"/>
        <item x="110"/>
        <item x="327"/>
        <item x="57"/>
        <item x="271"/>
        <item x="276"/>
        <item x="361"/>
        <item x="118"/>
        <item x="150"/>
        <item x="298"/>
        <item x="119"/>
        <item x="303"/>
        <item x="189"/>
        <item x="334"/>
        <item x="34"/>
        <item x="232"/>
        <item x="151"/>
        <item x="84"/>
        <item x="221"/>
        <item x="156"/>
        <item x="237"/>
        <item x="201"/>
        <item x="131"/>
        <item x="143"/>
        <item x="6"/>
        <item x="288"/>
        <item x="262"/>
        <item x="161"/>
        <item x="121"/>
        <item x="357"/>
        <item x="286"/>
        <item x="0"/>
        <item x="35"/>
        <item x="211"/>
        <item x="207"/>
        <item x="177"/>
        <item x="307"/>
        <item x="30"/>
        <item x="263"/>
        <item x="252"/>
        <item x="217"/>
        <item x="225"/>
        <item x="92"/>
        <item x="132"/>
        <item x="329"/>
        <item x="96"/>
        <item x="295"/>
        <item x="87"/>
        <item x="244"/>
        <item x="199"/>
        <item x="91"/>
        <item x="255"/>
        <item x="233"/>
        <item x="285"/>
        <item x="43"/>
        <item x="273"/>
        <item x="214"/>
        <item x="135"/>
        <item x="297"/>
        <item x="190"/>
        <item x="78"/>
        <item x="222"/>
        <item x="270"/>
        <item x="318"/>
        <item x="261"/>
        <item x="81"/>
        <item x="133"/>
        <item x="115"/>
        <item x="304"/>
        <item x="322"/>
        <item x="181"/>
        <item x="317"/>
        <item x="196"/>
        <item x="66"/>
        <item x="188"/>
        <item x="56"/>
        <item x="136"/>
        <item x="268"/>
        <item x="144"/>
        <item x="245"/>
        <item x="294"/>
        <item x="291"/>
        <item x="337"/>
        <item x="359"/>
        <item x="228"/>
        <item x="108"/>
        <item x="28"/>
        <item x="74"/>
        <item x="186"/>
        <item x="197"/>
        <item x="54"/>
        <item x="130"/>
        <item x="314"/>
        <item x="265"/>
        <item x="260"/>
        <item x="172"/>
        <item x="299"/>
        <item x="48"/>
        <item x="7"/>
        <item x="208"/>
        <item x="179"/>
        <item x="33"/>
        <item x="41"/>
        <item x="125"/>
        <item x="215"/>
        <item x="292"/>
        <item x="63"/>
        <item x="229"/>
        <item x="325"/>
        <item x="226"/>
        <item x="248"/>
        <item x="320"/>
        <item x="88"/>
        <item x="69"/>
        <item x="141"/>
        <item x="203"/>
        <item x="210"/>
        <item x="171"/>
        <item x="27"/>
        <item x="51"/>
        <item x="70"/>
        <item x="281"/>
        <item x="168"/>
        <item x="354"/>
        <item x="279"/>
        <item x="358"/>
        <item x="165"/>
        <item x="1"/>
        <item x="316"/>
        <item x="61"/>
        <item x="83"/>
        <item x="346"/>
        <item x="117"/>
        <item x="267"/>
        <item x="155"/>
        <item x="347"/>
        <item x="348"/>
        <item x="195"/>
        <item x="269"/>
        <item x="36"/>
        <item x="112"/>
        <item x="309"/>
        <item x="212"/>
        <item x="45"/>
        <item x="152"/>
        <item x="160"/>
        <item x="139"/>
        <item x="2"/>
        <item x="352"/>
        <item x="191"/>
        <item x="25"/>
        <item x="250"/>
        <item x="274"/>
        <item x="278"/>
        <item x="205"/>
        <item x="114"/>
        <item x="280"/>
        <item x="129"/>
        <item x="31"/>
        <item x="335"/>
        <item x="275"/>
        <item x="13"/>
        <item x="148"/>
        <item x="194"/>
        <item x="77"/>
        <item x="219"/>
        <item x="32"/>
        <item x="247"/>
        <item x="10"/>
        <item x="338"/>
        <item x="21"/>
        <item x="272"/>
        <item x="80"/>
        <item x="9"/>
        <item x="200"/>
        <item x="216"/>
        <item x="204"/>
        <item x="50"/>
        <item x="290"/>
        <item x="187"/>
        <item x="193"/>
        <item x="282"/>
        <item x="90"/>
        <item x="107"/>
        <item x="349"/>
        <item x="29"/>
        <item x="345"/>
        <item x="68"/>
        <item x="174"/>
        <item x="192"/>
        <item x="154"/>
        <item x="223"/>
        <item x="64"/>
        <item x="100"/>
        <item x="138"/>
        <item x="122"/>
        <item x="105"/>
        <item x="47"/>
        <item x="249"/>
        <item x="183"/>
        <item x="97"/>
        <item x="301"/>
        <item x="231"/>
        <item x="308"/>
        <item x="18"/>
        <item x="287"/>
        <item x="142"/>
        <item x="106"/>
        <item x="19"/>
        <item x="253"/>
        <item x="86"/>
        <item x="323"/>
        <item x="230"/>
        <item x="44"/>
        <item x="360"/>
        <item x="134"/>
        <item x="236"/>
        <item x="98"/>
        <item x="73"/>
        <item x="306"/>
        <item x="95"/>
        <item x="20"/>
        <item x="176"/>
        <item x="234"/>
        <item x="169"/>
        <item x="356"/>
        <item x="257"/>
        <item x="102"/>
        <item x="336"/>
        <item x="319"/>
        <item x="218"/>
        <item x="227"/>
        <item x="342"/>
        <item x="246"/>
        <item x="163"/>
        <item x="162"/>
        <item x="62"/>
        <item x="40"/>
        <item x="241"/>
        <item x="126"/>
        <item x="350"/>
        <item x="300"/>
        <item x="315"/>
        <item x="147"/>
        <item x="26"/>
        <item x="39"/>
        <item x="331"/>
        <item x="256"/>
        <item x="355"/>
        <item x="3"/>
        <item x="153"/>
        <item x="59"/>
        <item x="251"/>
        <item x="243"/>
        <item x="209"/>
        <item x="240"/>
        <item x="340"/>
        <item x="259"/>
        <item x="341"/>
        <item x="159"/>
        <item x="38"/>
        <item x="67"/>
        <item x="166"/>
        <item x="258"/>
        <item x="339"/>
        <item x="11"/>
        <item x="104"/>
        <item x="46"/>
        <item x="289"/>
        <item x="283"/>
        <item x="8"/>
        <item x="24"/>
        <item x="242"/>
        <item x="65"/>
        <item x="254"/>
        <item x="328"/>
        <item x="326"/>
        <item x="116"/>
        <item x="185"/>
        <item x="82"/>
        <item x="321"/>
        <item x="164"/>
        <item x="99"/>
        <item x="15"/>
        <item x="23"/>
        <item x="123"/>
        <item x="101"/>
        <item x="330"/>
        <item x="14"/>
        <item x="128"/>
        <item x="224"/>
        <item x="343"/>
        <item x="264"/>
        <item x="238"/>
        <item x="16"/>
        <item x="310"/>
        <item x="60"/>
        <item x="5"/>
        <item x="239"/>
        <item x="284"/>
        <item x="76"/>
        <item x="277"/>
        <item x="175"/>
        <item x="93"/>
        <item x="235"/>
        <item x="206"/>
        <item x="72"/>
        <item x="22"/>
        <item x="170"/>
        <item x="127"/>
        <item x="55"/>
        <item x="305"/>
        <item x="344"/>
        <item x="149"/>
        <item x="296"/>
        <item x="302"/>
        <item x="124"/>
        <item x="158"/>
        <item x="113"/>
        <item x="157"/>
        <item x="198"/>
        <item x="266"/>
        <item x="184"/>
        <item x="145"/>
        <item x="182"/>
        <item x="17"/>
        <item x="109"/>
        <item x="180"/>
        <item x="58"/>
        <item x="311"/>
        <item x="173"/>
        <item x="71"/>
        <item x="75"/>
        <item x="220"/>
        <item x="364"/>
        <item x="167"/>
        <item x="312"/>
        <item x="37"/>
        <item x="52"/>
        <item x="111"/>
        <item x="213"/>
        <item x="313"/>
        <item x="4"/>
        <item x="120"/>
        <item x="332"/>
        <item x="146"/>
        <item x="49"/>
        <item x="353"/>
        <item x="363"/>
        <item x="351"/>
        <item x="333"/>
        <item x="79"/>
        <item x="94"/>
        <item x="12"/>
        <item x="137"/>
        <item x="324"/>
        <item x="103"/>
        <item x="85"/>
        <item x="362"/>
        <item t="default"/>
      </items>
    </pivotField>
    <pivotField axis="axisRow">
      <items count="6">
        <item x="4"/>
        <item x="1"/>
        <item x="2"/>
        <item x="3"/>
        <item x="0"/>
        <item t="default"/>
      </items>
    </pivotField>
    <pivotField showAll="0"/>
    <pivotField showAll="0"/>
    <pivotField showAll="0">
      <items count="6">
        <item x="3"/>
        <item x="4"/>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E98BEB-A5A1-4FD3-93D4-3A7A17C6D05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C9" firstHeaderRow="0" firstDataRow="1" firstDataCol="1"/>
  <pivotFields count="16">
    <pivotField showAll="0"/>
    <pivotField numFmtId="164" showAll="0">
      <items count="366">
        <item x="42"/>
        <item x="140"/>
        <item x="53"/>
        <item x="293"/>
        <item x="178"/>
        <item x="202"/>
        <item x="89"/>
        <item x="110"/>
        <item x="327"/>
        <item x="57"/>
        <item x="271"/>
        <item x="276"/>
        <item x="361"/>
        <item x="118"/>
        <item x="150"/>
        <item x="298"/>
        <item x="119"/>
        <item x="303"/>
        <item x="189"/>
        <item x="334"/>
        <item x="34"/>
        <item x="232"/>
        <item x="151"/>
        <item x="84"/>
        <item x="221"/>
        <item x="156"/>
        <item x="237"/>
        <item x="201"/>
        <item x="131"/>
        <item x="143"/>
        <item x="6"/>
        <item x="288"/>
        <item x="262"/>
        <item x="161"/>
        <item x="121"/>
        <item x="357"/>
        <item x="286"/>
        <item x="0"/>
        <item x="35"/>
        <item x="211"/>
        <item x="207"/>
        <item x="177"/>
        <item x="307"/>
        <item x="30"/>
        <item x="263"/>
        <item x="252"/>
        <item x="217"/>
        <item x="225"/>
        <item x="92"/>
        <item x="132"/>
        <item x="329"/>
        <item x="96"/>
        <item x="295"/>
        <item x="87"/>
        <item x="244"/>
        <item x="199"/>
        <item x="91"/>
        <item x="255"/>
        <item x="233"/>
        <item x="285"/>
        <item x="43"/>
        <item x="273"/>
        <item x="214"/>
        <item x="135"/>
        <item x="297"/>
        <item x="190"/>
        <item x="78"/>
        <item x="222"/>
        <item x="270"/>
        <item x="318"/>
        <item x="261"/>
        <item x="81"/>
        <item x="133"/>
        <item x="115"/>
        <item x="304"/>
        <item x="322"/>
        <item x="181"/>
        <item x="317"/>
        <item x="196"/>
        <item x="66"/>
        <item x="188"/>
        <item x="56"/>
        <item x="136"/>
        <item x="268"/>
        <item x="144"/>
        <item x="245"/>
        <item x="294"/>
        <item x="291"/>
        <item x="337"/>
        <item x="359"/>
        <item x="228"/>
        <item x="108"/>
        <item x="28"/>
        <item x="74"/>
        <item x="186"/>
        <item x="197"/>
        <item x="54"/>
        <item x="130"/>
        <item x="314"/>
        <item x="265"/>
        <item x="260"/>
        <item x="172"/>
        <item x="299"/>
        <item x="48"/>
        <item x="7"/>
        <item x="208"/>
        <item x="179"/>
        <item x="33"/>
        <item x="41"/>
        <item x="125"/>
        <item x="215"/>
        <item x="292"/>
        <item x="63"/>
        <item x="229"/>
        <item x="325"/>
        <item x="226"/>
        <item x="248"/>
        <item x="320"/>
        <item x="88"/>
        <item x="69"/>
        <item x="141"/>
        <item x="203"/>
        <item x="210"/>
        <item x="171"/>
        <item x="27"/>
        <item x="51"/>
        <item x="70"/>
        <item x="281"/>
        <item x="168"/>
        <item x="354"/>
        <item x="279"/>
        <item x="358"/>
        <item x="165"/>
        <item x="1"/>
        <item x="316"/>
        <item x="61"/>
        <item x="83"/>
        <item x="346"/>
        <item x="117"/>
        <item x="267"/>
        <item x="155"/>
        <item x="347"/>
        <item x="348"/>
        <item x="195"/>
        <item x="269"/>
        <item x="36"/>
        <item x="112"/>
        <item x="309"/>
        <item x="212"/>
        <item x="45"/>
        <item x="152"/>
        <item x="160"/>
        <item x="139"/>
        <item x="2"/>
        <item x="352"/>
        <item x="191"/>
        <item x="25"/>
        <item x="250"/>
        <item x="274"/>
        <item x="278"/>
        <item x="205"/>
        <item x="114"/>
        <item x="280"/>
        <item x="129"/>
        <item x="31"/>
        <item x="335"/>
        <item x="275"/>
        <item x="13"/>
        <item x="148"/>
        <item x="194"/>
        <item x="77"/>
        <item x="219"/>
        <item x="32"/>
        <item x="247"/>
        <item x="10"/>
        <item x="338"/>
        <item x="21"/>
        <item x="272"/>
        <item x="80"/>
        <item x="9"/>
        <item x="200"/>
        <item x="216"/>
        <item x="204"/>
        <item x="50"/>
        <item x="290"/>
        <item x="187"/>
        <item x="193"/>
        <item x="282"/>
        <item x="90"/>
        <item x="107"/>
        <item x="349"/>
        <item x="29"/>
        <item x="345"/>
        <item x="68"/>
        <item x="174"/>
        <item x="192"/>
        <item x="154"/>
        <item x="223"/>
        <item x="64"/>
        <item x="100"/>
        <item x="138"/>
        <item x="122"/>
        <item x="105"/>
        <item x="47"/>
        <item x="249"/>
        <item x="183"/>
        <item x="97"/>
        <item x="301"/>
        <item x="231"/>
        <item x="308"/>
        <item x="18"/>
        <item x="287"/>
        <item x="142"/>
        <item x="106"/>
        <item x="19"/>
        <item x="253"/>
        <item x="86"/>
        <item x="323"/>
        <item x="230"/>
        <item x="44"/>
        <item x="360"/>
        <item x="134"/>
        <item x="236"/>
        <item x="98"/>
        <item x="73"/>
        <item x="306"/>
        <item x="95"/>
        <item x="20"/>
        <item x="176"/>
        <item x="234"/>
        <item x="169"/>
        <item x="356"/>
        <item x="257"/>
        <item x="102"/>
        <item x="336"/>
        <item x="319"/>
        <item x="218"/>
        <item x="227"/>
        <item x="342"/>
        <item x="246"/>
        <item x="163"/>
        <item x="162"/>
        <item x="62"/>
        <item x="40"/>
        <item x="241"/>
        <item x="126"/>
        <item x="350"/>
        <item x="300"/>
        <item x="315"/>
        <item x="147"/>
        <item x="26"/>
        <item x="39"/>
        <item x="331"/>
        <item x="256"/>
        <item x="355"/>
        <item x="3"/>
        <item x="153"/>
        <item x="59"/>
        <item x="251"/>
        <item x="243"/>
        <item x="209"/>
        <item x="240"/>
        <item x="340"/>
        <item x="259"/>
        <item x="341"/>
        <item x="159"/>
        <item x="38"/>
        <item x="67"/>
        <item x="166"/>
        <item x="258"/>
        <item x="339"/>
        <item x="11"/>
        <item x="104"/>
        <item x="46"/>
        <item x="289"/>
        <item x="283"/>
        <item x="8"/>
        <item x="24"/>
        <item x="242"/>
        <item x="65"/>
        <item x="254"/>
        <item x="328"/>
        <item x="326"/>
        <item x="116"/>
        <item x="185"/>
        <item x="82"/>
        <item x="321"/>
        <item x="164"/>
        <item x="99"/>
        <item x="15"/>
        <item x="23"/>
        <item x="123"/>
        <item x="101"/>
        <item x="330"/>
        <item x="14"/>
        <item x="128"/>
        <item x="224"/>
        <item x="343"/>
        <item x="264"/>
        <item x="238"/>
        <item x="16"/>
        <item x="310"/>
        <item x="60"/>
        <item x="5"/>
        <item x="239"/>
        <item x="284"/>
        <item x="76"/>
        <item x="277"/>
        <item x="175"/>
        <item x="93"/>
        <item x="235"/>
        <item x="206"/>
        <item x="72"/>
        <item x="22"/>
        <item x="170"/>
        <item x="127"/>
        <item x="55"/>
        <item x="305"/>
        <item x="344"/>
        <item x="149"/>
        <item x="296"/>
        <item x="302"/>
        <item x="124"/>
        <item x="158"/>
        <item x="113"/>
        <item x="157"/>
        <item x="198"/>
        <item x="266"/>
        <item x="184"/>
        <item x="145"/>
        <item x="182"/>
        <item x="17"/>
        <item x="109"/>
        <item x="180"/>
        <item x="58"/>
        <item x="311"/>
        <item x="173"/>
        <item x="71"/>
        <item x="75"/>
        <item x="220"/>
        <item x="364"/>
        <item x="167"/>
        <item x="312"/>
        <item x="37"/>
        <item x="52"/>
        <item x="111"/>
        <item x="213"/>
        <item x="313"/>
        <item x="4"/>
        <item x="120"/>
        <item x="332"/>
        <item x="146"/>
        <item x="49"/>
        <item x="353"/>
        <item x="363"/>
        <item x="351"/>
        <item x="333"/>
        <item x="79"/>
        <item x="94"/>
        <item x="12"/>
        <item x="137"/>
        <item x="324"/>
        <item x="103"/>
        <item x="85"/>
        <item x="362"/>
        <item t="default"/>
      </items>
    </pivotField>
    <pivotField showAll="0">
      <items count="6">
        <item x="4"/>
        <item x="1"/>
        <item x="2"/>
        <item x="3"/>
        <item x="0"/>
        <item t="default"/>
      </items>
    </pivotField>
    <pivotField showAll="0"/>
    <pivotField showAll="0"/>
    <pivotField axis="axisRow" showAll="0">
      <items count="6">
        <item x="3"/>
        <item x="4"/>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5"/>
  </rowFields>
  <rowItems count="6">
    <i>
      <x/>
    </i>
    <i>
      <x v="1"/>
    </i>
    <i>
      <x v="2"/>
    </i>
    <i>
      <x v="3"/>
    </i>
    <i>
      <x v="4"/>
    </i>
    <i t="grand">
      <x/>
    </i>
  </rowItems>
  <colFields count="1">
    <field x="-2"/>
  </colFields>
  <colItems count="2">
    <i>
      <x/>
    </i>
    <i i="1">
      <x v="1"/>
    </i>
  </colItems>
  <dataFields count="2">
    <dataField name="Sum of Sales" fld="10" baseField="0" baseItem="0"/>
    <dataField name="Order Count" fld="10" subtotal="count" baseField="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4BA6F-A35D-463E-B9D2-AB90432D04E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28" firstHeaderRow="1" firstDataRow="1" firstDataCol="1"/>
  <pivotFields count="16">
    <pivotField showAll="0"/>
    <pivotField numFmtId="164" showAll="0">
      <items count="366">
        <item x="42"/>
        <item x="140"/>
        <item x="53"/>
        <item x="293"/>
        <item x="178"/>
        <item x="202"/>
        <item x="89"/>
        <item x="110"/>
        <item x="327"/>
        <item x="57"/>
        <item x="271"/>
        <item x="276"/>
        <item x="361"/>
        <item x="118"/>
        <item x="150"/>
        <item x="298"/>
        <item x="119"/>
        <item x="303"/>
        <item x="189"/>
        <item x="334"/>
        <item x="34"/>
        <item x="232"/>
        <item x="151"/>
        <item x="84"/>
        <item x="221"/>
        <item x="156"/>
        <item x="237"/>
        <item x="201"/>
        <item x="131"/>
        <item x="143"/>
        <item x="6"/>
        <item x="288"/>
        <item x="262"/>
        <item x="161"/>
        <item x="121"/>
        <item x="357"/>
        <item x="286"/>
        <item x="0"/>
        <item x="35"/>
        <item x="211"/>
        <item x="207"/>
        <item x="177"/>
        <item x="307"/>
        <item x="30"/>
        <item x="263"/>
        <item x="252"/>
        <item x="217"/>
        <item x="225"/>
        <item x="92"/>
        <item x="132"/>
        <item x="329"/>
        <item x="96"/>
        <item x="295"/>
        <item x="87"/>
        <item x="244"/>
        <item x="199"/>
        <item x="91"/>
        <item x="255"/>
        <item x="233"/>
        <item x="285"/>
        <item x="43"/>
        <item x="273"/>
        <item x="214"/>
        <item x="135"/>
        <item x="297"/>
        <item x="190"/>
        <item x="78"/>
        <item x="222"/>
        <item x="270"/>
        <item x="318"/>
        <item x="261"/>
        <item x="81"/>
        <item x="133"/>
        <item x="115"/>
        <item x="304"/>
        <item x="322"/>
        <item x="181"/>
        <item x="317"/>
        <item x="196"/>
        <item x="66"/>
        <item x="188"/>
        <item x="56"/>
        <item x="136"/>
        <item x="268"/>
        <item x="144"/>
        <item x="245"/>
        <item x="294"/>
        <item x="291"/>
        <item x="337"/>
        <item x="359"/>
        <item x="228"/>
        <item x="108"/>
        <item x="28"/>
        <item x="74"/>
        <item x="186"/>
        <item x="197"/>
        <item x="54"/>
        <item x="130"/>
        <item x="314"/>
        <item x="265"/>
        <item x="260"/>
        <item x="172"/>
        <item x="299"/>
        <item x="48"/>
        <item x="7"/>
        <item x="208"/>
        <item x="179"/>
        <item x="33"/>
        <item x="41"/>
        <item x="125"/>
        <item x="215"/>
        <item x="292"/>
        <item x="63"/>
        <item x="229"/>
        <item x="325"/>
        <item x="226"/>
        <item x="248"/>
        <item x="320"/>
        <item x="88"/>
        <item x="69"/>
        <item x="141"/>
        <item x="203"/>
        <item x="210"/>
        <item x="171"/>
        <item x="27"/>
        <item x="51"/>
        <item x="70"/>
        <item x="281"/>
        <item x="168"/>
        <item x="354"/>
        <item x="279"/>
        <item x="358"/>
        <item x="165"/>
        <item x="1"/>
        <item x="316"/>
        <item x="61"/>
        <item x="83"/>
        <item x="346"/>
        <item x="117"/>
        <item x="267"/>
        <item x="155"/>
        <item x="347"/>
        <item x="348"/>
        <item x="195"/>
        <item x="269"/>
        <item x="36"/>
        <item x="112"/>
        <item x="309"/>
        <item x="212"/>
        <item x="45"/>
        <item x="152"/>
        <item x="160"/>
        <item x="139"/>
        <item x="2"/>
        <item x="352"/>
        <item x="191"/>
        <item x="25"/>
        <item x="250"/>
        <item x="274"/>
        <item x="278"/>
        <item x="205"/>
        <item x="114"/>
        <item x="280"/>
        <item x="129"/>
        <item x="31"/>
        <item x="335"/>
        <item x="275"/>
        <item x="13"/>
        <item x="148"/>
        <item x="194"/>
        <item x="77"/>
        <item x="219"/>
        <item x="32"/>
        <item x="247"/>
        <item x="10"/>
        <item x="338"/>
        <item x="21"/>
        <item x="272"/>
        <item x="80"/>
        <item x="9"/>
        <item x="200"/>
        <item x="216"/>
        <item x="204"/>
        <item x="50"/>
        <item x="290"/>
        <item x="187"/>
        <item x="193"/>
        <item x="282"/>
        <item x="90"/>
        <item x="107"/>
        <item x="349"/>
        <item x="29"/>
        <item x="345"/>
        <item x="68"/>
        <item x="174"/>
        <item x="192"/>
        <item x="154"/>
        <item x="223"/>
        <item x="64"/>
        <item x="100"/>
        <item x="138"/>
        <item x="122"/>
        <item x="105"/>
        <item x="47"/>
        <item x="249"/>
        <item x="183"/>
        <item x="97"/>
        <item x="301"/>
        <item x="231"/>
        <item x="308"/>
        <item x="18"/>
        <item x="287"/>
        <item x="142"/>
        <item x="106"/>
        <item x="19"/>
        <item x="253"/>
        <item x="86"/>
        <item x="323"/>
        <item x="230"/>
        <item x="44"/>
        <item x="360"/>
        <item x="134"/>
        <item x="236"/>
        <item x="98"/>
        <item x="73"/>
        <item x="306"/>
        <item x="95"/>
        <item x="20"/>
        <item x="176"/>
        <item x="234"/>
        <item x="169"/>
        <item x="356"/>
        <item x="257"/>
        <item x="102"/>
        <item x="336"/>
        <item x="319"/>
        <item x="218"/>
        <item x="227"/>
        <item x="342"/>
        <item x="246"/>
        <item x="163"/>
        <item x="162"/>
        <item x="62"/>
        <item x="40"/>
        <item x="241"/>
        <item x="126"/>
        <item x="350"/>
        <item x="300"/>
        <item x="315"/>
        <item x="147"/>
        <item x="26"/>
        <item x="39"/>
        <item x="331"/>
        <item x="256"/>
        <item x="355"/>
        <item x="3"/>
        <item x="153"/>
        <item x="59"/>
        <item x="251"/>
        <item x="243"/>
        <item x="209"/>
        <item x="240"/>
        <item x="340"/>
        <item x="259"/>
        <item x="341"/>
        <item x="159"/>
        <item x="38"/>
        <item x="67"/>
        <item x="166"/>
        <item x="258"/>
        <item x="339"/>
        <item x="11"/>
        <item x="104"/>
        <item x="46"/>
        <item x="289"/>
        <item x="283"/>
        <item x="8"/>
        <item x="24"/>
        <item x="242"/>
        <item x="65"/>
        <item x="254"/>
        <item x="328"/>
        <item x="326"/>
        <item x="116"/>
        <item x="185"/>
        <item x="82"/>
        <item x="321"/>
        <item x="164"/>
        <item x="99"/>
        <item x="15"/>
        <item x="23"/>
        <item x="123"/>
        <item x="101"/>
        <item x="330"/>
        <item x="14"/>
        <item x="128"/>
        <item x="224"/>
        <item x="343"/>
        <item x="264"/>
        <item x="238"/>
        <item x="16"/>
        <item x="310"/>
        <item x="60"/>
        <item x="5"/>
        <item x="239"/>
        <item x="284"/>
        <item x="76"/>
        <item x="277"/>
        <item x="175"/>
        <item x="93"/>
        <item x="235"/>
        <item x="206"/>
        <item x="72"/>
        <item x="22"/>
        <item x="170"/>
        <item x="127"/>
        <item x="55"/>
        <item x="305"/>
        <item x="344"/>
        <item x="149"/>
        <item x="296"/>
        <item x="302"/>
        <item x="124"/>
        <item x="158"/>
        <item x="113"/>
        <item x="157"/>
        <item x="198"/>
        <item x="266"/>
        <item x="184"/>
        <item x="145"/>
        <item x="182"/>
        <item x="17"/>
        <item x="109"/>
        <item x="180"/>
        <item x="58"/>
        <item x="311"/>
        <item x="173"/>
        <item x="71"/>
        <item x="75"/>
        <item x="220"/>
        <item x="364"/>
        <item x="167"/>
        <item x="312"/>
        <item x="37"/>
        <item x="52"/>
        <item x="111"/>
        <item x="213"/>
        <item x="313"/>
        <item x="4"/>
        <item x="120"/>
        <item x="332"/>
        <item x="146"/>
        <item x="49"/>
        <item x="353"/>
        <item x="363"/>
        <item x="351"/>
        <item x="333"/>
        <item x="79"/>
        <item x="94"/>
        <item x="12"/>
        <item x="137"/>
        <item x="324"/>
        <item x="103"/>
        <item x="85"/>
        <item x="362"/>
        <item t="default"/>
      </items>
    </pivotField>
    <pivotField showAll="0">
      <items count="6">
        <item x="4"/>
        <item x="1"/>
        <item x="2"/>
        <item x="3"/>
        <item x="0"/>
        <item t="default"/>
      </items>
    </pivotField>
    <pivotField showAll="0"/>
    <pivotField showAll="0"/>
    <pivotField showAll="0">
      <items count="6">
        <item x="3"/>
        <item x="4"/>
        <item x="0"/>
        <item x="2"/>
        <item x="1"/>
        <item t="default"/>
      </items>
    </pivotField>
    <pivotField showAll="0"/>
    <pivotField showAll="0"/>
    <pivotField showAll="0"/>
    <pivotField showAll="0"/>
    <pivotField dataField="1" showAll="0"/>
    <pivotField showAll="0"/>
    <pivotField axis="axisRow" showAll="0">
      <items count="13">
        <item x="6"/>
        <item x="0"/>
        <item x="11"/>
        <item x="7"/>
        <item x="1"/>
        <item x="2"/>
        <item x="9"/>
        <item x="10"/>
        <item x="3"/>
        <item x="5"/>
        <item x="8"/>
        <item x="4"/>
        <item t="default"/>
      </items>
    </pivotField>
    <pivotField axis="axisRow">
      <items count="13">
        <item x="6"/>
        <item x="0"/>
        <item x="11"/>
        <item x="7"/>
        <item x="1"/>
        <item x="2"/>
        <item x="9"/>
        <item x="10"/>
        <item x="3"/>
        <item x="5"/>
        <item x="8"/>
        <item x="4"/>
        <item t="default"/>
      </items>
    </pivotField>
    <pivotField showAll="0"/>
    <pivotField showAll="0"/>
  </pivotFields>
  <rowFields count="2">
    <field x="13"/>
    <field x="12"/>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Items count="1">
    <i/>
  </colItems>
  <dataFields count="1">
    <dataField name="Sum of Sales" fld="10"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4A20E3-7AF4-4378-B4A0-DEAF532AD93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205" firstHeaderRow="1" firstDataRow="1" firstDataCol="1"/>
  <pivotFields count="16">
    <pivotField showAll="0"/>
    <pivotField numFmtId="164" showAll="0">
      <items count="366">
        <item x="42"/>
        <item x="140"/>
        <item x="53"/>
        <item x="293"/>
        <item x="178"/>
        <item x="202"/>
        <item x="89"/>
        <item x="110"/>
        <item x="327"/>
        <item x="57"/>
        <item x="271"/>
        <item x="276"/>
        <item x="361"/>
        <item x="118"/>
        <item x="150"/>
        <item x="298"/>
        <item x="119"/>
        <item x="303"/>
        <item x="189"/>
        <item x="334"/>
        <item x="34"/>
        <item x="232"/>
        <item x="151"/>
        <item x="84"/>
        <item x="221"/>
        <item x="156"/>
        <item x="237"/>
        <item x="201"/>
        <item x="131"/>
        <item x="143"/>
        <item x="6"/>
        <item x="288"/>
        <item x="262"/>
        <item x="161"/>
        <item x="121"/>
        <item x="357"/>
        <item x="286"/>
        <item x="0"/>
        <item x="35"/>
        <item x="211"/>
        <item x="207"/>
        <item x="177"/>
        <item x="307"/>
        <item x="30"/>
        <item x="263"/>
        <item x="252"/>
        <item x="217"/>
        <item x="225"/>
        <item x="92"/>
        <item x="132"/>
        <item x="329"/>
        <item x="96"/>
        <item x="295"/>
        <item x="87"/>
        <item x="244"/>
        <item x="199"/>
        <item x="91"/>
        <item x="255"/>
        <item x="233"/>
        <item x="285"/>
        <item x="43"/>
        <item x="273"/>
        <item x="214"/>
        <item x="135"/>
        <item x="297"/>
        <item x="190"/>
        <item x="78"/>
        <item x="222"/>
        <item x="270"/>
        <item x="318"/>
        <item x="261"/>
        <item x="81"/>
        <item x="133"/>
        <item x="115"/>
        <item x="304"/>
        <item x="322"/>
        <item x="181"/>
        <item x="317"/>
        <item x="196"/>
        <item x="66"/>
        <item x="188"/>
        <item x="56"/>
        <item x="136"/>
        <item x="268"/>
        <item x="144"/>
        <item x="245"/>
        <item x="294"/>
        <item x="291"/>
        <item x="337"/>
        <item x="359"/>
        <item x="228"/>
        <item x="108"/>
        <item x="28"/>
        <item x="74"/>
        <item x="186"/>
        <item x="197"/>
        <item x="54"/>
        <item x="130"/>
        <item x="314"/>
        <item x="265"/>
        <item x="260"/>
        <item x="172"/>
        <item x="299"/>
        <item x="48"/>
        <item x="7"/>
        <item x="208"/>
        <item x="179"/>
        <item x="33"/>
        <item x="41"/>
        <item x="125"/>
        <item x="215"/>
        <item x="292"/>
        <item x="63"/>
        <item x="229"/>
        <item x="325"/>
        <item x="226"/>
        <item x="248"/>
        <item x="320"/>
        <item x="88"/>
        <item x="69"/>
        <item x="141"/>
        <item x="203"/>
        <item x="210"/>
        <item x="171"/>
        <item x="27"/>
        <item x="51"/>
        <item x="70"/>
        <item x="281"/>
        <item x="168"/>
        <item x="354"/>
        <item x="279"/>
        <item x="358"/>
        <item x="165"/>
        <item x="1"/>
        <item x="316"/>
        <item x="61"/>
        <item x="83"/>
        <item x="346"/>
        <item x="117"/>
        <item x="267"/>
        <item x="155"/>
        <item x="347"/>
        <item x="348"/>
        <item x="195"/>
        <item x="269"/>
        <item x="36"/>
        <item x="112"/>
        <item x="309"/>
        <item x="212"/>
        <item x="45"/>
        <item x="152"/>
        <item x="160"/>
        <item x="139"/>
        <item x="2"/>
        <item x="352"/>
        <item x="191"/>
        <item x="25"/>
        <item x="250"/>
        <item x="274"/>
        <item x="278"/>
        <item x="205"/>
        <item x="114"/>
        <item x="280"/>
        <item x="129"/>
        <item x="31"/>
        <item x="335"/>
        <item x="275"/>
        <item x="13"/>
        <item x="148"/>
        <item x="194"/>
        <item x="77"/>
        <item x="219"/>
        <item x="32"/>
        <item x="247"/>
        <item x="10"/>
        <item x="338"/>
        <item x="21"/>
        <item x="272"/>
        <item x="80"/>
        <item x="9"/>
        <item x="200"/>
        <item x="216"/>
        <item x="204"/>
        <item x="50"/>
        <item x="290"/>
        <item x="187"/>
        <item x="193"/>
        <item x="282"/>
        <item x="90"/>
        <item x="107"/>
        <item x="349"/>
        <item x="29"/>
        <item x="345"/>
        <item x="68"/>
        <item x="174"/>
        <item x="192"/>
        <item x="154"/>
        <item x="223"/>
        <item x="64"/>
        <item x="100"/>
        <item x="138"/>
        <item x="122"/>
        <item x="105"/>
        <item x="47"/>
        <item x="249"/>
        <item x="183"/>
        <item x="97"/>
        <item x="301"/>
        <item x="231"/>
        <item x="308"/>
        <item x="18"/>
        <item x="287"/>
        <item x="142"/>
        <item x="106"/>
        <item x="19"/>
        <item x="253"/>
        <item x="86"/>
        <item x="323"/>
        <item x="230"/>
        <item x="44"/>
        <item x="360"/>
        <item x="134"/>
        <item x="236"/>
        <item x="98"/>
        <item x="73"/>
        <item x="306"/>
        <item x="95"/>
        <item x="20"/>
        <item x="176"/>
        <item x="234"/>
        <item x="169"/>
        <item x="356"/>
        <item x="257"/>
        <item x="102"/>
        <item x="336"/>
        <item x="319"/>
        <item x="218"/>
        <item x="227"/>
        <item x="342"/>
        <item x="246"/>
        <item x="163"/>
        <item x="162"/>
        <item x="62"/>
        <item x="40"/>
        <item x="241"/>
        <item x="126"/>
        <item x="350"/>
        <item x="300"/>
        <item x="315"/>
        <item x="147"/>
        <item x="26"/>
        <item x="39"/>
        <item x="331"/>
        <item x="256"/>
        <item x="355"/>
        <item x="3"/>
        <item x="153"/>
        <item x="59"/>
        <item x="251"/>
        <item x="243"/>
        <item x="209"/>
        <item x="240"/>
        <item x="340"/>
        <item x="259"/>
        <item x="341"/>
        <item x="159"/>
        <item x="38"/>
        <item x="67"/>
        <item x="166"/>
        <item x="258"/>
        <item x="339"/>
        <item x="11"/>
        <item x="104"/>
        <item x="46"/>
        <item x="289"/>
        <item x="283"/>
        <item x="8"/>
        <item x="24"/>
        <item x="242"/>
        <item x="65"/>
        <item x="254"/>
        <item x="328"/>
        <item x="326"/>
        <item x="116"/>
        <item x="185"/>
        <item x="82"/>
        <item x="321"/>
        <item x="164"/>
        <item x="99"/>
        <item x="15"/>
        <item x="23"/>
        <item x="123"/>
        <item x="101"/>
        <item x="330"/>
        <item x="14"/>
        <item x="128"/>
        <item x="224"/>
        <item x="343"/>
        <item x="264"/>
        <item x="238"/>
        <item x="16"/>
        <item x="310"/>
        <item x="60"/>
        <item x="5"/>
        <item x="239"/>
        <item x="284"/>
        <item x="76"/>
        <item x="277"/>
        <item x="175"/>
        <item x="93"/>
        <item x="235"/>
        <item x="206"/>
        <item x="72"/>
        <item x="22"/>
        <item x="170"/>
        <item x="127"/>
        <item x="55"/>
        <item x="305"/>
        <item x="344"/>
        <item x="149"/>
        <item x="296"/>
        <item x="302"/>
        <item x="124"/>
        <item x="158"/>
        <item x="113"/>
        <item x="157"/>
        <item x="198"/>
        <item x="266"/>
        <item x="184"/>
        <item x="145"/>
        <item x="182"/>
        <item x="17"/>
        <item x="109"/>
        <item x="180"/>
        <item x="58"/>
        <item x="311"/>
        <item x="173"/>
        <item x="71"/>
        <item x="75"/>
        <item x="220"/>
        <item x="364"/>
        <item x="167"/>
        <item x="312"/>
        <item x="37"/>
        <item x="52"/>
        <item x="111"/>
        <item x="213"/>
        <item x="313"/>
        <item x="4"/>
        <item x="120"/>
        <item x="332"/>
        <item x="146"/>
        <item x="49"/>
        <item x="353"/>
        <item x="363"/>
        <item x="351"/>
        <item x="333"/>
        <item x="79"/>
        <item x="94"/>
        <item x="12"/>
        <item x="137"/>
        <item x="324"/>
        <item x="103"/>
        <item x="85"/>
        <item x="362"/>
        <item t="default"/>
      </items>
    </pivotField>
    <pivotField showAll="0">
      <items count="6">
        <item x="4"/>
        <item x="1"/>
        <item x="2"/>
        <item x="3"/>
        <item x="0"/>
        <item t="default"/>
      </items>
    </pivotField>
    <pivotField showAll="0"/>
    <pivotField axis="axisRow" showAll="0" sortType="descending">
      <items count="202">
        <item x="61"/>
        <item x="132"/>
        <item x="129"/>
        <item x="100"/>
        <item x="79"/>
        <item x="156"/>
        <item x="112"/>
        <item x="151"/>
        <item x="176"/>
        <item x="74"/>
        <item x="75"/>
        <item x="28"/>
        <item x="89"/>
        <item x="84"/>
        <item x="38"/>
        <item x="150"/>
        <item x="200"/>
        <item x="158"/>
        <item x="65"/>
        <item x="99"/>
        <item x="174"/>
        <item x="190"/>
        <item x="146"/>
        <item x="165"/>
        <item x="137"/>
        <item x="25"/>
        <item x="35"/>
        <item x="149"/>
        <item x="1"/>
        <item x="30"/>
        <item x="103"/>
        <item x="117"/>
        <item x="67"/>
        <item x="14"/>
        <item x="171"/>
        <item x="58"/>
        <item x="180"/>
        <item x="64"/>
        <item x="52"/>
        <item x="152"/>
        <item x="160"/>
        <item x="95"/>
        <item x="13"/>
        <item x="72"/>
        <item x="85"/>
        <item x="94"/>
        <item x="133"/>
        <item x="83"/>
        <item x="198"/>
        <item x="166"/>
        <item x="63"/>
        <item x="196"/>
        <item x="16"/>
        <item x="51"/>
        <item x="2"/>
        <item x="5"/>
        <item x="134"/>
        <item x="143"/>
        <item x="163"/>
        <item x="175"/>
        <item x="87"/>
        <item x="145"/>
        <item x="113"/>
        <item x="157"/>
        <item x="188"/>
        <item x="73"/>
        <item x="40"/>
        <item x="115"/>
        <item x="123"/>
        <item x="32"/>
        <item x="185"/>
        <item x="199"/>
        <item x="17"/>
        <item x="21"/>
        <item x="109"/>
        <item x="182"/>
        <item x="41"/>
        <item x="8"/>
        <item x="3"/>
        <item x="49"/>
        <item x="186"/>
        <item x="189"/>
        <item x="105"/>
        <item x="119"/>
        <item x="122"/>
        <item x="144"/>
        <item x="55"/>
        <item x="45"/>
        <item x="183"/>
        <item x="147"/>
        <item x="0"/>
        <item x="42"/>
        <item x="96"/>
        <item x="118"/>
        <item x="184"/>
        <item x="97"/>
        <item x="169"/>
        <item x="172"/>
        <item x="88"/>
        <item x="53"/>
        <item x="193"/>
        <item x="142"/>
        <item x="110"/>
        <item x="80"/>
        <item x="62"/>
        <item x="124"/>
        <item x="60"/>
        <item x="194"/>
        <item x="179"/>
        <item x="102"/>
        <item x="22"/>
        <item x="91"/>
        <item x="81"/>
        <item x="4"/>
        <item x="114"/>
        <item x="92"/>
        <item x="59"/>
        <item x="162"/>
        <item x="104"/>
        <item x="187"/>
        <item x="82"/>
        <item x="159"/>
        <item x="31"/>
        <item x="9"/>
        <item x="131"/>
        <item x="90"/>
        <item x="127"/>
        <item x="181"/>
        <item x="57"/>
        <item x="106"/>
        <item x="48"/>
        <item x="138"/>
        <item x="173"/>
        <item x="12"/>
        <item x="125"/>
        <item x="54"/>
        <item x="70"/>
        <item x="37"/>
        <item x="29"/>
        <item x="178"/>
        <item x="121"/>
        <item x="197"/>
        <item x="191"/>
        <item x="66"/>
        <item x="195"/>
        <item x="170"/>
        <item x="10"/>
        <item x="177"/>
        <item x="6"/>
        <item x="192"/>
        <item x="86"/>
        <item x="98"/>
        <item x="108"/>
        <item x="93"/>
        <item x="27"/>
        <item x="47"/>
        <item x="130"/>
        <item x="136"/>
        <item x="140"/>
        <item x="7"/>
        <item x="168"/>
        <item x="116"/>
        <item x="111"/>
        <item x="101"/>
        <item x="161"/>
        <item x="139"/>
        <item x="148"/>
        <item x="135"/>
        <item x="76"/>
        <item x="11"/>
        <item x="20"/>
        <item x="33"/>
        <item x="23"/>
        <item x="120"/>
        <item x="77"/>
        <item x="155"/>
        <item x="46"/>
        <item x="141"/>
        <item x="128"/>
        <item x="24"/>
        <item x="19"/>
        <item x="18"/>
        <item x="26"/>
        <item x="39"/>
        <item x="71"/>
        <item x="153"/>
        <item x="78"/>
        <item x="50"/>
        <item x="126"/>
        <item x="15"/>
        <item x="56"/>
        <item x="44"/>
        <item x="154"/>
        <item x="167"/>
        <item x="34"/>
        <item x="68"/>
        <item x="43"/>
        <item x="164"/>
        <item x="107"/>
        <item x="69"/>
        <item x="36"/>
        <item t="default"/>
      </items>
      <autoSortScope>
        <pivotArea dataOnly="0" outline="0" fieldPosition="0">
          <references count="1">
            <reference field="4294967294" count="1" selected="0">
              <x v="0"/>
            </reference>
          </references>
        </pivotArea>
      </autoSortScope>
    </pivotField>
    <pivotField showAll="0">
      <items count="6">
        <item x="3"/>
        <item x="4"/>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4"/>
  </rowFields>
  <rowItems count="202">
    <i>
      <x v="180"/>
    </i>
    <i>
      <x v="13"/>
    </i>
    <i>
      <x v="88"/>
    </i>
    <i>
      <x v="63"/>
    </i>
    <i>
      <x v="200"/>
    </i>
    <i>
      <x v="91"/>
    </i>
    <i>
      <x v="56"/>
    </i>
    <i>
      <x v="25"/>
    </i>
    <i>
      <x v="176"/>
    </i>
    <i>
      <x v="164"/>
    </i>
    <i>
      <x v="77"/>
    </i>
    <i>
      <x v="134"/>
    </i>
    <i>
      <x v="39"/>
    </i>
    <i>
      <x v="83"/>
    </i>
    <i>
      <x v="5"/>
    </i>
    <i>
      <x v="118"/>
    </i>
    <i>
      <x v="90"/>
    </i>
    <i>
      <x v="182"/>
    </i>
    <i>
      <x v="181"/>
    </i>
    <i>
      <x v="11"/>
    </i>
    <i>
      <x v="46"/>
    </i>
    <i>
      <x v="152"/>
    </i>
    <i>
      <x v="135"/>
    </i>
    <i>
      <x v="58"/>
    </i>
    <i>
      <x v="138"/>
    </i>
    <i>
      <x v="26"/>
    </i>
    <i>
      <x v="18"/>
    </i>
    <i>
      <x v="173"/>
    </i>
    <i>
      <x v="101"/>
    </i>
    <i>
      <x v="6"/>
    </i>
    <i>
      <x v="158"/>
    </i>
    <i>
      <x v="142"/>
    </i>
    <i>
      <x v="146"/>
    </i>
    <i>
      <x v="114"/>
    </i>
    <i>
      <x v="84"/>
    </i>
    <i>
      <x v="111"/>
    </i>
    <i>
      <x v="133"/>
    </i>
    <i>
      <x v="60"/>
    </i>
    <i>
      <x v="97"/>
    </i>
    <i>
      <x v="106"/>
    </i>
    <i>
      <x v="23"/>
    </i>
    <i>
      <x v="157"/>
    </i>
    <i>
      <x v="179"/>
    </i>
    <i>
      <x v="166"/>
    </i>
    <i>
      <x v="69"/>
    </i>
    <i>
      <x v="52"/>
    </i>
    <i>
      <x v="45"/>
    </i>
    <i>
      <x v="186"/>
    </i>
    <i>
      <x v="102"/>
    </i>
    <i>
      <x v="116"/>
    </i>
    <i>
      <x v="85"/>
    </i>
    <i>
      <x v="148"/>
    </i>
    <i>
      <x v="49"/>
    </i>
    <i>
      <x v="32"/>
    </i>
    <i>
      <x v="198"/>
    </i>
    <i>
      <x v="67"/>
    </i>
    <i>
      <x v="191"/>
    </i>
    <i>
      <x v="76"/>
    </i>
    <i>
      <x v="168"/>
    </i>
    <i>
      <x v="73"/>
    </i>
    <i>
      <x v="99"/>
    </i>
    <i>
      <x v="89"/>
    </i>
    <i>
      <x v="112"/>
    </i>
    <i>
      <x v="151"/>
    </i>
    <i>
      <x v="171"/>
    </i>
    <i>
      <x v="113"/>
    </i>
    <i>
      <x v="104"/>
    </i>
    <i>
      <x v="57"/>
    </i>
    <i>
      <x v="169"/>
    </i>
    <i>
      <x v="147"/>
    </i>
    <i>
      <x v="28"/>
    </i>
    <i>
      <x v="98"/>
    </i>
    <i>
      <x v="129"/>
    </i>
    <i>
      <x v="109"/>
    </i>
    <i>
      <x v="87"/>
    </i>
    <i>
      <x v="150"/>
    </i>
    <i>
      <x v="41"/>
    </i>
    <i>
      <x v="30"/>
    </i>
    <i>
      <x v="194"/>
    </i>
    <i>
      <x v="37"/>
    </i>
    <i>
      <x v="136"/>
    </i>
    <i>
      <x v="124"/>
    </i>
    <i>
      <x v="82"/>
    </i>
    <i>
      <x v="1"/>
    </i>
    <i>
      <x v="66"/>
    </i>
    <i>
      <x v="190"/>
    </i>
    <i>
      <x v="81"/>
    </i>
    <i>
      <x v="80"/>
    </i>
    <i>
      <x v="123"/>
    </i>
    <i>
      <x v="155"/>
    </i>
    <i>
      <x v="40"/>
    </i>
    <i>
      <x v="145"/>
    </i>
    <i>
      <x v="156"/>
    </i>
    <i>
      <x v="197"/>
    </i>
    <i>
      <x v="15"/>
    </i>
    <i>
      <x v="122"/>
    </i>
    <i>
      <x v="42"/>
    </i>
    <i>
      <x v="195"/>
    </i>
    <i>
      <x v="110"/>
    </i>
    <i>
      <x v="78"/>
    </i>
    <i>
      <x v="137"/>
    </i>
    <i>
      <x v="62"/>
    </i>
    <i>
      <x v="72"/>
    </i>
    <i>
      <x v="196"/>
    </i>
    <i>
      <x v="189"/>
    </i>
    <i>
      <x v="86"/>
    </i>
    <i>
      <x v="43"/>
    </i>
    <i>
      <x v="55"/>
    </i>
    <i>
      <x v="100"/>
    </i>
    <i>
      <x v="74"/>
    </i>
    <i>
      <x v="192"/>
    </i>
    <i>
      <x v="140"/>
    </i>
    <i>
      <x v="153"/>
    </i>
    <i>
      <x v="79"/>
    </i>
    <i>
      <x v="12"/>
    </i>
    <i>
      <x v="162"/>
    </i>
    <i>
      <x v="120"/>
    </i>
    <i>
      <x v="131"/>
    </i>
    <i>
      <x v="103"/>
    </i>
    <i>
      <x v="7"/>
    </i>
    <i>
      <x v="160"/>
    </i>
    <i>
      <x v="38"/>
    </i>
    <i>
      <x v="128"/>
    </i>
    <i>
      <x v="199"/>
    </i>
    <i>
      <x v="165"/>
    </i>
    <i>
      <x v="27"/>
    </i>
    <i>
      <x v="51"/>
    </i>
    <i>
      <x v="65"/>
    </i>
    <i>
      <x v="50"/>
    </i>
    <i>
      <x v="33"/>
    </i>
    <i>
      <x v="20"/>
    </i>
    <i>
      <x v="132"/>
    </i>
    <i>
      <x v="119"/>
    </i>
    <i>
      <x v="159"/>
    </i>
    <i>
      <x v="143"/>
    </i>
    <i>
      <x v="53"/>
    </i>
    <i>
      <x v="8"/>
    </i>
    <i>
      <x v="35"/>
    </i>
    <i>
      <x v="121"/>
    </i>
    <i>
      <x v="64"/>
    </i>
    <i>
      <x v="47"/>
    </i>
    <i>
      <x v="170"/>
    </i>
    <i>
      <x v="29"/>
    </i>
    <i>
      <x v="185"/>
    </i>
    <i>
      <x v="75"/>
    </i>
    <i>
      <x v="184"/>
    </i>
    <i>
      <x v="172"/>
    </i>
    <i>
      <x v="183"/>
    </i>
    <i>
      <x v="154"/>
    </i>
    <i>
      <x v="96"/>
    </i>
    <i>
      <x v="17"/>
    </i>
    <i>
      <x v="31"/>
    </i>
    <i>
      <x v="9"/>
    </i>
    <i>
      <x v="4"/>
    </i>
    <i>
      <x v="19"/>
    </i>
    <i>
      <x v="163"/>
    </i>
    <i>
      <x v="2"/>
    </i>
    <i>
      <x v="22"/>
    </i>
    <i>
      <x v="93"/>
    </i>
    <i>
      <x v="174"/>
    </i>
    <i>
      <x v="10"/>
    </i>
    <i>
      <x v="92"/>
    </i>
    <i>
      <x v="117"/>
    </i>
    <i>
      <x v="175"/>
    </i>
    <i>
      <x v="54"/>
    </i>
    <i>
      <x v="139"/>
    </i>
    <i>
      <x v="108"/>
    </i>
    <i>
      <x v="71"/>
    </i>
    <i>
      <x v="61"/>
    </i>
    <i>
      <x v="59"/>
    </i>
    <i>
      <x v="3"/>
    </i>
    <i>
      <x v="44"/>
    </i>
    <i>
      <x v="177"/>
    </i>
    <i>
      <x v="107"/>
    </i>
    <i>
      <x v="21"/>
    </i>
    <i>
      <x v="24"/>
    </i>
    <i>
      <x v="70"/>
    </i>
    <i>
      <x v="149"/>
    </i>
    <i>
      <x v="167"/>
    </i>
    <i>
      <x v="36"/>
    </i>
    <i>
      <x v="161"/>
    </i>
    <i>
      <x v="126"/>
    </i>
    <i>
      <x v="188"/>
    </i>
    <i>
      <x v="94"/>
    </i>
    <i>
      <x v="144"/>
    </i>
    <i>
      <x v="68"/>
    </i>
    <i>
      <x v="95"/>
    </i>
    <i>
      <x v="34"/>
    </i>
    <i>
      <x v="105"/>
    </i>
    <i>
      <x v="193"/>
    </i>
    <i>
      <x v="48"/>
    </i>
    <i>
      <x v="130"/>
    </i>
    <i>
      <x v="125"/>
    </i>
    <i>
      <x v="127"/>
    </i>
    <i>
      <x v="14"/>
    </i>
    <i>
      <x/>
    </i>
    <i>
      <x v="187"/>
    </i>
    <i>
      <x v="115"/>
    </i>
    <i>
      <x v="178"/>
    </i>
    <i>
      <x v="16"/>
    </i>
    <i>
      <x v="141"/>
    </i>
    <i t="grand">
      <x/>
    </i>
  </rowItems>
  <colItems count="1">
    <i/>
  </colItems>
  <dataFields count="1">
    <dataField name="Sum of Sales" fld="10"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B8AFC1-E022-4949-B176-15C3333FBFBA}" sourceName="Region">
  <pivotTables>
    <pivotTable tabId="3" name="PivotTable1"/>
    <pivotTable tabId="4" name="PivotTable2"/>
    <pivotTable tabId="5" name="PivotTable3"/>
    <pivotTable tabId="6" name="PivotTable4"/>
  </pivotTables>
  <data>
    <tabular pivotCacheId="881075963">
      <items count="5">
        <i x="4" s="1"/>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23541F-2398-4B4A-8E85-427948A2EB54}" sourceName="Category">
  <pivotTables>
    <pivotTable tabId="4" name="PivotTable2"/>
    <pivotTable tabId="5" name="PivotTable3"/>
    <pivotTable tabId="3" name="PivotTable1"/>
    <pivotTable tabId="6" name="PivotTable4"/>
  </pivotTables>
  <data>
    <tabular pivotCacheId="881075963">
      <items count="5">
        <i x="3"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7241BD-1BAB-4D82-922B-5A368F97DC68}" cache="Slicer_Region" caption="Region" style="SlicerStyleLight2" rowHeight="251883"/>
  <slicer name="Category" xr10:uid="{71F24B2C-17A6-40DA-803F-C84127D289D3}" cache="Slicer_Category" caption="Category"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89369-D436-44E2-8825-24F5ABF0368D}" name="SalesData" displayName="SalesData" ref="A1:P1808" totalsRowShown="0">
  <autoFilter ref="A1:P1808" xr:uid="{86B89369-D436-44E2-8825-24F5ABF0368D}"/>
  <tableColumns count="16">
    <tableColumn id="1" xr3:uid="{FE4A9A59-3357-41F8-A94B-8E2AAE6602E5}" name="OrderID"/>
    <tableColumn id="2" xr3:uid="{5BD97A03-6075-4489-91BF-67B41F6F9801}" name="Order Date" dataDxfId="0"/>
    <tableColumn id="3" xr3:uid="{C386551A-D0AF-43A1-ADA8-7B5E4619D36F}" name="Region"/>
    <tableColumn id="4" xr3:uid="{2A614ED8-2761-41F6-BA35-204DCE36CA31}" name="Sales Rep"/>
    <tableColumn id="5" xr3:uid="{495BBFFD-5D4F-43D5-BCA7-5495B6DB32B1}" name="Customer Name"/>
    <tableColumn id="6" xr3:uid="{B5859368-4617-4F5D-9B71-A98D109609FA}" name="Category"/>
    <tableColumn id="7" xr3:uid="{CE16A4F2-BABD-4E55-8AC6-BF5462D19D71}" name="Product"/>
    <tableColumn id="8" xr3:uid="{AC983835-503C-49E5-B5FC-CD9CF85177E7}" name="Quantity"/>
    <tableColumn id="9" xr3:uid="{0AB1F0EC-444B-4651-BFDF-3960720A61F3}" name="Unit Price"/>
    <tableColumn id="10" xr3:uid="{3AFD5ED3-2E86-420F-B88C-C6AD5696AFB1}" name="Discount"/>
    <tableColumn id="11" xr3:uid="{216D092C-35C3-4F95-A328-4D65CF9D091F}" name="Sales"/>
    <tableColumn id="12" xr3:uid="{90540907-066F-4D19-BBBC-390336A642B0}" name="Column1"/>
    <tableColumn id="13" xr3:uid="{22B3A5B3-89CD-4B92-9D8F-199474D42ED3}" name="Month">
      <calculatedColumnFormula>TEXT(B2,"mmm")</calculatedColumnFormula>
    </tableColumn>
    <tableColumn id="14" xr3:uid="{E16F3BB8-F0AE-46EB-8EF0-0ACE73FD1853}" name="Month Number">
      <calculatedColumnFormula>MONTH(B2)</calculatedColumnFormula>
    </tableColumn>
    <tableColumn id="15" xr3:uid="{80A8F25E-F3D9-465D-A0FC-2D75011882AE}" name="Revenue Check">
      <calculatedColumnFormula>H2*I2*(1-J2)</calculatedColumnFormula>
    </tableColumn>
    <tableColumn id="16" xr3:uid="{5C4B4236-CDD7-4C17-8D90-7F6EF77E42EA}" name="Sales Comparism">
      <calculatedColumnFormula>IF(ROUND(K2,2)=ROUND(O2,2),"OK","MISMATCH")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B203C22-946E-4989-86CC-980884AAAF63}" sourceName="Order Date">
  <pivotTables>
    <pivotTable tabId="5" name="PivotTable3"/>
    <pivotTable tabId="4" name="PivotTable2"/>
    <pivotTable tabId="3" name="PivotTable1"/>
    <pivotTable tabId="6" name="PivotTable4"/>
  </pivotTables>
  <state minimalRefreshVersion="6" lastRefreshVersion="6" pivotCacheId="88107596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869A7AF-6CD1-4A36-8A8C-A668B0E48022}" cache="NativeTimeline_Order_Date" caption="Order Date" level="2" selectionLevel="2" scrollPosition="2024-01-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10279-E0E4-47F1-AE52-650165DA9C90}">
  <dimension ref="D4:L5"/>
  <sheetViews>
    <sheetView showGridLines="0" tabSelected="1" topLeftCell="B1" zoomScale="45" zoomScaleNormal="70" workbookViewId="0">
      <selection activeCell="AI5" sqref="AI5"/>
    </sheetView>
  </sheetViews>
  <sheetFormatPr defaultRowHeight="14.5" x14ac:dyDescent="0.35"/>
  <cols>
    <col min="4" max="4" width="28.7265625" bestFit="1" customWidth="1"/>
    <col min="7" max="7" width="17.81640625" bestFit="1" customWidth="1"/>
    <col min="10" max="10" width="21.453125" bestFit="1" customWidth="1"/>
    <col min="12" max="12" width="14.26953125" bestFit="1" customWidth="1"/>
  </cols>
  <sheetData>
    <row r="4" spans="4:12" x14ac:dyDescent="0.35">
      <c r="D4" s="7" t="s">
        <v>2240</v>
      </c>
      <c r="G4" s="7" t="s">
        <v>2241</v>
      </c>
      <c r="J4" s="7" t="s">
        <v>2242</v>
      </c>
      <c r="L4" s="7" t="s">
        <v>2243</v>
      </c>
    </row>
    <row r="5" spans="4:12" ht="31" x14ac:dyDescent="0.7">
      <c r="D5" s="8">
        <f>GETPIVOTDATA("Sales",Pivot_Region!$A$3)</f>
        <v>1469672.5900000003</v>
      </c>
      <c r="G5" s="9">
        <f>GETPIVOTDATA("Order Count",Pivot_Category!$A$3)</f>
        <v>1807</v>
      </c>
      <c r="J5" s="8">
        <f>D5/G5</f>
        <v>813.32185390149436</v>
      </c>
      <c r="L5" s="9" t="str">
        <f>INDEX(Pivot_Region!A4:A8,MATCH(MAX(Pivot_Region!B4:B8),Pivot_Region!B4:B8,0))</f>
        <v>South</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991C-040D-478D-BB56-D01D1C76ED11}">
  <dimension ref="A1:K1831"/>
  <sheetViews>
    <sheetView topLeftCell="A977" workbookViewId="0"/>
  </sheetViews>
  <sheetFormatPr defaultRowHeight="14.5" x14ac:dyDescent="0.35"/>
  <cols>
    <col min="1" max="1" width="9.1796875" bestFit="1" customWidth="1"/>
    <col min="2" max="2" width="10.08984375" bestFit="1" customWidth="1"/>
    <col min="3" max="3" width="6.81640625" bestFit="1" customWidth="1"/>
    <col min="4" max="4" width="8.6328125" bestFit="1" customWidth="1"/>
    <col min="5" max="5" width="15.90625" bestFit="1" customWidth="1"/>
    <col min="6" max="6" width="13.7265625" bestFit="1" customWidth="1"/>
    <col min="7" max="7" width="16.36328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s="1">
        <v>45329</v>
      </c>
      <c r="C2" t="s">
        <v>12</v>
      </c>
      <c r="D2" t="s">
        <v>13</v>
      </c>
      <c r="E2" t="s">
        <v>14</v>
      </c>
      <c r="F2" t="s">
        <v>15</v>
      </c>
      <c r="G2" t="s">
        <v>16</v>
      </c>
      <c r="H2">
        <v>7</v>
      </c>
      <c r="I2">
        <v>195.39</v>
      </c>
      <c r="J2">
        <v>0.05</v>
      </c>
      <c r="K2">
        <v>1299.3399999999999</v>
      </c>
    </row>
    <row r="3" spans="1:11" x14ac:dyDescent="0.35">
      <c r="A3" t="s">
        <v>17</v>
      </c>
      <c r="B3" s="1">
        <v>45425</v>
      </c>
      <c r="C3" t="s">
        <v>18</v>
      </c>
      <c r="D3" t="s">
        <v>19</v>
      </c>
      <c r="E3" t="s">
        <v>20</v>
      </c>
      <c r="F3" t="s">
        <v>21</v>
      </c>
      <c r="G3" t="s">
        <v>22</v>
      </c>
      <c r="H3">
        <v>5</v>
      </c>
      <c r="I3">
        <v>142.69999999999999</v>
      </c>
      <c r="J3">
        <v>0.05</v>
      </c>
      <c r="K3">
        <v>677.82</v>
      </c>
    </row>
    <row r="4" spans="1:11" x14ac:dyDescent="0.35">
      <c r="A4" t="s">
        <v>23</v>
      </c>
      <c r="B4" s="2">
        <v>45445</v>
      </c>
      <c r="C4" t="s">
        <v>24</v>
      </c>
      <c r="D4" t="s">
        <v>25</v>
      </c>
      <c r="E4" t="s">
        <v>26</v>
      </c>
      <c r="F4" t="s">
        <v>15</v>
      </c>
      <c r="G4" t="s">
        <v>27</v>
      </c>
      <c r="H4">
        <v>2</v>
      </c>
      <c r="I4">
        <v>229.61</v>
      </c>
      <c r="J4">
        <v>0.15</v>
      </c>
      <c r="K4">
        <v>390.34</v>
      </c>
    </row>
    <row r="5" spans="1:11" x14ac:dyDescent="0.35">
      <c r="A5" t="s">
        <v>28</v>
      </c>
      <c r="B5" s="1">
        <v>45547</v>
      </c>
      <c r="C5" t="s">
        <v>29</v>
      </c>
      <c r="D5" t="s">
        <v>19</v>
      </c>
      <c r="E5" t="s">
        <v>30</v>
      </c>
      <c r="F5" t="s">
        <v>15</v>
      </c>
      <c r="G5" t="s">
        <v>16</v>
      </c>
      <c r="H5">
        <v>6</v>
      </c>
      <c r="I5">
        <v>192.04</v>
      </c>
      <c r="J5">
        <v>0.1</v>
      </c>
      <c r="K5">
        <v>1037.02</v>
      </c>
    </row>
    <row r="6" spans="1:11" x14ac:dyDescent="0.35">
      <c r="A6" t="s">
        <v>31</v>
      </c>
      <c r="B6" t="s">
        <v>32</v>
      </c>
      <c r="C6" t="s">
        <v>33</v>
      </c>
      <c r="D6" t="s">
        <v>13</v>
      </c>
      <c r="E6" t="s">
        <v>34</v>
      </c>
      <c r="F6" t="s">
        <v>35</v>
      </c>
      <c r="G6" t="s">
        <v>36</v>
      </c>
      <c r="H6">
        <v>3</v>
      </c>
      <c r="I6">
        <v>193.36</v>
      </c>
      <c r="J6">
        <v>0.1</v>
      </c>
      <c r="K6">
        <v>522.07000000000005</v>
      </c>
    </row>
    <row r="7" spans="1:11" x14ac:dyDescent="0.35">
      <c r="A7" t="s">
        <v>37</v>
      </c>
      <c r="B7" s="2">
        <v>45595</v>
      </c>
      <c r="C7" t="s">
        <v>38</v>
      </c>
      <c r="D7" t="s">
        <v>19</v>
      </c>
      <c r="E7" t="s">
        <v>39</v>
      </c>
      <c r="F7" t="s">
        <v>21</v>
      </c>
      <c r="G7" t="s">
        <v>22</v>
      </c>
      <c r="H7">
        <v>2</v>
      </c>
      <c r="I7">
        <v>214.03</v>
      </c>
      <c r="J7">
        <v>0</v>
      </c>
      <c r="K7">
        <v>428.06</v>
      </c>
    </row>
    <row r="8" spans="1:11" x14ac:dyDescent="0.35">
      <c r="A8" t="s">
        <v>40</v>
      </c>
      <c r="B8" s="1">
        <v>45322</v>
      </c>
      <c r="C8" t="s">
        <v>41</v>
      </c>
      <c r="D8" t="s">
        <v>42</v>
      </c>
      <c r="E8" t="s">
        <v>43</v>
      </c>
      <c r="F8" t="s">
        <v>44</v>
      </c>
      <c r="G8" t="s">
        <v>45</v>
      </c>
      <c r="H8">
        <v>12</v>
      </c>
      <c r="I8">
        <v>203.86</v>
      </c>
      <c r="J8">
        <v>0</v>
      </c>
      <c r="K8">
        <v>2446.3200000000002</v>
      </c>
    </row>
    <row r="9" spans="1:11" x14ac:dyDescent="0.35">
      <c r="A9" t="s">
        <v>46</v>
      </c>
      <c r="B9" t="s">
        <v>47</v>
      </c>
      <c r="C9" t="s">
        <v>48</v>
      </c>
      <c r="D9" t="s">
        <v>25</v>
      </c>
      <c r="E9" t="s">
        <v>49</v>
      </c>
      <c r="F9" t="s">
        <v>44</v>
      </c>
      <c r="G9" t="s">
        <v>50</v>
      </c>
      <c r="H9">
        <v>3</v>
      </c>
      <c r="I9">
        <v>96.46</v>
      </c>
      <c r="J9">
        <v>0</v>
      </c>
      <c r="K9">
        <v>289.38</v>
      </c>
    </row>
    <row r="10" spans="1:11" x14ac:dyDescent="0.35">
      <c r="A10" t="s">
        <v>51</v>
      </c>
      <c r="B10" s="2">
        <v>45568</v>
      </c>
      <c r="C10" t="s">
        <v>24</v>
      </c>
      <c r="D10" t="s">
        <v>19</v>
      </c>
      <c r="E10" t="s">
        <v>52</v>
      </c>
      <c r="F10" t="s">
        <v>53</v>
      </c>
      <c r="G10" t="s">
        <v>54</v>
      </c>
      <c r="H10">
        <v>11</v>
      </c>
      <c r="I10">
        <v>234.58</v>
      </c>
      <c r="J10">
        <v>0</v>
      </c>
      <c r="K10">
        <v>2580.38</v>
      </c>
    </row>
    <row r="11" spans="1:11" x14ac:dyDescent="0.35">
      <c r="A11" t="s">
        <v>55</v>
      </c>
      <c r="B11" s="1">
        <v>45471</v>
      </c>
      <c r="C11" t="s">
        <v>56</v>
      </c>
      <c r="D11" t="s">
        <v>57</v>
      </c>
      <c r="E11" t="s">
        <v>58</v>
      </c>
      <c r="F11" t="s">
        <v>53</v>
      </c>
      <c r="G11" t="s">
        <v>59</v>
      </c>
      <c r="H11">
        <v>12</v>
      </c>
      <c r="I11">
        <v>197.82</v>
      </c>
      <c r="J11">
        <v>0</v>
      </c>
      <c r="K11">
        <v>2373.84</v>
      </c>
    </row>
    <row r="12" spans="1:11" x14ac:dyDescent="0.35">
      <c r="A12" t="s">
        <v>60</v>
      </c>
      <c r="B12" t="s">
        <v>61</v>
      </c>
      <c r="C12" t="s">
        <v>38</v>
      </c>
      <c r="D12" t="s">
        <v>57</v>
      </c>
      <c r="E12" t="s">
        <v>62</v>
      </c>
      <c r="F12" t="s">
        <v>53</v>
      </c>
      <c r="G12" t="s">
        <v>63</v>
      </c>
      <c r="H12">
        <v>3</v>
      </c>
      <c r="I12">
        <v>114.53</v>
      </c>
      <c r="J12">
        <v>0.15</v>
      </c>
      <c r="K12">
        <v>292.05</v>
      </c>
    </row>
    <row r="13" spans="1:11" x14ac:dyDescent="0.35">
      <c r="A13" t="s">
        <v>64</v>
      </c>
      <c r="B13" s="1">
        <v>45563</v>
      </c>
      <c r="C13" t="s">
        <v>65</v>
      </c>
      <c r="D13" t="s">
        <v>42</v>
      </c>
      <c r="E13" t="s">
        <v>66</v>
      </c>
      <c r="F13" t="s">
        <v>35</v>
      </c>
      <c r="G13" t="s">
        <v>67</v>
      </c>
      <c r="H13">
        <v>3</v>
      </c>
      <c r="I13">
        <v>106.21</v>
      </c>
      <c r="J13">
        <v>0</v>
      </c>
      <c r="K13">
        <v>318.63</v>
      </c>
    </row>
    <row r="14" spans="1:11" x14ac:dyDescent="0.35">
      <c r="A14" t="s">
        <v>68</v>
      </c>
      <c r="B14" s="1">
        <v>45651</v>
      </c>
      <c r="C14" t="s">
        <v>48</v>
      </c>
      <c r="D14" t="s">
        <v>57</v>
      </c>
      <c r="E14" t="s">
        <v>69</v>
      </c>
      <c r="F14" t="s">
        <v>21</v>
      </c>
      <c r="G14" t="s">
        <v>70</v>
      </c>
      <c r="H14">
        <v>6</v>
      </c>
      <c r="I14">
        <v>51.11</v>
      </c>
      <c r="J14">
        <v>0</v>
      </c>
      <c r="K14">
        <v>306.66000000000003</v>
      </c>
    </row>
    <row r="15" spans="1:11" x14ac:dyDescent="0.35">
      <c r="A15" t="s">
        <v>71</v>
      </c>
      <c r="B15" s="1">
        <v>45459</v>
      </c>
      <c r="C15" t="s">
        <v>72</v>
      </c>
      <c r="D15" t="s">
        <v>25</v>
      </c>
      <c r="E15" t="s">
        <v>73</v>
      </c>
      <c r="F15" t="s">
        <v>15</v>
      </c>
      <c r="G15" t="s">
        <v>74</v>
      </c>
      <c r="H15">
        <v>3</v>
      </c>
      <c r="I15">
        <v>99.91</v>
      </c>
      <c r="J15">
        <v>0</v>
      </c>
      <c r="K15">
        <v>299.73</v>
      </c>
    </row>
    <row r="16" spans="1:11" x14ac:dyDescent="0.35">
      <c r="A16" t="s">
        <v>75</v>
      </c>
      <c r="B16" t="s">
        <v>76</v>
      </c>
      <c r="C16" t="s">
        <v>12</v>
      </c>
      <c r="D16" t="s">
        <v>25</v>
      </c>
      <c r="E16" t="s">
        <v>77</v>
      </c>
      <c r="F16" t="s">
        <v>53</v>
      </c>
      <c r="G16" t="s">
        <v>59</v>
      </c>
      <c r="H16">
        <v>5</v>
      </c>
      <c r="I16">
        <v>244.95</v>
      </c>
      <c r="J16">
        <v>0</v>
      </c>
      <c r="K16">
        <v>1224.75</v>
      </c>
    </row>
    <row r="17" spans="1:11" x14ac:dyDescent="0.35">
      <c r="A17" t="s">
        <v>78</v>
      </c>
      <c r="B17" s="1">
        <v>45581</v>
      </c>
      <c r="C17" t="s">
        <v>79</v>
      </c>
      <c r="D17" t="s">
        <v>19</v>
      </c>
      <c r="E17" t="s">
        <v>80</v>
      </c>
      <c r="F17" t="s">
        <v>15</v>
      </c>
      <c r="G17" t="s">
        <v>16</v>
      </c>
      <c r="H17">
        <v>3</v>
      </c>
      <c r="I17">
        <v>100.15</v>
      </c>
      <c r="J17">
        <v>0</v>
      </c>
      <c r="K17">
        <v>300.45</v>
      </c>
    </row>
    <row r="18" spans="1:11" x14ac:dyDescent="0.35">
      <c r="A18" t="s">
        <v>81</v>
      </c>
      <c r="B18" s="1">
        <v>45592</v>
      </c>
      <c r="C18" t="s">
        <v>56</v>
      </c>
      <c r="D18" t="s">
        <v>13</v>
      </c>
      <c r="E18" t="s">
        <v>82</v>
      </c>
      <c r="F18" t="s">
        <v>35</v>
      </c>
      <c r="G18" t="s">
        <v>83</v>
      </c>
      <c r="H18">
        <v>7</v>
      </c>
      <c r="I18">
        <v>133.22</v>
      </c>
      <c r="J18">
        <v>0.05</v>
      </c>
      <c r="K18">
        <v>885.91</v>
      </c>
    </row>
    <row r="19" spans="1:11" x14ac:dyDescent="0.35">
      <c r="A19" t="s">
        <v>84</v>
      </c>
      <c r="B19" s="1">
        <v>45623</v>
      </c>
      <c r="C19" t="s">
        <v>56</v>
      </c>
      <c r="D19" t="s">
        <v>13</v>
      </c>
      <c r="E19" t="s">
        <v>85</v>
      </c>
      <c r="F19" t="s">
        <v>44</v>
      </c>
      <c r="G19" t="s">
        <v>86</v>
      </c>
      <c r="H19">
        <v>4</v>
      </c>
      <c r="I19">
        <v>142.38999999999999</v>
      </c>
      <c r="J19">
        <v>0</v>
      </c>
      <c r="K19">
        <v>569.55999999999995</v>
      </c>
    </row>
    <row r="20" spans="1:11" x14ac:dyDescent="0.35">
      <c r="A20" t="s">
        <v>87</v>
      </c>
      <c r="B20" s="2">
        <v>45502</v>
      </c>
      <c r="C20" t="s">
        <v>12</v>
      </c>
      <c r="D20" t="s">
        <v>57</v>
      </c>
      <c r="E20" t="s">
        <v>88</v>
      </c>
      <c r="F20" t="s">
        <v>35</v>
      </c>
      <c r="G20" t="s">
        <v>83</v>
      </c>
      <c r="H20">
        <v>3</v>
      </c>
      <c r="I20">
        <v>239.09</v>
      </c>
      <c r="J20">
        <v>0</v>
      </c>
      <c r="K20">
        <v>717.27</v>
      </c>
    </row>
    <row r="21" spans="1:11" x14ac:dyDescent="0.35">
      <c r="A21" t="s">
        <v>89</v>
      </c>
      <c r="B21" s="2">
        <v>45651</v>
      </c>
      <c r="C21" t="s">
        <v>90</v>
      </c>
      <c r="D21" t="s">
        <v>42</v>
      </c>
      <c r="F21" t="s">
        <v>53</v>
      </c>
      <c r="G21" t="s">
        <v>54</v>
      </c>
      <c r="H21">
        <v>2</v>
      </c>
      <c r="I21">
        <v>139.63999999999999</v>
      </c>
      <c r="J21">
        <v>0.05</v>
      </c>
      <c r="K21">
        <v>265.32</v>
      </c>
    </row>
    <row r="22" spans="1:11" x14ac:dyDescent="0.35">
      <c r="A22" t="s">
        <v>91</v>
      </c>
      <c r="B22" t="s">
        <v>92</v>
      </c>
      <c r="C22" t="s">
        <v>72</v>
      </c>
      <c r="D22" t="s">
        <v>57</v>
      </c>
      <c r="E22" t="s">
        <v>93</v>
      </c>
      <c r="F22" t="s">
        <v>44</v>
      </c>
      <c r="G22" t="s">
        <v>94</v>
      </c>
      <c r="H22">
        <v>8</v>
      </c>
      <c r="I22">
        <v>14.93</v>
      </c>
      <c r="J22">
        <v>0</v>
      </c>
      <c r="K22">
        <v>119.44</v>
      </c>
    </row>
    <row r="23" spans="1:11" x14ac:dyDescent="0.35">
      <c r="A23" t="s">
        <v>95</v>
      </c>
      <c r="B23" s="2">
        <v>45506</v>
      </c>
      <c r="C23" t="s">
        <v>90</v>
      </c>
      <c r="D23" t="s">
        <v>25</v>
      </c>
      <c r="E23" t="s">
        <v>96</v>
      </c>
      <c r="F23" t="s">
        <v>53</v>
      </c>
      <c r="G23" t="s">
        <v>63</v>
      </c>
      <c r="H23">
        <v>6</v>
      </c>
      <c r="I23">
        <v>49.86</v>
      </c>
      <c r="J23">
        <v>0.05</v>
      </c>
      <c r="K23">
        <v>284.2</v>
      </c>
    </row>
    <row r="24" spans="1:11" x14ac:dyDescent="0.35">
      <c r="A24" t="s">
        <v>97</v>
      </c>
      <c r="B24" s="1">
        <v>45519</v>
      </c>
      <c r="C24" t="s">
        <v>72</v>
      </c>
      <c r="D24" t="s">
        <v>25</v>
      </c>
      <c r="E24" t="s">
        <v>58</v>
      </c>
      <c r="F24" t="s">
        <v>53</v>
      </c>
      <c r="G24" t="s">
        <v>59</v>
      </c>
      <c r="H24">
        <v>10</v>
      </c>
      <c r="I24">
        <v>202.7</v>
      </c>
      <c r="J24">
        <v>0</v>
      </c>
      <c r="K24">
        <v>2027</v>
      </c>
    </row>
    <row r="25" spans="1:11" x14ac:dyDescent="0.35">
      <c r="A25" t="s">
        <v>98</v>
      </c>
      <c r="B25" t="s">
        <v>99</v>
      </c>
      <c r="C25" t="s">
        <v>90</v>
      </c>
      <c r="D25" t="s">
        <v>13</v>
      </c>
      <c r="E25" t="s">
        <v>100</v>
      </c>
      <c r="F25" t="s">
        <v>44</v>
      </c>
      <c r="G25" t="s">
        <v>45</v>
      </c>
      <c r="H25">
        <v>11</v>
      </c>
      <c r="I25">
        <v>106.1</v>
      </c>
      <c r="J25">
        <v>0.1</v>
      </c>
      <c r="K25">
        <v>1050.3900000000001</v>
      </c>
    </row>
    <row r="26" spans="1:11" x14ac:dyDescent="0.35">
      <c r="A26" t="s">
        <v>101</v>
      </c>
      <c r="B26" s="1">
        <v>45605</v>
      </c>
      <c r="C26" t="s">
        <v>102</v>
      </c>
      <c r="D26" t="s">
        <v>42</v>
      </c>
      <c r="E26" t="s">
        <v>103</v>
      </c>
      <c r="F26" t="s">
        <v>53</v>
      </c>
      <c r="G26" t="s">
        <v>104</v>
      </c>
      <c r="H26">
        <v>8</v>
      </c>
      <c r="I26">
        <v>132.56</v>
      </c>
      <c r="J26">
        <v>0.05</v>
      </c>
      <c r="K26">
        <v>1007.46</v>
      </c>
    </row>
    <row r="27" spans="1:11" x14ac:dyDescent="0.35">
      <c r="A27" t="s">
        <v>105</v>
      </c>
      <c r="B27" s="1">
        <v>45582</v>
      </c>
      <c r="C27" t="s">
        <v>65</v>
      </c>
      <c r="D27" t="s">
        <v>25</v>
      </c>
      <c r="E27" t="s">
        <v>106</v>
      </c>
      <c r="F27" t="s">
        <v>44</v>
      </c>
      <c r="G27" t="s">
        <v>107</v>
      </c>
      <c r="H27">
        <v>3</v>
      </c>
      <c r="I27">
        <v>111.57</v>
      </c>
      <c r="J27">
        <v>0</v>
      </c>
      <c r="K27">
        <v>334.71</v>
      </c>
    </row>
    <row r="28" spans="1:11" x14ac:dyDescent="0.35">
      <c r="A28" t="s">
        <v>108</v>
      </c>
      <c r="B28" s="1">
        <v>45569</v>
      </c>
      <c r="C28" t="s">
        <v>65</v>
      </c>
      <c r="D28" t="s">
        <v>13</v>
      </c>
      <c r="E28" t="s">
        <v>66</v>
      </c>
      <c r="F28" t="s">
        <v>44</v>
      </c>
      <c r="G28" t="s">
        <v>45</v>
      </c>
      <c r="H28">
        <v>5</v>
      </c>
      <c r="I28">
        <v>139.59</v>
      </c>
      <c r="J28">
        <v>0</v>
      </c>
      <c r="K28">
        <v>697.95</v>
      </c>
    </row>
    <row r="29" spans="1:11" x14ac:dyDescent="0.35">
      <c r="A29" t="s">
        <v>109</v>
      </c>
      <c r="B29" s="2">
        <v>45448</v>
      </c>
      <c r="C29" t="s">
        <v>18</v>
      </c>
      <c r="D29" t="s">
        <v>42</v>
      </c>
      <c r="E29" t="s">
        <v>110</v>
      </c>
      <c r="F29" t="s">
        <v>15</v>
      </c>
      <c r="G29" t="s">
        <v>111</v>
      </c>
      <c r="H29">
        <v>5</v>
      </c>
      <c r="I29">
        <v>248.11</v>
      </c>
      <c r="J29">
        <v>0.15</v>
      </c>
      <c r="K29">
        <v>1054.47</v>
      </c>
    </row>
    <row r="30" spans="1:11" x14ac:dyDescent="0.35">
      <c r="A30" t="s">
        <v>112</v>
      </c>
      <c r="B30" s="1">
        <v>45542</v>
      </c>
      <c r="C30" t="s">
        <v>79</v>
      </c>
      <c r="D30" t="s">
        <v>25</v>
      </c>
      <c r="E30" t="s">
        <v>113</v>
      </c>
      <c r="F30" t="s">
        <v>53</v>
      </c>
      <c r="G30" t="s">
        <v>54</v>
      </c>
      <c r="H30">
        <v>10</v>
      </c>
      <c r="I30">
        <v>132.13</v>
      </c>
      <c r="J30">
        <v>0.1</v>
      </c>
      <c r="K30">
        <v>1189.17</v>
      </c>
    </row>
    <row r="31" spans="1:11" x14ac:dyDescent="0.35">
      <c r="A31" t="s">
        <v>114</v>
      </c>
      <c r="B31" s="1">
        <v>45416</v>
      </c>
      <c r="C31" t="s">
        <v>24</v>
      </c>
      <c r="D31" t="s">
        <v>57</v>
      </c>
      <c r="E31" t="s">
        <v>115</v>
      </c>
      <c r="F31" t="s">
        <v>21</v>
      </c>
      <c r="G31" t="s">
        <v>22</v>
      </c>
      <c r="H31">
        <v>2</v>
      </c>
      <c r="I31">
        <v>185.09</v>
      </c>
      <c r="J31">
        <v>0.05</v>
      </c>
      <c r="K31">
        <v>351.67</v>
      </c>
    </row>
    <row r="32" spans="1:11" x14ac:dyDescent="0.35">
      <c r="A32" t="s">
        <v>116</v>
      </c>
      <c r="B32" s="1">
        <v>45502</v>
      </c>
      <c r="C32" t="s">
        <v>41</v>
      </c>
      <c r="D32" t="s">
        <v>19</v>
      </c>
      <c r="E32" t="s">
        <v>117</v>
      </c>
      <c r="F32" t="s">
        <v>44</v>
      </c>
      <c r="G32" t="s">
        <v>50</v>
      </c>
      <c r="H32">
        <v>1</v>
      </c>
      <c r="I32">
        <v>13.2</v>
      </c>
      <c r="J32">
        <v>0.1</v>
      </c>
      <c r="K32">
        <v>11.88</v>
      </c>
    </row>
    <row r="33" spans="1:11" x14ac:dyDescent="0.35">
      <c r="A33" t="s">
        <v>118</v>
      </c>
      <c r="B33" s="1">
        <v>45384</v>
      </c>
      <c r="C33" t="s">
        <v>48</v>
      </c>
      <c r="D33" t="s">
        <v>19</v>
      </c>
      <c r="E33" t="s">
        <v>115</v>
      </c>
      <c r="F33" t="s">
        <v>35</v>
      </c>
      <c r="G33" t="s">
        <v>83</v>
      </c>
      <c r="H33">
        <v>11</v>
      </c>
      <c r="I33">
        <v>124.46</v>
      </c>
      <c r="J33">
        <v>0</v>
      </c>
      <c r="K33">
        <v>1369.06</v>
      </c>
    </row>
    <row r="34" spans="1:11" x14ac:dyDescent="0.35">
      <c r="A34" t="s">
        <v>119</v>
      </c>
      <c r="B34" t="s">
        <v>99</v>
      </c>
      <c r="C34" t="s">
        <v>48</v>
      </c>
      <c r="D34" t="s">
        <v>42</v>
      </c>
      <c r="E34" t="s">
        <v>120</v>
      </c>
      <c r="F34" t="s">
        <v>15</v>
      </c>
      <c r="G34" t="s">
        <v>27</v>
      </c>
      <c r="H34">
        <v>10</v>
      </c>
      <c r="I34">
        <v>159.03</v>
      </c>
      <c r="J34">
        <v>0.05</v>
      </c>
      <c r="K34">
        <v>1510.78</v>
      </c>
    </row>
    <row r="35" spans="1:11" x14ac:dyDescent="0.35">
      <c r="A35" t="s">
        <v>121</v>
      </c>
      <c r="B35" s="2">
        <v>45483</v>
      </c>
      <c r="C35" t="s">
        <v>24</v>
      </c>
      <c r="D35" t="s">
        <v>19</v>
      </c>
      <c r="E35" t="s">
        <v>122</v>
      </c>
      <c r="F35" t="s">
        <v>21</v>
      </c>
      <c r="G35" t="s">
        <v>22</v>
      </c>
      <c r="H35">
        <v>7</v>
      </c>
      <c r="I35">
        <v>133.16</v>
      </c>
      <c r="J35">
        <v>0</v>
      </c>
      <c r="K35">
        <v>932.12</v>
      </c>
    </row>
    <row r="36" spans="1:11" x14ac:dyDescent="0.35">
      <c r="A36" t="s">
        <v>123</v>
      </c>
      <c r="B36" s="1">
        <v>45335</v>
      </c>
      <c r="C36" t="s">
        <v>48</v>
      </c>
      <c r="D36" t="s">
        <v>13</v>
      </c>
      <c r="E36" t="s">
        <v>124</v>
      </c>
      <c r="F36" t="s">
        <v>53</v>
      </c>
      <c r="G36" t="s">
        <v>125</v>
      </c>
      <c r="H36">
        <v>4</v>
      </c>
      <c r="I36">
        <v>186.2</v>
      </c>
      <c r="J36">
        <v>0.1</v>
      </c>
      <c r="K36">
        <v>670.32</v>
      </c>
    </row>
    <row r="37" spans="1:11" x14ac:dyDescent="0.35">
      <c r="A37" t="s">
        <v>126</v>
      </c>
      <c r="B37" t="s">
        <v>127</v>
      </c>
      <c r="C37" t="s">
        <v>79</v>
      </c>
      <c r="D37" t="s">
        <v>42</v>
      </c>
      <c r="E37" t="s">
        <v>128</v>
      </c>
      <c r="F37" t="s">
        <v>21</v>
      </c>
      <c r="G37" t="s">
        <v>129</v>
      </c>
      <c r="H37">
        <v>4</v>
      </c>
      <c r="I37">
        <v>121.63</v>
      </c>
      <c r="J37">
        <v>0.15</v>
      </c>
      <c r="K37">
        <v>413.54</v>
      </c>
    </row>
    <row r="38" spans="1:11" x14ac:dyDescent="0.35">
      <c r="A38" t="s">
        <v>130</v>
      </c>
      <c r="B38" s="1">
        <v>45464</v>
      </c>
      <c r="C38" t="s">
        <v>72</v>
      </c>
      <c r="D38" t="s">
        <v>57</v>
      </c>
      <c r="E38" t="s">
        <v>131</v>
      </c>
      <c r="F38" t="s">
        <v>44</v>
      </c>
      <c r="G38" t="s">
        <v>86</v>
      </c>
      <c r="H38">
        <v>1</v>
      </c>
      <c r="I38">
        <v>108.52</v>
      </c>
      <c r="J38">
        <v>0</v>
      </c>
      <c r="K38">
        <v>108.52</v>
      </c>
    </row>
    <row r="39" spans="1:11" x14ac:dyDescent="0.35">
      <c r="A39" t="s">
        <v>132</v>
      </c>
      <c r="B39" s="1">
        <v>45399</v>
      </c>
      <c r="C39" t="s">
        <v>48</v>
      </c>
      <c r="D39" t="s">
        <v>42</v>
      </c>
      <c r="E39" t="s">
        <v>133</v>
      </c>
      <c r="F39" t="s">
        <v>35</v>
      </c>
      <c r="G39" t="s">
        <v>134</v>
      </c>
      <c r="H39">
        <v>11</v>
      </c>
      <c r="I39">
        <v>28.8</v>
      </c>
      <c r="J39">
        <v>0.15</v>
      </c>
      <c r="K39">
        <v>269.27999999999997</v>
      </c>
    </row>
    <row r="40" spans="1:11" x14ac:dyDescent="0.35">
      <c r="A40" t="s">
        <v>135</v>
      </c>
      <c r="B40" t="s">
        <v>136</v>
      </c>
      <c r="C40" t="s">
        <v>56</v>
      </c>
      <c r="D40" t="s">
        <v>19</v>
      </c>
      <c r="E40" t="s">
        <v>137</v>
      </c>
      <c r="F40" t="s">
        <v>44</v>
      </c>
      <c r="G40" t="s">
        <v>94</v>
      </c>
      <c r="H40">
        <v>9</v>
      </c>
      <c r="I40">
        <v>191.98</v>
      </c>
      <c r="J40">
        <v>0</v>
      </c>
      <c r="K40">
        <v>1727.82</v>
      </c>
    </row>
    <row r="41" spans="1:11" x14ac:dyDescent="0.35">
      <c r="A41" t="s">
        <v>138</v>
      </c>
      <c r="B41" s="1">
        <v>45330</v>
      </c>
      <c r="C41" t="s">
        <v>65</v>
      </c>
      <c r="D41" t="s">
        <v>25</v>
      </c>
      <c r="E41" t="s">
        <v>139</v>
      </c>
      <c r="F41" t="s">
        <v>44</v>
      </c>
      <c r="G41" t="s">
        <v>50</v>
      </c>
      <c r="H41">
        <v>11</v>
      </c>
      <c r="I41">
        <v>226.67</v>
      </c>
      <c r="J41">
        <v>0</v>
      </c>
      <c r="K41">
        <v>2493.37</v>
      </c>
    </row>
    <row r="42" spans="1:11" x14ac:dyDescent="0.35">
      <c r="A42" t="s">
        <v>140</v>
      </c>
      <c r="B42" t="s">
        <v>141</v>
      </c>
      <c r="C42" t="s">
        <v>29</v>
      </c>
      <c r="D42" t="s">
        <v>42</v>
      </c>
      <c r="E42" t="s">
        <v>142</v>
      </c>
      <c r="F42" t="s">
        <v>53</v>
      </c>
      <c r="G42" t="s">
        <v>63</v>
      </c>
      <c r="H42">
        <v>7</v>
      </c>
      <c r="I42">
        <v>211.2</v>
      </c>
      <c r="J42">
        <v>0</v>
      </c>
      <c r="K42">
        <v>1478.4</v>
      </c>
    </row>
    <row r="43" spans="1:11" x14ac:dyDescent="0.35">
      <c r="A43" t="s">
        <v>143</v>
      </c>
      <c r="B43" s="1">
        <v>45384</v>
      </c>
      <c r="C43" t="s">
        <v>24</v>
      </c>
      <c r="D43" t="s">
        <v>25</v>
      </c>
      <c r="E43" t="s">
        <v>144</v>
      </c>
      <c r="F43" t="s">
        <v>15</v>
      </c>
      <c r="G43" t="s">
        <v>111</v>
      </c>
      <c r="H43">
        <v>9</v>
      </c>
      <c r="I43">
        <v>106.9</v>
      </c>
      <c r="J43">
        <v>0.05</v>
      </c>
      <c r="K43">
        <v>914</v>
      </c>
    </row>
    <row r="44" spans="1:11" x14ac:dyDescent="0.35">
      <c r="A44" t="s">
        <v>145</v>
      </c>
      <c r="B44" s="1">
        <v>45635</v>
      </c>
      <c r="C44" t="s">
        <v>33</v>
      </c>
      <c r="D44" t="s">
        <v>42</v>
      </c>
      <c r="E44" t="s">
        <v>146</v>
      </c>
      <c r="F44" t="s">
        <v>15</v>
      </c>
      <c r="G44" t="s">
        <v>147</v>
      </c>
      <c r="H44">
        <v>3</v>
      </c>
      <c r="I44">
        <v>71.8</v>
      </c>
      <c r="J44">
        <v>0</v>
      </c>
      <c r="K44">
        <v>215.4</v>
      </c>
    </row>
    <row r="45" spans="1:11" x14ac:dyDescent="0.35">
      <c r="A45" t="s">
        <v>148</v>
      </c>
      <c r="B45" t="s">
        <v>149</v>
      </c>
      <c r="C45" t="s">
        <v>79</v>
      </c>
      <c r="D45" t="s">
        <v>57</v>
      </c>
      <c r="E45" t="s">
        <v>150</v>
      </c>
      <c r="F45" t="s">
        <v>21</v>
      </c>
      <c r="G45" t="s">
        <v>22</v>
      </c>
      <c r="H45">
        <v>2</v>
      </c>
      <c r="I45">
        <v>94.23</v>
      </c>
      <c r="J45">
        <v>0.15</v>
      </c>
      <c r="K45">
        <v>160.19</v>
      </c>
    </row>
    <row r="46" spans="1:11" x14ac:dyDescent="0.35">
      <c r="A46" t="s">
        <v>151</v>
      </c>
      <c r="B46" s="2">
        <v>45543</v>
      </c>
      <c r="C46" t="s">
        <v>12</v>
      </c>
      <c r="D46" t="s">
        <v>57</v>
      </c>
      <c r="E46" t="s">
        <v>152</v>
      </c>
      <c r="F46" t="s">
        <v>44</v>
      </c>
      <c r="G46" t="s">
        <v>94</v>
      </c>
      <c r="H46">
        <v>7</v>
      </c>
      <c r="I46">
        <v>182.42</v>
      </c>
      <c r="J46">
        <v>0</v>
      </c>
      <c r="K46">
        <v>1276.94</v>
      </c>
    </row>
    <row r="47" spans="1:11" x14ac:dyDescent="0.35">
      <c r="A47" t="s">
        <v>153</v>
      </c>
      <c r="B47" t="s">
        <v>154</v>
      </c>
      <c r="C47" t="s">
        <v>79</v>
      </c>
      <c r="E47" t="s">
        <v>155</v>
      </c>
      <c r="F47" t="s">
        <v>15</v>
      </c>
      <c r="G47" t="s">
        <v>27</v>
      </c>
      <c r="H47">
        <v>3</v>
      </c>
      <c r="I47">
        <v>241.01</v>
      </c>
      <c r="J47">
        <v>0</v>
      </c>
      <c r="K47">
        <v>723.03</v>
      </c>
    </row>
    <row r="48" spans="1:11" x14ac:dyDescent="0.35">
      <c r="A48" t="s">
        <v>156</v>
      </c>
      <c r="B48" s="1">
        <v>45400</v>
      </c>
      <c r="C48" t="s">
        <v>65</v>
      </c>
      <c r="D48" t="s">
        <v>57</v>
      </c>
      <c r="E48" t="s">
        <v>142</v>
      </c>
      <c r="F48" t="s">
        <v>15</v>
      </c>
      <c r="G48" t="s">
        <v>27</v>
      </c>
      <c r="H48">
        <v>9</v>
      </c>
      <c r="I48">
        <v>97.04</v>
      </c>
      <c r="J48">
        <v>0</v>
      </c>
      <c r="K48">
        <v>873.36</v>
      </c>
    </row>
    <row r="49" spans="1:11" x14ac:dyDescent="0.35">
      <c r="A49" t="s">
        <v>157</v>
      </c>
      <c r="B49" s="2">
        <v>45292</v>
      </c>
      <c r="C49" t="s">
        <v>65</v>
      </c>
      <c r="D49" t="s">
        <v>25</v>
      </c>
      <c r="E49" t="s">
        <v>158</v>
      </c>
      <c r="F49" t="s">
        <v>53</v>
      </c>
      <c r="G49" t="s">
        <v>54</v>
      </c>
      <c r="H49">
        <v>6</v>
      </c>
      <c r="I49">
        <v>132.9</v>
      </c>
      <c r="J49">
        <v>0</v>
      </c>
      <c r="K49">
        <v>797.4</v>
      </c>
    </row>
    <row r="50" spans="1:11" x14ac:dyDescent="0.35">
      <c r="A50" t="s">
        <v>159</v>
      </c>
      <c r="B50" s="1">
        <v>45352</v>
      </c>
      <c r="C50" t="s">
        <v>56</v>
      </c>
      <c r="D50" t="s">
        <v>25</v>
      </c>
      <c r="E50" t="s">
        <v>160</v>
      </c>
      <c r="F50" t="s">
        <v>21</v>
      </c>
      <c r="G50" t="s">
        <v>70</v>
      </c>
      <c r="H50">
        <v>7</v>
      </c>
      <c r="I50">
        <v>204.04</v>
      </c>
      <c r="J50">
        <v>0</v>
      </c>
      <c r="K50">
        <v>1428.28</v>
      </c>
    </row>
    <row r="51" spans="1:11" x14ac:dyDescent="0.35">
      <c r="A51" t="s">
        <v>161</v>
      </c>
      <c r="B51" t="s">
        <v>162</v>
      </c>
      <c r="C51" t="s">
        <v>65</v>
      </c>
      <c r="D51" t="s">
        <v>57</v>
      </c>
      <c r="E51" t="s">
        <v>34</v>
      </c>
      <c r="F51" t="s">
        <v>53</v>
      </c>
      <c r="G51" t="s">
        <v>59</v>
      </c>
      <c r="H51">
        <v>10</v>
      </c>
      <c r="I51">
        <v>92.65</v>
      </c>
      <c r="J51">
        <v>0.15</v>
      </c>
      <c r="K51">
        <v>787.52</v>
      </c>
    </row>
    <row r="52" spans="1:11" x14ac:dyDescent="0.35">
      <c r="A52" t="s">
        <v>163</v>
      </c>
      <c r="B52" s="1">
        <v>45511</v>
      </c>
      <c r="C52" t="s">
        <v>48</v>
      </c>
      <c r="D52" t="s">
        <v>19</v>
      </c>
      <c r="E52" t="s">
        <v>164</v>
      </c>
      <c r="F52" t="s">
        <v>21</v>
      </c>
      <c r="G52" t="s">
        <v>22</v>
      </c>
      <c r="H52">
        <v>5</v>
      </c>
      <c r="I52">
        <v>133.34</v>
      </c>
      <c r="J52">
        <v>0.15</v>
      </c>
      <c r="K52">
        <v>566.70000000000005</v>
      </c>
    </row>
    <row r="53" spans="1:11" x14ac:dyDescent="0.35">
      <c r="A53" t="s">
        <v>165</v>
      </c>
      <c r="B53" s="1">
        <v>45441</v>
      </c>
      <c r="C53" t="s">
        <v>56</v>
      </c>
      <c r="D53" t="s">
        <v>13</v>
      </c>
      <c r="E53" t="s">
        <v>166</v>
      </c>
      <c r="F53" t="s">
        <v>21</v>
      </c>
      <c r="G53" t="s">
        <v>167</v>
      </c>
      <c r="H53">
        <v>11</v>
      </c>
      <c r="I53">
        <v>60.18</v>
      </c>
      <c r="J53">
        <v>0</v>
      </c>
      <c r="K53">
        <v>661.98</v>
      </c>
    </row>
    <row r="54" spans="1:11" x14ac:dyDescent="0.35">
      <c r="A54" t="s">
        <v>168</v>
      </c>
      <c r="B54" s="2">
        <v>45565</v>
      </c>
      <c r="C54" t="s">
        <v>41</v>
      </c>
      <c r="D54" t="s">
        <v>19</v>
      </c>
      <c r="E54" t="s">
        <v>69</v>
      </c>
      <c r="F54" t="s">
        <v>53</v>
      </c>
      <c r="G54" t="s">
        <v>104</v>
      </c>
      <c r="H54">
        <v>9</v>
      </c>
      <c r="I54">
        <v>135.51</v>
      </c>
      <c r="J54">
        <v>0</v>
      </c>
      <c r="K54">
        <v>1219.5899999999999</v>
      </c>
    </row>
    <row r="55" spans="1:11" x14ac:dyDescent="0.35">
      <c r="A55" t="s">
        <v>169</v>
      </c>
      <c r="B55" s="1">
        <v>45495</v>
      </c>
      <c r="C55" t="s">
        <v>38</v>
      </c>
      <c r="D55" t="s">
        <v>13</v>
      </c>
      <c r="E55" t="s">
        <v>34</v>
      </c>
      <c r="F55" t="s">
        <v>21</v>
      </c>
      <c r="G55" t="s">
        <v>22</v>
      </c>
      <c r="H55">
        <v>8</v>
      </c>
      <c r="I55">
        <v>28.41</v>
      </c>
      <c r="J55">
        <v>0.1</v>
      </c>
      <c r="K55">
        <v>204.55</v>
      </c>
    </row>
    <row r="56" spans="1:11" x14ac:dyDescent="0.35">
      <c r="A56" t="s">
        <v>170</v>
      </c>
      <c r="B56" s="1">
        <v>45395</v>
      </c>
      <c r="C56" t="s">
        <v>102</v>
      </c>
      <c r="D56" t="s">
        <v>13</v>
      </c>
      <c r="E56" t="s">
        <v>171</v>
      </c>
      <c r="F56" t="s">
        <v>35</v>
      </c>
      <c r="G56" t="s">
        <v>36</v>
      </c>
      <c r="H56">
        <v>7</v>
      </c>
      <c r="I56">
        <v>144.51</v>
      </c>
      <c r="J56">
        <v>0</v>
      </c>
      <c r="K56">
        <v>1011.57</v>
      </c>
    </row>
    <row r="57" spans="1:11" x14ac:dyDescent="0.35">
      <c r="A57" t="s">
        <v>172</v>
      </c>
      <c r="B57" s="1">
        <v>45644</v>
      </c>
      <c r="C57" t="s">
        <v>56</v>
      </c>
      <c r="D57" t="s">
        <v>19</v>
      </c>
      <c r="E57" t="s">
        <v>164</v>
      </c>
      <c r="F57" t="s">
        <v>21</v>
      </c>
      <c r="G57" t="s">
        <v>22</v>
      </c>
      <c r="H57">
        <v>4</v>
      </c>
      <c r="I57">
        <v>180.62</v>
      </c>
      <c r="J57">
        <v>0.05</v>
      </c>
      <c r="K57">
        <v>686.36</v>
      </c>
    </row>
    <row r="58" spans="1:11" x14ac:dyDescent="0.35">
      <c r="A58" t="s">
        <v>173</v>
      </c>
      <c r="B58" s="1">
        <v>45475</v>
      </c>
      <c r="C58" t="s">
        <v>41</v>
      </c>
      <c r="D58" t="s">
        <v>57</v>
      </c>
      <c r="E58" t="s">
        <v>142</v>
      </c>
      <c r="F58" t="s">
        <v>44</v>
      </c>
      <c r="G58" t="s">
        <v>86</v>
      </c>
      <c r="H58">
        <v>11</v>
      </c>
      <c r="I58">
        <v>76.010000000000005</v>
      </c>
      <c r="J58">
        <v>0</v>
      </c>
      <c r="K58">
        <v>836.11</v>
      </c>
    </row>
    <row r="59" spans="1:11" x14ac:dyDescent="0.35">
      <c r="A59" t="s">
        <v>174</v>
      </c>
      <c r="B59" t="s">
        <v>61</v>
      </c>
      <c r="C59" t="s">
        <v>65</v>
      </c>
      <c r="D59" t="s">
        <v>42</v>
      </c>
      <c r="E59" t="s">
        <v>166</v>
      </c>
      <c r="F59" t="s">
        <v>44</v>
      </c>
      <c r="G59" t="s">
        <v>107</v>
      </c>
      <c r="H59">
        <v>0</v>
      </c>
      <c r="I59">
        <v>95.66</v>
      </c>
      <c r="J59">
        <v>0</v>
      </c>
      <c r="K59">
        <v>1147.92</v>
      </c>
    </row>
    <row r="60" spans="1:11" x14ac:dyDescent="0.35">
      <c r="A60" t="s">
        <v>175</v>
      </c>
      <c r="B60" s="1">
        <v>45417</v>
      </c>
      <c r="C60" t="s">
        <v>56</v>
      </c>
      <c r="D60" t="s">
        <v>19</v>
      </c>
      <c r="E60" t="s">
        <v>176</v>
      </c>
      <c r="F60" t="s">
        <v>35</v>
      </c>
      <c r="G60" t="s">
        <v>177</v>
      </c>
      <c r="H60">
        <v>8</v>
      </c>
      <c r="I60">
        <v>73.34</v>
      </c>
      <c r="J60">
        <v>0</v>
      </c>
      <c r="K60">
        <v>586.72</v>
      </c>
    </row>
    <row r="61" spans="1:11" x14ac:dyDescent="0.35">
      <c r="A61" t="s">
        <v>178</v>
      </c>
      <c r="B61" s="1">
        <v>45636</v>
      </c>
      <c r="C61" t="s">
        <v>65</v>
      </c>
      <c r="D61" t="s">
        <v>25</v>
      </c>
      <c r="E61" t="s">
        <v>117</v>
      </c>
      <c r="F61" t="s">
        <v>53</v>
      </c>
      <c r="G61" t="s">
        <v>59</v>
      </c>
      <c r="H61">
        <v>7</v>
      </c>
      <c r="I61">
        <v>114.22</v>
      </c>
      <c r="J61">
        <v>0.05</v>
      </c>
      <c r="K61">
        <v>759.56</v>
      </c>
    </row>
    <row r="62" spans="1:11" x14ac:dyDescent="0.35">
      <c r="A62" t="s">
        <v>179</v>
      </c>
      <c r="B62" s="1">
        <v>45294</v>
      </c>
      <c r="C62" t="s">
        <v>38</v>
      </c>
      <c r="D62" t="s">
        <v>57</v>
      </c>
      <c r="E62" t="s">
        <v>180</v>
      </c>
      <c r="F62" t="s">
        <v>35</v>
      </c>
      <c r="G62" t="s">
        <v>134</v>
      </c>
      <c r="H62">
        <v>5</v>
      </c>
      <c r="I62">
        <v>113.96</v>
      </c>
      <c r="J62">
        <v>0</v>
      </c>
      <c r="K62">
        <v>569.79999999999995</v>
      </c>
    </row>
    <row r="63" spans="1:11" x14ac:dyDescent="0.35">
      <c r="A63" t="s">
        <v>181</v>
      </c>
      <c r="B63" s="2">
        <v>45388</v>
      </c>
      <c r="C63" t="s">
        <v>18</v>
      </c>
      <c r="D63" t="s">
        <v>13</v>
      </c>
      <c r="E63" t="s">
        <v>164</v>
      </c>
      <c r="F63" t="s">
        <v>35</v>
      </c>
      <c r="G63" t="s">
        <v>83</v>
      </c>
      <c r="H63">
        <v>3</v>
      </c>
      <c r="I63">
        <v>175.63</v>
      </c>
      <c r="J63">
        <v>0.1</v>
      </c>
      <c r="K63">
        <v>474.2</v>
      </c>
    </row>
    <row r="64" spans="1:11" x14ac:dyDescent="0.35">
      <c r="A64" t="s">
        <v>182</v>
      </c>
      <c r="B64" s="1">
        <v>45388</v>
      </c>
      <c r="C64" t="s">
        <v>33</v>
      </c>
      <c r="D64" t="s">
        <v>19</v>
      </c>
      <c r="E64" t="s">
        <v>183</v>
      </c>
      <c r="F64" t="s">
        <v>15</v>
      </c>
      <c r="G64" t="s">
        <v>111</v>
      </c>
      <c r="H64">
        <v>1</v>
      </c>
      <c r="I64">
        <v>178.74</v>
      </c>
      <c r="J64">
        <v>0.1</v>
      </c>
      <c r="K64">
        <v>160.87</v>
      </c>
    </row>
    <row r="65" spans="1:11" x14ac:dyDescent="0.35">
      <c r="A65" t="s">
        <v>184</v>
      </c>
      <c r="B65" s="1">
        <v>45608</v>
      </c>
      <c r="C65" t="s">
        <v>24</v>
      </c>
      <c r="D65" t="s">
        <v>57</v>
      </c>
      <c r="E65" t="s">
        <v>185</v>
      </c>
      <c r="F65" t="s">
        <v>35</v>
      </c>
      <c r="G65" t="s">
        <v>134</v>
      </c>
      <c r="H65">
        <v>1</v>
      </c>
      <c r="I65">
        <v>113.3</v>
      </c>
      <c r="J65">
        <v>0.15</v>
      </c>
      <c r="K65">
        <v>96.3</v>
      </c>
    </row>
    <row r="66" spans="1:11" x14ac:dyDescent="0.35">
      <c r="A66" t="s">
        <v>186</v>
      </c>
      <c r="B66" s="2">
        <v>45373</v>
      </c>
      <c r="C66" t="s">
        <v>33</v>
      </c>
      <c r="D66" t="s">
        <v>42</v>
      </c>
      <c r="E66" t="s">
        <v>137</v>
      </c>
      <c r="F66" t="s">
        <v>35</v>
      </c>
      <c r="G66" t="s">
        <v>83</v>
      </c>
      <c r="H66">
        <v>1</v>
      </c>
      <c r="I66">
        <v>242.43</v>
      </c>
      <c r="J66">
        <v>0</v>
      </c>
      <c r="K66">
        <v>242.43</v>
      </c>
    </row>
    <row r="67" spans="1:11" x14ac:dyDescent="0.35">
      <c r="A67" t="s">
        <v>187</v>
      </c>
      <c r="B67" s="2">
        <v>45582</v>
      </c>
      <c r="C67" t="s">
        <v>102</v>
      </c>
      <c r="D67" t="s">
        <v>13</v>
      </c>
      <c r="E67" t="s">
        <v>77</v>
      </c>
      <c r="F67" t="s">
        <v>21</v>
      </c>
      <c r="G67" t="s">
        <v>22</v>
      </c>
      <c r="H67">
        <v>5</v>
      </c>
      <c r="I67">
        <v>89.23</v>
      </c>
      <c r="J67">
        <v>0.15</v>
      </c>
      <c r="K67">
        <v>379.23</v>
      </c>
    </row>
    <row r="68" spans="1:11" x14ac:dyDescent="0.35">
      <c r="A68" t="s">
        <v>188</v>
      </c>
      <c r="B68" s="1">
        <v>45301</v>
      </c>
      <c r="C68" t="s">
        <v>24</v>
      </c>
      <c r="D68" t="s">
        <v>13</v>
      </c>
      <c r="E68" t="s">
        <v>189</v>
      </c>
      <c r="F68" t="s">
        <v>21</v>
      </c>
      <c r="G68" t="s">
        <v>129</v>
      </c>
      <c r="H68">
        <v>2</v>
      </c>
      <c r="I68">
        <v>244.06</v>
      </c>
      <c r="J68">
        <v>0.15</v>
      </c>
      <c r="K68">
        <v>414.9</v>
      </c>
    </row>
    <row r="69" spans="1:11" x14ac:dyDescent="0.35">
      <c r="A69" t="s">
        <v>190</v>
      </c>
      <c r="B69" s="1">
        <v>45626</v>
      </c>
      <c r="C69" t="s">
        <v>38</v>
      </c>
      <c r="D69" t="s">
        <v>13</v>
      </c>
      <c r="E69" t="s">
        <v>176</v>
      </c>
      <c r="F69" t="s">
        <v>15</v>
      </c>
      <c r="G69" t="s">
        <v>16</v>
      </c>
      <c r="H69">
        <v>1</v>
      </c>
      <c r="I69">
        <v>105.25</v>
      </c>
      <c r="J69">
        <v>0.05</v>
      </c>
      <c r="K69">
        <v>99.99</v>
      </c>
    </row>
    <row r="70" spans="1:11" x14ac:dyDescent="0.35">
      <c r="A70" t="s">
        <v>191</v>
      </c>
      <c r="B70" t="s">
        <v>192</v>
      </c>
      <c r="C70" t="s">
        <v>12</v>
      </c>
      <c r="D70" t="s">
        <v>57</v>
      </c>
      <c r="E70" t="s">
        <v>193</v>
      </c>
      <c r="F70" t="s">
        <v>21</v>
      </c>
      <c r="G70" t="s">
        <v>194</v>
      </c>
      <c r="H70">
        <v>5</v>
      </c>
      <c r="I70">
        <v>231.58</v>
      </c>
      <c r="J70">
        <v>0</v>
      </c>
      <c r="K70">
        <v>1157.9000000000001</v>
      </c>
    </row>
    <row r="71" spans="1:11" x14ac:dyDescent="0.35">
      <c r="A71" t="s">
        <v>195</v>
      </c>
      <c r="B71" t="s">
        <v>196</v>
      </c>
      <c r="C71" t="s">
        <v>65</v>
      </c>
      <c r="D71" t="s">
        <v>42</v>
      </c>
      <c r="E71" t="s">
        <v>197</v>
      </c>
      <c r="F71" t="s">
        <v>44</v>
      </c>
      <c r="G71" t="s">
        <v>86</v>
      </c>
      <c r="H71">
        <v>9</v>
      </c>
      <c r="I71">
        <v>227.04</v>
      </c>
      <c r="J71">
        <v>0</v>
      </c>
      <c r="K71">
        <v>2043.36</v>
      </c>
    </row>
    <row r="72" spans="1:11" x14ac:dyDescent="0.35">
      <c r="A72" t="s">
        <v>198</v>
      </c>
      <c r="B72" s="1">
        <v>45427</v>
      </c>
      <c r="C72" t="s">
        <v>102</v>
      </c>
      <c r="D72" t="s">
        <v>13</v>
      </c>
      <c r="E72" t="s">
        <v>199</v>
      </c>
      <c r="F72" t="s">
        <v>44</v>
      </c>
      <c r="G72" t="s">
        <v>86</v>
      </c>
      <c r="H72">
        <v>6</v>
      </c>
      <c r="I72">
        <v>192.14</v>
      </c>
      <c r="J72">
        <v>0</v>
      </c>
      <c r="K72">
        <v>1152.8399999999999</v>
      </c>
    </row>
    <row r="73" spans="1:11" x14ac:dyDescent="0.35">
      <c r="A73" t="s">
        <v>200</v>
      </c>
      <c r="B73" s="1">
        <v>45534</v>
      </c>
      <c r="C73" t="s">
        <v>18</v>
      </c>
      <c r="D73" t="s">
        <v>42</v>
      </c>
      <c r="E73" t="s">
        <v>201</v>
      </c>
      <c r="F73" t="s">
        <v>44</v>
      </c>
      <c r="G73" t="s">
        <v>94</v>
      </c>
      <c r="H73">
        <v>9</v>
      </c>
      <c r="I73">
        <v>73.33</v>
      </c>
      <c r="J73">
        <v>0.15</v>
      </c>
      <c r="K73">
        <v>560.97</v>
      </c>
    </row>
    <row r="74" spans="1:11" x14ac:dyDescent="0.35">
      <c r="A74" t="s">
        <v>202</v>
      </c>
      <c r="B74" s="1">
        <v>45404</v>
      </c>
      <c r="C74" t="s">
        <v>24</v>
      </c>
      <c r="D74" t="s">
        <v>57</v>
      </c>
      <c r="E74" t="s">
        <v>166</v>
      </c>
      <c r="F74" t="s">
        <v>44</v>
      </c>
      <c r="G74" t="s">
        <v>50</v>
      </c>
      <c r="H74">
        <v>3</v>
      </c>
      <c r="I74">
        <v>126.32</v>
      </c>
      <c r="J74">
        <v>0</v>
      </c>
      <c r="K74">
        <v>378.96</v>
      </c>
    </row>
    <row r="75" spans="1:11" x14ac:dyDescent="0.35">
      <c r="A75" t="s">
        <v>203</v>
      </c>
      <c r="B75" s="2">
        <v>45490</v>
      </c>
      <c r="C75" t="s">
        <v>24</v>
      </c>
      <c r="D75" t="s">
        <v>42</v>
      </c>
      <c r="E75" t="s">
        <v>204</v>
      </c>
      <c r="F75" t="s">
        <v>15</v>
      </c>
      <c r="G75" t="s">
        <v>111</v>
      </c>
      <c r="H75">
        <v>10</v>
      </c>
      <c r="I75">
        <v>70.78</v>
      </c>
      <c r="J75">
        <v>0.05</v>
      </c>
      <c r="K75">
        <v>672.41</v>
      </c>
    </row>
    <row r="76" spans="1:11" x14ac:dyDescent="0.35">
      <c r="A76" t="s">
        <v>205</v>
      </c>
      <c r="B76" s="1">
        <v>45571</v>
      </c>
      <c r="C76" t="s">
        <v>12</v>
      </c>
      <c r="D76" t="s">
        <v>13</v>
      </c>
      <c r="E76" t="s">
        <v>206</v>
      </c>
      <c r="F76" t="s">
        <v>35</v>
      </c>
      <c r="G76" t="s">
        <v>177</v>
      </c>
      <c r="H76">
        <v>5</v>
      </c>
      <c r="I76">
        <v>115.07</v>
      </c>
      <c r="J76">
        <v>0.15</v>
      </c>
      <c r="K76">
        <v>489.05</v>
      </c>
    </row>
    <row r="77" spans="1:11" x14ac:dyDescent="0.35">
      <c r="A77" t="s">
        <v>207</v>
      </c>
      <c r="B77" s="1">
        <v>45371</v>
      </c>
      <c r="C77" t="s">
        <v>29</v>
      </c>
      <c r="D77" t="s">
        <v>57</v>
      </c>
      <c r="E77" t="s">
        <v>201</v>
      </c>
      <c r="F77" t="s">
        <v>15</v>
      </c>
      <c r="G77" t="s">
        <v>111</v>
      </c>
      <c r="H77">
        <v>1</v>
      </c>
      <c r="I77">
        <v>213.99</v>
      </c>
      <c r="J77">
        <v>0</v>
      </c>
      <c r="K77">
        <v>213.99</v>
      </c>
    </row>
    <row r="78" spans="1:11" x14ac:dyDescent="0.35">
      <c r="A78" t="s">
        <v>208</v>
      </c>
      <c r="B78" t="s">
        <v>209</v>
      </c>
      <c r="C78" t="s">
        <v>18</v>
      </c>
      <c r="D78" t="s">
        <v>57</v>
      </c>
      <c r="E78" t="s">
        <v>176</v>
      </c>
      <c r="F78" t="s">
        <v>53</v>
      </c>
      <c r="G78" t="s">
        <v>59</v>
      </c>
      <c r="H78">
        <v>5</v>
      </c>
      <c r="I78">
        <v>33.85</v>
      </c>
      <c r="J78">
        <v>0</v>
      </c>
      <c r="K78">
        <v>169.25</v>
      </c>
    </row>
    <row r="79" spans="1:11" x14ac:dyDescent="0.35">
      <c r="A79" t="s">
        <v>210</v>
      </c>
      <c r="B79" s="1">
        <v>45485</v>
      </c>
      <c r="C79" t="s">
        <v>33</v>
      </c>
      <c r="D79" t="s">
        <v>13</v>
      </c>
      <c r="E79" t="s">
        <v>139</v>
      </c>
      <c r="F79" t="s">
        <v>21</v>
      </c>
      <c r="G79" t="s">
        <v>167</v>
      </c>
      <c r="H79">
        <v>7</v>
      </c>
      <c r="I79">
        <v>175.55</v>
      </c>
      <c r="J79">
        <v>0</v>
      </c>
      <c r="K79">
        <v>1228.8499999999999</v>
      </c>
    </row>
    <row r="80" spans="1:11" x14ac:dyDescent="0.35">
      <c r="A80" t="s">
        <v>211</v>
      </c>
      <c r="B80" s="1">
        <v>45563</v>
      </c>
      <c r="C80" t="s">
        <v>56</v>
      </c>
      <c r="D80" t="s">
        <v>19</v>
      </c>
      <c r="E80" t="s">
        <v>212</v>
      </c>
      <c r="F80" t="s">
        <v>53</v>
      </c>
      <c r="G80" t="s">
        <v>63</v>
      </c>
      <c r="H80">
        <v>5</v>
      </c>
      <c r="I80">
        <v>77.66</v>
      </c>
      <c r="J80">
        <v>0.15</v>
      </c>
      <c r="K80">
        <v>330.05</v>
      </c>
    </row>
    <row r="81" spans="1:11" x14ac:dyDescent="0.35">
      <c r="A81" t="s">
        <v>213</v>
      </c>
      <c r="B81" s="1">
        <v>45411</v>
      </c>
      <c r="C81" t="s">
        <v>72</v>
      </c>
      <c r="D81" t="s">
        <v>13</v>
      </c>
      <c r="E81" t="s">
        <v>93</v>
      </c>
      <c r="F81" t="s">
        <v>21</v>
      </c>
      <c r="G81" t="s">
        <v>167</v>
      </c>
      <c r="H81">
        <v>2</v>
      </c>
      <c r="I81">
        <v>166.59</v>
      </c>
      <c r="J81">
        <v>0.05</v>
      </c>
      <c r="K81">
        <v>316.52</v>
      </c>
    </row>
    <row r="82" spans="1:11" x14ac:dyDescent="0.35">
      <c r="A82" t="s">
        <v>214</v>
      </c>
      <c r="B82" s="1">
        <v>45418</v>
      </c>
      <c r="C82" t="s">
        <v>38</v>
      </c>
      <c r="D82" t="s">
        <v>19</v>
      </c>
      <c r="E82" t="s">
        <v>164</v>
      </c>
      <c r="F82" t="s">
        <v>44</v>
      </c>
      <c r="G82" t="s">
        <v>107</v>
      </c>
      <c r="H82">
        <v>7</v>
      </c>
      <c r="I82">
        <v>21.39</v>
      </c>
      <c r="J82">
        <v>0.05</v>
      </c>
      <c r="K82">
        <v>142.24</v>
      </c>
    </row>
    <row r="83" spans="1:11" x14ac:dyDescent="0.35">
      <c r="A83" t="s">
        <v>215</v>
      </c>
      <c r="B83" s="1">
        <v>45629</v>
      </c>
      <c r="C83" t="s">
        <v>72</v>
      </c>
      <c r="D83" t="s">
        <v>42</v>
      </c>
      <c r="E83" t="s">
        <v>185</v>
      </c>
      <c r="F83" t="s">
        <v>53</v>
      </c>
      <c r="G83" t="s">
        <v>104</v>
      </c>
      <c r="H83">
        <v>8</v>
      </c>
      <c r="I83">
        <v>141.56</v>
      </c>
      <c r="J83">
        <v>0</v>
      </c>
      <c r="K83">
        <v>1132.48</v>
      </c>
    </row>
    <row r="84" spans="1:11" x14ac:dyDescent="0.35">
      <c r="A84" t="s">
        <v>216</v>
      </c>
      <c r="B84" s="1">
        <v>45604</v>
      </c>
      <c r="C84" t="s">
        <v>90</v>
      </c>
      <c r="D84" t="s">
        <v>42</v>
      </c>
      <c r="E84" t="s">
        <v>217</v>
      </c>
      <c r="F84" t="s">
        <v>21</v>
      </c>
      <c r="G84" t="s">
        <v>194</v>
      </c>
      <c r="H84">
        <v>10</v>
      </c>
      <c r="I84">
        <v>24.34</v>
      </c>
      <c r="J84">
        <v>0</v>
      </c>
      <c r="K84">
        <v>243.4</v>
      </c>
    </row>
    <row r="85" spans="1:11" x14ac:dyDescent="0.35">
      <c r="A85" t="s">
        <v>218</v>
      </c>
      <c r="B85" s="1">
        <v>45516</v>
      </c>
      <c r="C85" t="s">
        <v>65</v>
      </c>
      <c r="D85" t="s">
        <v>13</v>
      </c>
      <c r="E85" t="s">
        <v>219</v>
      </c>
      <c r="F85" t="s">
        <v>21</v>
      </c>
      <c r="G85" t="s">
        <v>167</v>
      </c>
      <c r="H85">
        <v>3</v>
      </c>
      <c r="I85">
        <v>62.04</v>
      </c>
      <c r="J85">
        <v>0</v>
      </c>
      <c r="K85">
        <v>186.12</v>
      </c>
    </row>
    <row r="86" spans="1:11" x14ac:dyDescent="0.35">
      <c r="A86" t="s">
        <v>220</v>
      </c>
      <c r="B86" s="1">
        <v>45464</v>
      </c>
      <c r="C86" t="s">
        <v>72</v>
      </c>
      <c r="D86" t="s">
        <v>13</v>
      </c>
      <c r="E86" t="s">
        <v>221</v>
      </c>
      <c r="F86" t="s">
        <v>35</v>
      </c>
      <c r="G86" t="s">
        <v>134</v>
      </c>
      <c r="H86">
        <v>2</v>
      </c>
      <c r="I86">
        <v>27.72</v>
      </c>
      <c r="J86">
        <v>0</v>
      </c>
      <c r="K86">
        <v>55.44</v>
      </c>
    </row>
    <row r="87" spans="1:11" x14ac:dyDescent="0.35">
      <c r="A87" t="s">
        <v>202</v>
      </c>
      <c r="B87" s="1">
        <v>45404</v>
      </c>
      <c r="C87" t="s">
        <v>24</v>
      </c>
      <c r="D87" t="s">
        <v>57</v>
      </c>
      <c r="E87" t="s">
        <v>166</v>
      </c>
      <c r="F87" t="s">
        <v>44</v>
      </c>
      <c r="G87" t="s">
        <v>50</v>
      </c>
      <c r="H87">
        <v>3</v>
      </c>
      <c r="I87">
        <v>126.32</v>
      </c>
      <c r="J87">
        <v>0</v>
      </c>
      <c r="K87">
        <v>378.96</v>
      </c>
    </row>
    <row r="88" spans="1:11" x14ac:dyDescent="0.35">
      <c r="A88" t="s">
        <v>222</v>
      </c>
      <c r="B88" s="1">
        <v>45385</v>
      </c>
      <c r="C88" t="s">
        <v>48</v>
      </c>
      <c r="D88" t="s">
        <v>13</v>
      </c>
      <c r="E88" t="s">
        <v>223</v>
      </c>
      <c r="F88" t="s">
        <v>15</v>
      </c>
      <c r="G88" t="s">
        <v>111</v>
      </c>
      <c r="H88">
        <v>5</v>
      </c>
      <c r="I88">
        <v>128.35</v>
      </c>
      <c r="J88">
        <v>0</v>
      </c>
      <c r="K88">
        <v>641.75</v>
      </c>
    </row>
    <row r="89" spans="1:11" x14ac:dyDescent="0.35">
      <c r="A89" t="s">
        <v>224</v>
      </c>
      <c r="B89" s="1">
        <v>45630</v>
      </c>
      <c r="C89" t="s">
        <v>33</v>
      </c>
      <c r="D89" t="s">
        <v>25</v>
      </c>
      <c r="E89" t="s">
        <v>225</v>
      </c>
      <c r="F89" t="s">
        <v>21</v>
      </c>
      <c r="G89" t="s">
        <v>22</v>
      </c>
      <c r="H89">
        <v>10</v>
      </c>
      <c r="I89">
        <v>125.18</v>
      </c>
      <c r="J89">
        <v>0.1</v>
      </c>
      <c r="K89">
        <v>1126.6199999999999</v>
      </c>
    </row>
    <row r="90" spans="1:11" x14ac:dyDescent="0.35">
      <c r="A90" t="s">
        <v>226</v>
      </c>
      <c r="B90" s="1">
        <v>45598</v>
      </c>
      <c r="C90" t="s">
        <v>48</v>
      </c>
      <c r="D90" t="s">
        <v>42</v>
      </c>
      <c r="E90" t="s">
        <v>20</v>
      </c>
      <c r="F90" t="s">
        <v>21</v>
      </c>
      <c r="G90" t="s">
        <v>22</v>
      </c>
      <c r="H90">
        <v>5</v>
      </c>
      <c r="I90">
        <v>138.13999999999999</v>
      </c>
      <c r="J90">
        <v>0</v>
      </c>
      <c r="K90">
        <v>690.7</v>
      </c>
    </row>
    <row r="91" spans="1:11" x14ac:dyDescent="0.35">
      <c r="A91" t="s">
        <v>227</v>
      </c>
      <c r="B91" t="s">
        <v>228</v>
      </c>
      <c r="C91" t="s">
        <v>33</v>
      </c>
      <c r="D91" t="s">
        <v>19</v>
      </c>
      <c r="E91" t="s">
        <v>229</v>
      </c>
      <c r="F91" t="s">
        <v>15</v>
      </c>
      <c r="G91" t="s">
        <v>16</v>
      </c>
      <c r="H91">
        <v>12</v>
      </c>
      <c r="I91">
        <v>171.03</v>
      </c>
      <c r="J91">
        <v>0</v>
      </c>
      <c r="K91">
        <v>2052.36</v>
      </c>
    </row>
    <row r="92" spans="1:11" x14ac:dyDescent="0.35">
      <c r="A92" t="s">
        <v>230</v>
      </c>
      <c r="B92" s="1">
        <v>45358</v>
      </c>
      <c r="C92" t="s">
        <v>56</v>
      </c>
      <c r="D92" t="s">
        <v>42</v>
      </c>
      <c r="E92" t="s">
        <v>231</v>
      </c>
      <c r="F92" t="s">
        <v>15</v>
      </c>
      <c r="G92" t="s">
        <v>74</v>
      </c>
      <c r="H92">
        <v>9</v>
      </c>
      <c r="I92">
        <v>181.95</v>
      </c>
      <c r="J92">
        <v>0.05</v>
      </c>
      <c r="K92">
        <v>1555.67</v>
      </c>
    </row>
    <row r="93" spans="1:11" x14ac:dyDescent="0.35">
      <c r="A93" t="s">
        <v>232</v>
      </c>
      <c r="B93" s="2">
        <v>45649</v>
      </c>
      <c r="C93" t="s">
        <v>102</v>
      </c>
      <c r="D93" t="s">
        <v>42</v>
      </c>
      <c r="E93" t="s">
        <v>233</v>
      </c>
      <c r="F93" t="s">
        <v>53</v>
      </c>
      <c r="G93" t="s">
        <v>54</v>
      </c>
      <c r="H93">
        <v>5</v>
      </c>
      <c r="I93">
        <v>10.1</v>
      </c>
      <c r="J93">
        <v>0.15</v>
      </c>
      <c r="K93">
        <v>42.92</v>
      </c>
    </row>
    <row r="94" spans="1:11" x14ac:dyDescent="0.35">
      <c r="A94" t="s">
        <v>234</v>
      </c>
      <c r="B94" s="1">
        <v>45470</v>
      </c>
      <c r="C94" t="s">
        <v>79</v>
      </c>
      <c r="D94" t="s">
        <v>42</v>
      </c>
      <c r="E94" t="s">
        <v>34</v>
      </c>
      <c r="F94" t="s">
        <v>21</v>
      </c>
      <c r="G94" t="s">
        <v>194</v>
      </c>
      <c r="H94">
        <v>7</v>
      </c>
      <c r="I94">
        <v>106.65</v>
      </c>
      <c r="J94">
        <v>0.1</v>
      </c>
      <c r="K94">
        <v>671.9</v>
      </c>
    </row>
    <row r="95" spans="1:11" x14ac:dyDescent="0.35">
      <c r="A95" t="s">
        <v>235</v>
      </c>
      <c r="B95" t="s">
        <v>236</v>
      </c>
      <c r="C95" t="s">
        <v>38</v>
      </c>
      <c r="D95" t="s">
        <v>42</v>
      </c>
      <c r="E95" t="s">
        <v>206</v>
      </c>
      <c r="F95" t="s">
        <v>15</v>
      </c>
      <c r="G95" t="s">
        <v>27</v>
      </c>
      <c r="H95">
        <v>6</v>
      </c>
      <c r="I95">
        <v>225.56</v>
      </c>
      <c r="J95">
        <v>0.1</v>
      </c>
      <c r="K95">
        <v>1218.02</v>
      </c>
    </row>
    <row r="96" spans="1:11" x14ac:dyDescent="0.35">
      <c r="A96" t="s">
        <v>237</v>
      </c>
      <c r="B96" s="1">
        <v>45363</v>
      </c>
      <c r="C96" t="s">
        <v>65</v>
      </c>
      <c r="D96" t="s">
        <v>42</v>
      </c>
      <c r="E96" t="s">
        <v>238</v>
      </c>
      <c r="F96" t="s">
        <v>44</v>
      </c>
      <c r="G96" t="s">
        <v>50</v>
      </c>
      <c r="H96">
        <v>12</v>
      </c>
      <c r="I96">
        <v>120.2</v>
      </c>
      <c r="J96">
        <v>0</v>
      </c>
      <c r="K96">
        <v>1442.4</v>
      </c>
    </row>
    <row r="97" spans="1:11" x14ac:dyDescent="0.35">
      <c r="A97" t="s">
        <v>239</v>
      </c>
      <c r="B97" t="s">
        <v>240</v>
      </c>
      <c r="C97" t="s">
        <v>79</v>
      </c>
      <c r="D97" t="s">
        <v>42</v>
      </c>
      <c r="E97" t="s">
        <v>241</v>
      </c>
      <c r="F97" t="s">
        <v>21</v>
      </c>
      <c r="G97" t="s">
        <v>70</v>
      </c>
      <c r="H97">
        <v>12</v>
      </c>
      <c r="I97">
        <v>56.39</v>
      </c>
      <c r="J97">
        <v>0</v>
      </c>
      <c r="K97">
        <v>676.68</v>
      </c>
    </row>
    <row r="98" spans="1:11" x14ac:dyDescent="0.35">
      <c r="A98" t="s">
        <v>242</v>
      </c>
      <c r="B98" s="1">
        <v>45577</v>
      </c>
      <c r="C98" t="s">
        <v>65</v>
      </c>
      <c r="D98" t="s">
        <v>13</v>
      </c>
      <c r="E98" t="s">
        <v>243</v>
      </c>
      <c r="F98" t="s">
        <v>21</v>
      </c>
      <c r="G98" t="s">
        <v>129</v>
      </c>
      <c r="H98">
        <v>3</v>
      </c>
      <c r="I98">
        <v>70</v>
      </c>
      <c r="J98">
        <v>0.05</v>
      </c>
      <c r="K98">
        <v>199.5</v>
      </c>
    </row>
    <row r="99" spans="1:11" x14ac:dyDescent="0.35">
      <c r="A99" t="s">
        <v>244</v>
      </c>
      <c r="B99" t="s">
        <v>245</v>
      </c>
      <c r="C99" t="s">
        <v>41</v>
      </c>
      <c r="D99" t="s">
        <v>13</v>
      </c>
      <c r="E99" t="s">
        <v>246</v>
      </c>
      <c r="F99" t="s">
        <v>35</v>
      </c>
      <c r="G99" t="s">
        <v>36</v>
      </c>
      <c r="H99">
        <v>3</v>
      </c>
      <c r="I99">
        <v>22.5</v>
      </c>
      <c r="J99">
        <v>0</v>
      </c>
      <c r="K99">
        <v>67.5</v>
      </c>
    </row>
    <row r="100" spans="1:11" x14ac:dyDescent="0.35">
      <c r="A100" t="s">
        <v>247</v>
      </c>
      <c r="B100" s="1">
        <v>45363</v>
      </c>
      <c r="C100" t="s">
        <v>102</v>
      </c>
      <c r="D100" t="s">
        <v>25</v>
      </c>
      <c r="E100" t="s">
        <v>248</v>
      </c>
      <c r="F100" t="s">
        <v>15</v>
      </c>
      <c r="G100" t="s">
        <v>111</v>
      </c>
      <c r="H100">
        <v>11</v>
      </c>
      <c r="I100">
        <v>51.54</v>
      </c>
      <c r="J100">
        <v>0</v>
      </c>
      <c r="K100">
        <v>566.94000000000005</v>
      </c>
    </row>
    <row r="101" spans="1:11" x14ac:dyDescent="0.35">
      <c r="A101" t="s">
        <v>249</v>
      </c>
      <c r="B101" s="1">
        <v>45315</v>
      </c>
      <c r="C101" t="s">
        <v>24</v>
      </c>
      <c r="D101" t="s">
        <v>42</v>
      </c>
      <c r="E101" t="s">
        <v>250</v>
      </c>
      <c r="F101" t="s">
        <v>44</v>
      </c>
      <c r="G101" t="s">
        <v>45</v>
      </c>
      <c r="H101">
        <v>5</v>
      </c>
      <c r="I101">
        <v>82.07</v>
      </c>
      <c r="J101">
        <v>0</v>
      </c>
      <c r="K101">
        <v>410.35</v>
      </c>
    </row>
    <row r="102" spans="1:11" x14ac:dyDescent="0.35">
      <c r="A102" t="s">
        <v>251</v>
      </c>
      <c r="B102" s="2">
        <v>45655</v>
      </c>
      <c r="C102" t="s">
        <v>90</v>
      </c>
      <c r="D102" t="s">
        <v>25</v>
      </c>
      <c r="E102" t="s">
        <v>66</v>
      </c>
      <c r="F102" t="s">
        <v>53</v>
      </c>
      <c r="G102" t="s">
        <v>125</v>
      </c>
      <c r="H102">
        <v>1</v>
      </c>
      <c r="I102">
        <v>95.46</v>
      </c>
      <c r="J102">
        <v>0.15</v>
      </c>
      <c r="K102">
        <v>81.14</v>
      </c>
    </row>
    <row r="103" spans="1:11" x14ac:dyDescent="0.35">
      <c r="A103" t="s">
        <v>252</v>
      </c>
      <c r="B103" s="1">
        <v>45508</v>
      </c>
      <c r="C103" t="s">
        <v>65</v>
      </c>
      <c r="D103" t="s">
        <v>57</v>
      </c>
      <c r="E103" t="s">
        <v>250</v>
      </c>
      <c r="F103" t="s">
        <v>44</v>
      </c>
      <c r="G103" t="s">
        <v>86</v>
      </c>
      <c r="H103">
        <v>8</v>
      </c>
      <c r="I103">
        <v>224.78</v>
      </c>
      <c r="J103">
        <v>0</v>
      </c>
      <c r="K103">
        <v>1798.24</v>
      </c>
    </row>
    <row r="104" spans="1:11" x14ac:dyDescent="0.35">
      <c r="A104" t="s">
        <v>253</v>
      </c>
      <c r="B104" s="2">
        <v>45345</v>
      </c>
      <c r="C104" t="s">
        <v>56</v>
      </c>
      <c r="D104" t="s">
        <v>13</v>
      </c>
      <c r="E104" t="s">
        <v>73</v>
      </c>
      <c r="F104" t="s">
        <v>44</v>
      </c>
      <c r="G104" t="s">
        <v>94</v>
      </c>
      <c r="H104">
        <v>1</v>
      </c>
      <c r="I104">
        <v>219.65</v>
      </c>
      <c r="J104">
        <v>0.05</v>
      </c>
      <c r="K104">
        <v>208.67</v>
      </c>
    </row>
    <row r="105" spans="1:11" x14ac:dyDescent="0.35">
      <c r="A105" t="s">
        <v>254</v>
      </c>
      <c r="B105" t="s">
        <v>255</v>
      </c>
      <c r="C105" t="s">
        <v>38</v>
      </c>
      <c r="D105" t="s">
        <v>57</v>
      </c>
      <c r="E105" t="s">
        <v>166</v>
      </c>
      <c r="F105" t="s">
        <v>21</v>
      </c>
      <c r="G105" t="s">
        <v>70</v>
      </c>
      <c r="H105">
        <v>6</v>
      </c>
      <c r="I105">
        <v>30.94</v>
      </c>
      <c r="J105">
        <v>0</v>
      </c>
      <c r="K105">
        <v>185.64</v>
      </c>
    </row>
    <row r="106" spans="1:11" x14ac:dyDescent="0.35">
      <c r="A106" t="s">
        <v>256</v>
      </c>
      <c r="B106" t="s">
        <v>47</v>
      </c>
      <c r="C106" t="s">
        <v>41</v>
      </c>
      <c r="D106" t="s">
        <v>25</v>
      </c>
      <c r="E106" t="s">
        <v>257</v>
      </c>
      <c r="F106" t="s">
        <v>15</v>
      </c>
      <c r="G106" t="s">
        <v>27</v>
      </c>
      <c r="H106">
        <v>7</v>
      </c>
      <c r="I106">
        <v>136.41999999999999</v>
      </c>
      <c r="J106">
        <v>0.1</v>
      </c>
      <c r="K106">
        <v>859.45</v>
      </c>
    </row>
    <row r="107" spans="1:11" x14ac:dyDescent="0.35">
      <c r="A107" t="s">
        <v>258</v>
      </c>
      <c r="B107" s="1">
        <v>45411</v>
      </c>
      <c r="C107" t="s">
        <v>24</v>
      </c>
      <c r="D107" t="s">
        <v>57</v>
      </c>
      <c r="E107" t="s">
        <v>259</v>
      </c>
      <c r="F107" t="s">
        <v>53</v>
      </c>
      <c r="G107" t="s">
        <v>260</v>
      </c>
      <c r="H107">
        <v>8</v>
      </c>
      <c r="I107">
        <v>98.13</v>
      </c>
      <c r="J107">
        <v>0.15</v>
      </c>
      <c r="K107">
        <v>667.28</v>
      </c>
    </row>
    <row r="108" spans="1:11" x14ac:dyDescent="0.35">
      <c r="A108" t="s">
        <v>261</v>
      </c>
      <c r="B108" s="1">
        <v>45298</v>
      </c>
      <c r="C108" t="s">
        <v>56</v>
      </c>
      <c r="D108" t="s">
        <v>42</v>
      </c>
      <c r="E108" t="s">
        <v>124</v>
      </c>
      <c r="F108" t="s">
        <v>35</v>
      </c>
      <c r="G108" t="s">
        <v>83</v>
      </c>
      <c r="H108">
        <v>2</v>
      </c>
      <c r="I108">
        <v>177.15</v>
      </c>
      <c r="J108">
        <v>0</v>
      </c>
      <c r="K108">
        <v>354.3</v>
      </c>
    </row>
    <row r="109" spans="1:11" x14ac:dyDescent="0.35">
      <c r="A109" t="s">
        <v>262</v>
      </c>
      <c r="B109" s="1">
        <v>45644</v>
      </c>
      <c r="C109" t="s">
        <v>48</v>
      </c>
      <c r="D109" t="s">
        <v>19</v>
      </c>
      <c r="E109" t="s">
        <v>263</v>
      </c>
      <c r="F109" t="s">
        <v>53</v>
      </c>
      <c r="G109" t="s">
        <v>63</v>
      </c>
      <c r="H109">
        <v>4</v>
      </c>
      <c r="I109">
        <v>7.9</v>
      </c>
      <c r="J109">
        <v>0.05</v>
      </c>
      <c r="K109">
        <v>30.02</v>
      </c>
    </row>
    <row r="110" spans="1:11" x14ac:dyDescent="0.35">
      <c r="A110" t="s">
        <v>264</v>
      </c>
      <c r="B110" s="1">
        <v>45373</v>
      </c>
      <c r="C110" t="s">
        <v>79</v>
      </c>
      <c r="D110" t="s">
        <v>42</v>
      </c>
      <c r="E110" t="s">
        <v>34</v>
      </c>
      <c r="F110" t="s">
        <v>21</v>
      </c>
      <c r="G110" t="s">
        <v>70</v>
      </c>
      <c r="H110">
        <v>5</v>
      </c>
      <c r="I110">
        <v>191.88</v>
      </c>
      <c r="J110">
        <v>0</v>
      </c>
      <c r="K110">
        <v>959.4</v>
      </c>
    </row>
    <row r="111" spans="1:11" x14ac:dyDescent="0.35">
      <c r="A111" t="s">
        <v>265</v>
      </c>
      <c r="B111" s="1">
        <v>45480</v>
      </c>
      <c r="C111" t="s">
        <v>90</v>
      </c>
      <c r="D111" t="s">
        <v>13</v>
      </c>
      <c r="E111" t="s">
        <v>266</v>
      </c>
      <c r="F111" t="s">
        <v>44</v>
      </c>
      <c r="G111" t="s">
        <v>86</v>
      </c>
      <c r="H111">
        <v>1</v>
      </c>
      <c r="I111">
        <v>175.4</v>
      </c>
      <c r="J111">
        <v>0.15</v>
      </c>
      <c r="K111">
        <v>149.09</v>
      </c>
    </row>
    <row r="112" spans="1:11" x14ac:dyDescent="0.35">
      <c r="A112" t="s">
        <v>267</v>
      </c>
      <c r="B112" t="s">
        <v>268</v>
      </c>
      <c r="C112" t="s">
        <v>41</v>
      </c>
      <c r="D112" t="s">
        <v>42</v>
      </c>
      <c r="E112" t="s">
        <v>193</v>
      </c>
      <c r="F112" t="s">
        <v>35</v>
      </c>
      <c r="G112" t="s">
        <v>36</v>
      </c>
      <c r="H112">
        <v>6</v>
      </c>
      <c r="I112">
        <v>126.47</v>
      </c>
      <c r="J112">
        <v>0.15</v>
      </c>
      <c r="K112">
        <v>645</v>
      </c>
    </row>
    <row r="113" spans="1:11" x14ac:dyDescent="0.35">
      <c r="A113" t="s">
        <v>269</v>
      </c>
      <c r="B113" s="1">
        <v>45547</v>
      </c>
      <c r="C113" t="s">
        <v>33</v>
      </c>
      <c r="D113" t="s">
        <v>25</v>
      </c>
      <c r="E113" t="s">
        <v>139</v>
      </c>
      <c r="F113" t="s">
        <v>44</v>
      </c>
      <c r="G113" t="s">
        <v>86</v>
      </c>
      <c r="H113">
        <v>3</v>
      </c>
      <c r="I113">
        <v>101.01</v>
      </c>
      <c r="J113">
        <v>0.1</v>
      </c>
      <c r="K113">
        <v>272.73</v>
      </c>
    </row>
    <row r="114" spans="1:11" x14ac:dyDescent="0.35">
      <c r="A114" t="s">
        <v>270</v>
      </c>
      <c r="B114" t="s">
        <v>162</v>
      </c>
      <c r="C114" t="s">
        <v>90</v>
      </c>
      <c r="D114" t="s">
        <v>25</v>
      </c>
      <c r="E114" t="s">
        <v>139</v>
      </c>
      <c r="F114" t="s">
        <v>44</v>
      </c>
      <c r="G114" t="s">
        <v>94</v>
      </c>
      <c r="H114">
        <v>11</v>
      </c>
      <c r="I114">
        <v>64.400000000000006</v>
      </c>
      <c r="J114">
        <v>0.1</v>
      </c>
      <c r="K114">
        <v>637.55999999999995</v>
      </c>
    </row>
    <row r="115" spans="1:11" x14ac:dyDescent="0.35">
      <c r="A115" t="s">
        <v>271</v>
      </c>
      <c r="B115" s="2">
        <v>45340</v>
      </c>
      <c r="C115" t="s">
        <v>18</v>
      </c>
      <c r="D115" t="s">
        <v>13</v>
      </c>
      <c r="E115" t="s">
        <v>272</v>
      </c>
      <c r="F115" t="s">
        <v>53</v>
      </c>
      <c r="G115" t="s">
        <v>63</v>
      </c>
      <c r="H115">
        <v>10</v>
      </c>
      <c r="I115">
        <v>52.6</v>
      </c>
      <c r="J115">
        <v>0</v>
      </c>
      <c r="K115">
        <v>526</v>
      </c>
    </row>
    <row r="116" spans="1:11" x14ac:dyDescent="0.35">
      <c r="A116" t="s">
        <v>273</v>
      </c>
      <c r="B116" s="1">
        <v>45601</v>
      </c>
      <c r="C116" t="s">
        <v>90</v>
      </c>
      <c r="D116" t="s">
        <v>42</v>
      </c>
      <c r="E116" t="s">
        <v>274</v>
      </c>
      <c r="F116" t="s">
        <v>21</v>
      </c>
      <c r="G116" t="s">
        <v>129</v>
      </c>
      <c r="H116">
        <v>1</v>
      </c>
      <c r="I116">
        <v>95.18</v>
      </c>
      <c r="J116">
        <v>0.05</v>
      </c>
      <c r="K116">
        <v>90.42</v>
      </c>
    </row>
    <row r="117" spans="1:11" x14ac:dyDescent="0.35">
      <c r="A117" t="s">
        <v>275</v>
      </c>
      <c r="B117" s="1">
        <v>45650</v>
      </c>
      <c r="C117" t="s">
        <v>56</v>
      </c>
      <c r="D117" t="s">
        <v>19</v>
      </c>
      <c r="E117" t="s">
        <v>199</v>
      </c>
      <c r="F117" t="s">
        <v>44</v>
      </c>
      <c r="G117" t="s">
        <v>45</v>
      </c>
      <c r="H117">
        <v>6</v>
      </c>
      <c r="I117">
        <v>227.95</v>
      </c>
      <c r="J117">
        <v>0</v>
      </c>
      <c r="K117">
        <v>1367.7</v>
      </c>
    </row>
    <row r="118" spans="1:11" x14ac:dyDescent="0.35">
      <c r="A118" t="s">
        <v>276</v>
      </c>
      <c r="B118" t="s">
        <v>277</v>
      </c>
      <c r="C118" t="s">
        <v>24</v>
      </c>
      <c r="D118" t="s">
        <v>25</v>
      </c>
      <c r="E118" t="s">
        <v>278</v>
      </c>
      <c r="F118" t="s">
        <v>53</v>
      </c>
      <c r="G118" t="s">
        <v>63</v>
      </c>
      <c r="H118">
        <v>12</v>
      </c>
      <c r="I118">
        <v>228.31</v>
      </c>
      <c r="J118">
        <v>0.15</v>
      </c>
      <c r="K118">
        <v>2328.7600000000002</v>
      </c>
    </row>
    <row r="119" spans="1:11" x14ac:dyDescent="0.35">
      <c r="A119" t="s">
        <v>279</v>
      </c>
      <c r="B119" s="2">
        <v>45343</v>
      </c>
      <c r="C119" t="s">
        <v>18</v>
      </c>
      <c r="D119" t="s">
        <v>42</v>
      </c>
      <c r="E119" t="s">
        <v>39</v>
      </c>
      <c r="F119" t="s">
        <v>21</v>
      </c>
      <c r="G119" t="s">
        <v>129</v>
      </c>
      <c r="H119">
        <v>8</v>
      </c>
      <c r="I119">
        <v>236.05</v>
      </c>
      <c r="J119">
        <v>0</v>
      </c>
      <c r="K119">
        <v>1888.4</v>
      </c>
    </row>
    <row r="120" spans="1:11" x14ac:dyDescent="0.35">
      <c r="A120" t="s">
        <v>280</v>
      </c>
      <c r="B120" s="1">
        <v>45471</v>
      </c>
      <c r="C120" t="s">
        <v>18</v>
      </c>
      <c r="D120" t="s">
        <v>13</v>
      </c>
      <c r="E120" t="s">
        <v>69</v>
      </c>
      <c r="F120" t="s">
        <v>35</v>
      </c>
      <c r="G120" t="s">
        <v>177</v>
      </c>
      <c r="H120">
        <v>5</v>
      </c>
      <c r="I120">
        <v>60.44</v>
      </c>
      <c r="J120">
        <v>0</v>
      </c>
      <c r="K120">
        <v>302.2</v>
      </c>
    </row>
    <row r="121" spans="1:11" x14ac:dyDescent="0.35">
      <c r="A121" t="s">
        <v>281</v>
      </c>
      <c r="B121" s="2">
        <v>45511</v>
      </c>
      <c r="C121" t="s">
        <v>90</v>
      </c>
      <c r="D121" t="s">
        <v>13</v>
      </c>
      <c r="E121" t="s">
        <v>282</v>
      </c>
      <c r="F121" t="s">
        <v>35</v>
      </c>
      <c r="G121" t="s">
        <v>134</v>
      </c>
      <c r="H121">
        <v>8</v>
      </c>
      <c r="I121">
        <v>56.35</v>
      </c>
      <c r="J121">
        <v>0.1</v>
      </c>
      <c r="K121">
        <v>405.72</v>
      </c>
    </row>
    <row r="122" spans="1:11" x14ac:dyDescent="0.35">
      <c r="A122" t="s">
        <v>283</v>
      </c>
      <c r="B122" s="2">
        <v>45498</v>
      </c>
      <c r="C122" t="s">
        <v>56</v>
      </c>
      <c r="D122" t="s">
        <v>42</v>
      </c>
      <c r="E122" t="s">
        <v>284</v>
      </c>
      <c r="F122" t="s">
        <v>21</v>
      </c>
      <c r="G122" t="s">
        <v>194</v>
      </c>
      <c r="H122">
        <v>8</v>
      </c>
      <c r="I122">
        <v>97.38</v>
      </c>
      <c r="J122">
        <v>0</v>
      </c>
      <c r="K122">
        <v>779.04</v>
      </c>
    </row>
    <row r="123" spans="1:11" x14ac:dyDescent="0.35">
      <c r="A123" t="s">
        <v>285</v>
      </c>
      <c r="B123" s="1">
        <v>45515</v>
      </c>
      <c r="C123" t="s">
        <v>56</v>
      </c>
      <c r="D123" t="s">
        <v>19</v>
      </c>
      <c r="E123" t="s">
        <v>286</v>
      </c>
      <c r="F123" t="s">
        <v>35</v>
      </c>
      <c r="G123" t="s">
        <v>177</v>
      </c>
      <c r="H123">
        <v>5</v>
      </c>
      <c r="I123">
        <v>44.65</v>
      </c>
      <c r="J123">
        <v>0</v>
      </c>
      <c r="K123">
        <v>223.25</v>
      </c>
    </row>
    <row r="124" spans="1:11" x14ac:dyDescent="0.35">
      <c r="A124" t="s">
        <v>287</v>
      </c>
      <c r="B124" s="2">
        <v>45580</v>
      </c>
      <c r="C124" t="s">
        <v>41</v>
      </c>
      <c r="D124" t="s">
        <v>42</v>
      </c>
      <c r="E124" t="s">
        <v>288</v>
      </c>
      <c r="F124" t="s">
        <v>44</v>
      </c>
      <c r="G124" t="s">
        <v>45</v>
      </c>
      <c r="H124">
        <v>6</v>
      </c>
      <c r="I124">
        <v>223.19</v>
      </c>
      <c r="J124">
        <v>0.1</v>
      </c>
      <c r="K124">
        <v>1205.23</v>
      </c>
    </row>
    <row r="125" spans="1:11" x14ac:dyDescent="0.35">
      <c r="A125" t="s">
        <v>289</v>
      </c>
      <c r="B125" s="1">
        <v>45417</v>
      </c>
      <c r="C125" t="s">
        <v>65</v>
      </c>
      <c r="D125" t="s">
        <v>19</v>
      </c>
      <c r="E125" t="s">
        <v>286</v>
      </c>
      <c r="F125" t="s">
        <v>44</v>
      </c>
      <c r="G125" t="s">
        <v>86</v>
      </c>
      <c r="H125">
        <v>9</v>
      </c>
      <c r="I125">
        <v>161.12</v>
      </c>
      <c r="J125">
        <v>0.1</v>
      </c>
      <c r="K125">
        <v>1305.07</v>
      </c>
    </row>
    <row r="126" spans="1:11" x14ac:dyDescent="0.35">
      <c r="A126" t="s">
        <v>290</v>
      </c>
      <c r="B126" s="2">
        <v>45491</v>
      </c>
      <c r="C126" t="s">
        <v>90</v>
      </c>
      <c r="D126" t="s">
        <v>19</v>
      </c>
      <c r="E126" t="s">
        <v>291</v>
      </c>
      <c r="F126" t="s">
        <v>21</v>
      </c>
      <c r="G126" t="s">
        <v>194</v>
      </c>
      <c r="H126">
        <v>10</v>
      </c>
      <c r="I126">
        <v>192.18</v>
      </c>
      <c r="J126">
        <v>0.15</v>
      </c>
      <c r="K126">
        <v>1633.53</v>
      </c>
    </row>
    <row r="127" spans="1:11" x14ac:dyDescent="0.35">
      <c r="A127" t="s">
        <v>292</v>
      </c>
      <c r="B127" s="1">
        <v>45594</v>
      </c>
      <c r="C127" t="s">
        <v>48</v>
      </c>
      <c r="D127" t="s">
        <v>19</v>
      </c>
      <c r="E127" t="s">
        <v>293</v>
      </c>
      <c r="F127" t="s">
        <v>53</v>
      </c>
      <c r="G127" t="s">
        <v>54</v>
      </c>
      <c r="H127">
        <v>2</v>
      </c>
      <c r="I127">
        <v>91.23</v>
      </c>
      <c r="J127">
        <v>0</v>
      </c>
      <c r="K127">
        <v>182.46</v>
      </c>
    </row>
    <row r="128" spans="1:11" x14ac:dyDescent="0.35">
      <c r="A128" t="s">
        <v>294</v>
      </c>
      <c r="B128" s="1">
        <v>45584</v>
      </c>
      <c r="C128" t="s">
        <v>18</v>
      </c>
      <c r="D128" t="s">
        <v>19</v>
      </c>
      <c r="E128" t="s">
        <v>288</v>
      </c>
      <c r="F128" t="s">
        <v>44</v>
      </c>
      <c r="G128" t="s">
        <v>86</v>
      </c>
      <c r="H128">
        <v>11</v>
      </c>
      <c r="I128">
        <v>208.14</v>
      </c>
      <c r="J128">
        <v>0.05</v>
      </c>
      <c r="K128">
        <v>2175.06</v>
      </c>
    </row>
    <row r="129" spans="1:11" x14ac:dyDescent="0.35">
      <c r="A129" t="s">
        <v>295</v>
      </c>
      <c r="B129" s="1">
        <v>45525</v>
      </c>
      <c r="C129" t="s">
        <v>90</v>
      </c>
      <c r="D129" t="s">
        <v>19</v>
      </c>
      <c r="E129" t="s">
        <v>296</v>
      </c>
      <c r="F129" t="s">
        <v>21</v>
      </c>
      <c r="G129" t="s">
        <v>167</v>
      </c>
      <c r="H129">
        <v>11</v>
      </c>
      <c r="I129">
        <v>111.25</v>
      </c>
      <c r="J129">
        <v>0</v>
      </c>
      <c r="K129">
        <v>1223.75</v>
      </c>
    </row>
    <row r="130" spans="1:11" x14ac:dyDescent="0.35">
      <c r="A130" t="s">
        <v>297</v>
      </c>
      <c r="B130" s="1">
        <v>45654</v>
      </c>
      <c r="C130" t="s">
        <v>18</v>
      </c>
      <c r="D130" t="s">
        <v>57</v>
      </c>
      <c r="E130" t="s">
        <v>113</v>
      </c>
      <c r="F130" t="s">
        <v>53</v>
      </c>
      <c r="G130" t="s">
        <v>54</v>
      </c>
      <c r="H130">
        <v>6</v>
      </c>
      <c r="I130">
        <v>188.85</v>
      </c>
      <c r="J130">
        <v>0</v>
      </c>
      <c r="K130">
        <v>1133.0999999999999</v>
      </c>
    </row>
    <row r="131" spans="1:11" x14ac:dyDescent="0.35">
      <c r="A131" t="s">
        <v>298</v>
      </c>
      <c r="B131" s="1">
        <v>45564</v>
      </c>
      <c r="C131" t="s">
        <v>48</v>
      </c>
      <c r="D131" t="s">
        <v>25</v>
      </c>
      <c r="E131" t="s">
        <v>299</v>
      </c>
      <c r="F131" t="s">
        <v>44</v>
      </c>
      <c r="G131" t="s">
        <v>86</v>
      </c>
      <c r="H131">
        <v>9</v>
      </c>
      <c r="I131">
        <v>50.67</v>
      </c>
      <c r="J131">
        <v>0.05</v>
      </c>
      <c r="K131">
        <v>433.23</v>
      </c>
    </row>
    <row r="132" spans="1:11" x14ac:dyDescent="0.35">
      <c r="A132" t="s">
        <v>300</v>
      </c>
      <c r="B132" s="1">
        <v>45494</v>
      </c>
      <c r="C132" t="s">
        <v>72</v>
      </c>
      <c r="D132" t="s">
        <v>57</v>
      </c>
      <c r="E132" t="s">
        <v>100</v>
      </c>
      <c r="F132" t="s">
        <v>44</v>
      </c>
      <c r="G132" t="s">
        <v>45</v>
      </c>
      <c r="H132">
        <v>12</v>
      </c>
      <c r="I132">
        <v>208.47</v>
      </c>
      <c r="J132">
        <v>0.1</v>
      </c>
      <c r="K132">
        <v>2251.48</v>
      </c>
    </row>
    <row r="133" spans="1:11" x14ac:dyDescent="0.35">
      <c r="A133" t="s">
        <v>301</v>
      </c>
      <c r="B133" s="1">
        <v>45505</v>
      </c>
      <c r="C133" t="s">
        <v>33</v>
      </c>
      <c r="D133" t="s">
        <v>13</v>
      </c>
      <c r="E133" t="s">
        <v>302</v>
      </c>
      <c r="F133" t="s">
        <v>44</v>
      </c>
      <c r="G133" t="s">
        <v>50</v>
      </c>
      <c r="H133">
        <v>2</v>
      </c>
      <c r="I133">
        <v>71.459999999999994</v>
      </c>
      <c r="J133">
        <v>0.1</v>
      </c>
      <c r="K133">
        <v>128.63</v>
      </c>
    </row>
    <row r="134" spans="1:11" x14ac:dyDescent="0.35">
      <c r="A134" t="s">
        <v>303</v>
      </c>
      <c r="B134" s="1">
        <v>45481</v>
      </c>
      <c r="C134" t="s">
        <v>18</v>
      </c>
      <c r="D134" t="s">
        <v>57</v>
      </c>
      <c r="E134" t="s">
        <v>304</v>
      </c>
      <c r="F134" t="s">
        <v>15</v>
      </c>
      <c r="G134" t="s">
        <v>74</v>
      </c>
      <c r="H134">
        <v>5</v>
      </c>
      <c r="I134">
        <v>8.9700000000000006</v>
      </c>
      <c r="J134">
        <v>0.1</v>
      </c>
      <c r="K134">
        <v>40.369999999999997</v>
      </c>
    </row>
    <row r="135" spans="1:11" x14ac:dyDescent="0.35">
      <c r="A135" t="s">
        <v>305</v>
      </c>
      <c r="B135" s="1">
        <v>45383</v>
      </c>
      <c r="C135" t="s">
        <v>18</v>
      </c>
      <c r="D135" t="s">
        <v>13</v>
      </c>
      <c r="E135" t="s">
        <v>20</v>
      </c>
      <c r="F135" t="s">
        <v>15</v>
      </c>
      <c r="G135" t="s">
        <v>111</v>
      </c>
      <c r="H135">
        <v>11</v>
      </c>
      <c r="I135">
        <v>191.31</v>
      </c>
      <c r="J135">
        <v>0</v>
      </c>
      <c r="K135">
        <v>2104.41</v>
      </c>
    </row>
    <row r="136" spans="1:11" x14ac:dyDescent="0.35">
      <c r="A136" t="s">
        <v>306</v>
      </c>
      <c r="B136" s="2">
        <v>45630</v>
      </c>
      <c r="C136" t="s">
        <v>29</v>
      </c>
      <c r="D136" t="s">
        <v>13</v>
      </c>
      <c r="E136" t="s">
        <v>189</v>
      </c>
      <c r="F136" t="s">
        <v>44</v>
      </c>
      <c r="G136" t="s">
        <v>86</v>
      </c>
      <c r="H136">
        <v>2</v>
      </c>
      <c r="I136">
        <v>78.209999999999994</v>
      </c>
      <c r="J136">
        <v>0.1</v>
      </c>
      <c r="K136">
        <v>140.78</v>
      </c>
    </row>
    <row r="137" spans="1:11" x14ac:dyDescent="0.35">
      <c r="A137" t="s">
        <v>307</v>
      </c>
      <c r="B137" s="1">
        <v>45624</v>
      </c>
      <c r="C137" t="s">
        <v>24</v>
      </c>
      <c r="D137" t="s">
        <v>57</v>
      </c>
      <c r="E137" t="s">
        <v>201</v>
      </c>
      <c r="F137" t="s">
        <v>21</v>
      </c>
      <c r="G137" t="s">
        <v>129</v>
      </c>
      <c r="H137">
        <v>6</v>
      </c>
      <c r="I137">
        <v>160.01</v>
      </c>
      <c r="J137">
        <v>0</v>
      </c>
      <c r="K137">
        <v>960.06</v>
      </c>
    </row>
    <row r="138" spans="1:11" x14ac:dyDescent="0.35">
      <c r="A138" t="s">
        <v>308</v>
      </c>
      <c r="B138" s="1">
        <v>45466</v>
      </c>
      <c r="C138" t="s">
        <v>79</v>
      </c>
      <c r="D138" t="s">
        <v>19</v>
      </c>
      <c r="E138" t="s">
        <v>309</v>
      </c>
      <c r="F138" t="s">
        <v>53</v>
      </c>
      <c r="G138" t="s">
        <v>104</v>
      </c>
      <c r="H138">
        <v>5</v>
      </c>
      <c r="I138">
        <v>201.72</v>
      </c>
      <c r="J138">
        <v>0.1</v>
      </c>
      <c r="K138">
        <v>907.74</v>
      </c>
    </row>
    <row r="139" spans="1:11" x14ac:dyDescent="0.35">
      <c r="A139" t="s">
        <v>310</v>
      </c>
      <c r="B139" s="2">
        <v>45605</v>
      </c>
      <c r="C139" t="s">
        <v>56</v>
      </c>
      <c r="D139" t="s">
        <v>57</v>
      </c>
      <c r="E139" t="s">
        <v>311</v>
      </c>
      <c r="F139" t="s">
        <v>35</v>
      </c>
      <c r="G139" t="s">
        <v>134</v>
      </c>
      <c r="H139">
        <v>5</v>
      </c>
      <c r="I139">
        <v>212.67</v>
      </c>
      <c r="J139">
        <v>0</v>
      </c>
      <c r="K139">
        <v>1063.3499999999999</v>
      </c>
    </row>
    <row r="140" spans="1:11" x14ac:dyDescent="0.35">
      <c r="A140" t="s">
        <v>312</v>
      </c>
      <c r="B140" s="1">
        <v>45299</v>
      </c>
      <c r="C140" t="s">
        <v>90</v>
      </c>
      <c r="D140" t="s">
        <v>13</v>
      </c>
      <c r="E140" t="s">
        <v>313</v>
      </c>
      <c r="F140" t="s">
        <v>21</v>
      </c>
      <c r="G140" t="s">
        <v>194</v>
      </c>
      <c r="H140">
        <v>5</v>
      </c>
      <c r="I140">
        <v>200.9</v>
      </c>
      <c r="J140">
        <v>0</v>
      </c>
      <c r="K140">
        <v>1004.5</v>
      </c>
    </row>
    <row r="141" spans="1:11" x14ac:dyDescent="0.35">
      <c r="A141" t="s">
        <v>314</v>
      </c>
      <c r="B141" s="2">
        <v>45471</v>
      </c>
      <c r="C141" t="s">
        <v>102</v>
      </c>
      <c r="D141" t="s">
        <v>25</v>
      </c>
      <c r="E141" t="s">
        <v>315</v>
      </c>
      <c r="F141" t="s">
        <v>44</v>
      </c>
      <c r="G141" t="s">
        <v>86</v>
      </c>
      <c r="H141">
        <v>7</v>
      </c>
      <c r="I141">
        <v>248.69</v>
      </c>
      <c r="J141">
        <v>0</v>
      </c>
      <c r="K141">
        <v>1740.83</v>
      </c>
    </row>
    <row r="142" spans="1:11" x14ac:dyDescent="0.35">
      <c r="A142" t="s">
        <v>316</v>
      </c>
      <c r="B142" s="1">
        <v>45637</v>
      </c>
      <c r="C142" t="s">
        <v>90</v>
      </c>
      <c r="D142" t="s">
        <v>42</v>
      </c>
      <c r="E142" t="s">
        <v>317</v>
      </c>
      <c r="F142" t="s">
        <v>53</v>
      </c>
      <c r="G142" t="s">
        <v>125</v>
      </c>
      <c r="H142">
        <v>6</v>
      </c>
      <c r="I142">
        <v>41.84</v>
      </c>
      <c r="J142">
        <v>0.15</v>
      </c>
      <c r="K142">
        <v>213.38</v>
      </c>
    </row>
    <row r="143" spans="1:11" x14ac:dyDescent="0.35">
      <c r="A143" t="s">
        <v>318</v>
      </c>
      <c r="B143" t="s">
        <v>319</v>
      </c>
      <c r="C143" t="s">
        <v>38</v>
      </c>
      <c r="D143" t="s">
        <v>25</v>
      </c>
      <c r="E143" t="s">
        <v>231</v>
      </c>
      <c r="F143" t="s">
        <v>35</v>
      </c>
      <c r="G143" t="s">
        <v>177</v>
      </c>
      <c r="H143">
        <v>10</v>
      </c>
      <c r="I143">
        <v>13.23</v>
      </c>
      <c r="J143">
        <v>0.1</v>
      </c>
      <c r="K143">
        <v>119.07</v>
      </c>
    </row>
    <row r="144" spans="1:11" x14ac:dyDescent="0.35">
      <c r="A144" t="s">
        <v>320</v>
      </c>
      <c r="B144" s="2">
        <v>45616</v>
      </c>
      <c r="C144" t="s">
        <v>102</v>
      </c>
      <c r="E144" t="s">
        <v>321</v>
      </c>
      <c r="F144" t="s">
        <v>15</v>
      </c>
      <c r="G144" t="s">
        <v>111</v>
      </c>
      <c r="H144">
        <v>6</v>
      </c>
      <c r="I144">
        <v>207.41</v>
      </c>
      <c r="J144">
        <v>0.1</v>
      </c>
      <c r="K144">
        <v>1120.01</v>
      </c>
    </row>
    <row r="145" spans="1:11" x14ac:dyDescent="0.35">
      <c r="A145" t="s">
        <v>322</v>
      </c>
      <c r="B145" s="1">
        <v>45343</v>
      </c>
      <c r="C145" t="s">
        <v>12</v>
      </c>
      <c r="D145" t="s">
        <v>57</v>
      </c>
      <c r="E145" t="s">
        <v>288</v>
      </c>
      <c r="F145" t="s">
        <v>44</v>
      </c>
      <c r="G145" t="s">
        <v>86</v>
      </c>
      <c r="H145">
        <v>11</v>
      </c>
      <c r="I145">
        <v>114.38</v>
      </c>
      <c r="J145">
        <v>0.15</v>
      </c>
      <c r="K145">
        <v>1069.45</v>
      </c>
    </row>
    <row r="146" spans="1:11" x14ac:dyDescent="0.35">
      <c r="A146" t="s">
        <v>323</v>
      </c>
      <c r="B146" s="1">
        <v>45453</v>
      </c>
      <c r="C146" t="s">
        <v>41</v>
      </c>
      <c r="D146" t="s">
        <v>13</v>
      </c>
      <c r="E146" t="s">
        <v>120</v>
      </c>
      <c r="F146" t="s">
        <v>35</v>
      </c>
      <c r="G146" t="s">
        <v>134</v>
      </c>
      <c r="H146">
        <v>7</v>
      </c>
      <c r="I146">
        <v>41.89</v>
      </c>
      <c r="J146">
        <v>0</v>
      </c>
      <c r="K146">
        <v>293.23</v>
      </c>
    </row>
    <row r="147" spans="1:11" x14ac:dyDescent="0.35">
      <c r="A147" t="s">
        <v>324</v>
      </c>
      <c r="B147" s="1">
        <v>45365</v>
      </c>
      <c r="C147" t="s">
        <v>56</v>
      </c>
      <c r="D147" t="s">
        <v>19</v>
      </c>
      <c r="E147" t="s">
        <v>272</v>
      </c>
      <c r="F147" t="s">
        <v>15</v>
      </c>
      <c r="G147" t="s">
        <v>27</v>
      </c>
      <c r="H147">
        <v>5</v>
      </c>
      <c r="I147">
        <v>38.549999999999997</v>
      </c>
      <c r="J147">
        <v>0</v>
      </c>
      <c r="K147">
        <v>192.75</v>
      </c>
    </row>
    <row r="148" spans="1:11" x14ac:dyDescent="0.35">
      <c r="A148" t="s">
        <v>325</v>
      </c>
      <c r="B148" s="1">
        <v>45575</v>
      </c>
      <c r="C148" t="s">
        <v>90</v>
      </c>
      <c r="D148" t="s">
        <v>25</v>
      </c>
      <c r="E148" t="s">
        <v>113</v>
      </c>
      <c r="F148" t="s">
        <v>53</v>
      </c>
      <c r="G148" t="s">
        <v>104</v>
      </c>
      <c r="H148">
        <v>8</v>
      </c>
      <c r="I148">
        <v>100.66</v>
      </c>
      <c r="J148">
        <v>0</v>
      </c>
      <c r="K148">
        <v>805.28</v>
      </c>
    </row>
    <row r="149" spans="1:11" x14ac:dyDescent="0.35">
      <c r="A149" t="s">
        <v>326</v>
      </c>
      <c r="B149" t="s">
        <v>327</v>
      </c>
      <c r="C149" t="s">
        <v>29</v>
      </c>
      <c r="D149" t="s">
        <v>42</v>
      </c>
      <c r="E149" t="s">
        <v>328</v>
      </c>
      <c r="F149" t="s">
        <v>53</v>
      </c>
      <c r="G149" t="s">
        <v>59</v>
      </c>
      <c r="H149">
        <v>10</v>
      </c>
      <c r="I149">
        <v>231.59</v>
      </c>
      <c r="J149">
        <v>0.05</v>
      </c>
      <c r="K149">
        <v>2200.11</v>
      </c>
    </row>
    <row r="150" spans="1:11" x14ac:dyDescent="0.35">
      <c r="A150" t="s">
        <v>329</v>
      </c>
      <c r="B150" s="1">
        <v>45305</v>
      </c>
      <c r="C150" t="s">
        <v>79</v>
      </c>
      <c r="D150" t="s">
        <v>13</v>
      </c>
      <c r="E150" t="s">
        <v>330</v>
      </c>
      <c r="F150" t="s">
        <v>15</v>
      </c>
      <c r="G150" t="s">
        <v>147</v>
      </c>
      <c r="H150">
        <v>10</v>
      </c>
      <c r="I150">
        <v>245.27</v>
      </c>
      <c r="J150">
        <v>0</v>
      </c>
      <c r="K150">
        <v>2452.6999999999998</v>
      </c>
    </row>
    <row r="151" spans="1:11" x14ac:dyDescent="0.35">
      <c r="A151" t="s">
        <v>331</v>
      </c>
      <c r="B151" s="1">
        <v>45586</v>
      </c>
      <c r="C151" t="s">
        <v>65</v>
      </c>
      <c r="D151" t="s">
        <v>13</v>
      </c>
      <c r="E151" t="s">
        <v>332</v>
      </c>
      <c r="F151" t="s">
        <v>53</v>
      </c>
      <c r="G151" t="s">
        <v>63</v>
      </c>
      <c r="H151">
        <v>5</v>
      </c>
      <c r="I151">
        <v>25.72</v>
      </c>
      <c r="J151">
        <v>0.1</v>
      </c>
      <c r="K151">
        <v>115.74</v>
      </c>
    </row>
    <row r="152" spans="1:11" x14ac:dyDescent="0.35">
      <c r="A152" t="s">
        <v>333</v>
      </c>
      <c r="B152" s="1">
        <v>45308</v>
      </c>
      <c r="C152" t="s">
        <v>24</v>
      </c>
      <c r="D152" t="s">
        <v>25</v>
      </c>
      <c r="E152" t="s">
        <v>334</v>
      </c>
      <c r="F152" t="s">
        <v>53</v>
      </c>
      <c r="G152" t="s">
        <v>63</v>
      </c>
      <c r="H152">
        <v>2</v>
      </c>
      <c r="I152">
        <v>204.44</v>
      </c>
      <c r="J152">
        <v>0.1</v>
      </c>
      <c r="K152">
        <v>367.99</v>
      </c>
    </row>
    <row r="153" spans="1:11" x14ac:dyDescent="0.35">
      <c r="A153" t="s">
        <v>335</v>
      </c>
      <c r="B153" s="1">
        <v>45592</v>
      </c>
      <c r="C153" t="s">
        <v>72</v>
      </c>
      <c r="D153" t="s">
        <v>57</v>
      </c>
      <c r="E153" t="s">
        <v>336</v>
      </c>
      <c r="F153" t="s">
        <v>35</v>
      </c>
      <c r="G153" t="s">
        <v>134</v>
      </c>
      <c r="H153">
        <v>6</v>
      </c>
      <c r="I153">
        <v>85.47</v>
      </c>
      <c r="J153">
        <v>0</v>
      </c>
      <c r="K153">
        <v>512.82000000000005</v>
      </c>
    </row>
    <row r="154" spans="1:11" x14ac:dyDescent="0.35">
      <c r="A154" t="s">
        <v>337</v>
      </c>
      <c r="B154" s="1">
        <v>45641</v>
      </c>
      <c r="C154" t="s">
        <v>48</v>
      </c>
      <c r="D154" t="s">
        <v>13</v>
      </c>
      <c r="E154" t="s">
        <v>185</v>
      </c>
      <c r="F154" t="s">
        <v>44</v>
      </c>
      <c r="G154" t="s">
        <v>94</v>
      </c>
      <c r="H154">
        <v>4</v>
      </c>
      <c r="I154">
        <v>198.44</v>
      </c>
      <c r="J154">
        <v>0</v>
      </c>
      <c r="K154">
        <v>793.76</v>
      </c>
    </row>
    <row r="155" spans="1:11" x14ac:dyDescent="0.35">
      <c r="A155" t="s">
        <v>338</v>
      </c>
      <c r="B155" s="1">
        <v>45445</v>
      </c>
      <c r="C155" t="s">
        <v>33</v>
      </c>
      <c r="D155" t="s">
        <v>19</v>
      </c>
      <c r="E155" t="s">
        <v>339</v>
      </c>
      <c r="F155" t="s">
        <v>21</v>
      </c>
      <c r="G155" t="s">
        <v>22</v>
      </c>
      <c r="H155">
        <v>2</v>
      </c>
      <c r="I155">
        <v>192.92</v>
      </c>
      <c r="J155">
        <v>0.15</v>
      </c>
      <c r="K155">
        <v>327.96</v>
      </c>
    </row>
    <row r="156" spans="1:11" x14ac:dyDescent="0.35">
      <c r="A156" t="s">
        <v>340</v>
      </c>
      <c r="B156" s="1">
        <v>45326</v>
      </c>
      <c r="C156" t="s">
        <v>65</v>
      </c>
      <c r="D156" t="s">
        <v>42</v>
      </c>
      <c r="E156" t="s">
        <v>296</v>
      </c>
      <c r="F156" t="s">
        <v>53</v>
      </c>
      <c r="G156" t="s">
        <v>54</v>
      </c>
      <c r="H156">
        <v>12</v>
      </c>
      <c r="I156">
        <v>192.63</v>
      </c>
      <c r="J156">
        <v>0.15</v>
      </c>
      <c r="K156">
        <v>1964.83</v>
      </c>
    </row>
    <row r="157" spans="1:11" x14ac:dyDescent="0.35">
      <c r="A157" t="s">
        <v>341</v>
      </c>
      <c r="B157" s="2">
        <v>45493</v>
      </c>
      <c r="C157" t="s">
        <v>90</v>
      </c>
      <c r="D157" t="s">
        <v>57</v>
      </c>
      <c r="E157" t="s">
        <v>332</v>
      </c>
      <c r="F157" t="s">
        <v>15</v>
      </c>
      <c r="G157" t="s">
        <v>147</v>
      </c>
      <c r="H157">
        <v>6</v>
      </c>
      <c r="I157">
        <v>42.63</v>
      </c>
      <c r="J157">
        <v>0</v>
      </c>
      <c r="K157">
        <v>255.78</v>
      </c>
    </row>
    <row r="158" spans="1:11" x14ac:dyDescent="0.35">
      <c r="A158" t="s">
        <v>342</v>
      </c>
      <c r="B158" s="1">
        <v>45583</v>
      </c>
      <c r="C158" t="s">
        <v>33</v>
      </c>
      <c r="E158" t="s">
        <v>343</v>
      </c>
      <c r="F158" t="s">
        <v>44</v>
      </c>
      <c r="G158" t="s">
        <v>45</v>
      </c>
      <c r="H158">
        <v>8</v>
      </c>
      <c r="I158">
        <v>248.94</v>
      </c>
      <c r="J158">
        <v>0</v>
      </c>
      <c r="K158">
        <v>1991.52</v>
      </c>
    </row>
    <row r="159" spans="1:11" x14ac:dyDescent="0.35">
      <c r="A159" t="s">
        <v>344</v>
      </c>
      <c r="B159" s="1">
        <v>45614</v>
      </c>
      <c r="C159" t="s">
        <v>33</v>
      </c>
      <c r="D159" t="s">
        <v>57</v>
      </c>
      <c r="E159" t="s">
        <v>39</v>
      </c>
      <c r="F159" t="s">
        <v>15</v>
      </c>
      <c r="G159" t="s">
        <v>74</v>
      </c>
      <c r="H159">
        <v>12</v>
      </c>
      <c r="I159">
        <v>120.23</v>
      </c>
      <c r="J159">
        <v>0.15</v>
      </c>
      <c r="K159">
        <v>1226.3499999999999</v>
      </c>
    </row>
    <row r="160" spans="1:11" x14ac:dyDescent="0.35">
      <c r="A160" t="s">
        <v>345</v>
      </c>
      <c r="B160" s="1">
        <v>45401</v>
      </c>
      <c r="C160" t="s">
        <v>90</v>
      </c>
      <c r="D160" t="s">
        <v>19</v>
      </c>
      <c r="E160" t="s">
        <v>346</v>
      </c>
      <c r="F160" t="s">
        <v>21</v>
      </c>
      <c r="G160" t="s">
        <v>129</v>
      </c>
      <c r="H160">
        <v>9</v>
      </c>
      <c r="I160">
        <v>112.27</v>
      </c>
      <c r="J160">
        <v>0</v>
      </c>
      <c r="K160">
        <v>1010.43</v>
      </c>
    </row>
    <row r="161" spans="1:11" x14ac:dyDescent="0.35">
      <c r="A161" t="s">
        <v>347</v>
      </c>
      <c r="B161" s="2">
        <v>45537</v>
      </c>
      <c r="C161" t="s">
        <v>38</v>
      </c>
      <c r="D161" t="s">
        <v>25</v>
      </c>
      <c r="E161" t="s">
        <v>348</v>
      </c>
      <c r="F161" t="s">
        <v>44</v>
      </c>
      <c r="G161" t="s">
        <v>94</v>
      </c>
      <c r="H161">
        <v>9</v>
      </c>
      <c r="I161">
        <v>170.19</v>
      </c>
      <c r="J161">
        <v>0</v>
      </c>
      <c r="K161">
        <v>1531.71</v>
      </c>
    </row>
    <row r="162" spans="1:11" x14ac:dyDescent="0.35">
      <c r="A162" t="s">
        <v>349</v>
      </c>
      <c r="B162" s="1">
        <v>45542</v>
      </c>
      <c r="C162" t="s">
        <v>18</v>
      </c>
      <c r="D162" t="s">
        <v>57</v>
      </c>
      <c r="E162" t="s">
        <v>212</v>
      </c>
      <c r="F162" t="s">
        <v>53</v>
      </c>
      <c r="G162" t="s">
        <v>260</v>
      </c>
      <c r="H162">
        <v>10</v>
      </c>
      <c r="I162">
        <v>141.31</v>
      </c>
      <c r="J162">
        <v>0.1</v>
      </c>
      <c r="K162">
        <v>1271.79</v>
      </c>
    </row>
    <row r="163" spans="1:11" x14ac:dyDescent="0.35">
      <c r="A163" t="s">
        <v>350</v>
      </c>
      <c r="B163" s="1">
        <v>45607</v>
      </c>
      <c r="C163" t="s">
        <v>18</v>
      </c>
      <c r="D163" t="s">
        <v>25</v>
      </c>
      <c r="E163" t="s">
        <v>351</v>
      </c>
      <c r="F163" t="s">
        <v>44</v>
      </c>
      <c r="G163" t="s">
        <v>45</v>
      </c>
      <c r="H163">
        <v>12</v>
      </c>
      <c r="I163">
        <v>84.31</v>
      </c>
      <c r="J163">
        <v>0.15</v>
      </c>
      <c r="K163">
        <v>859.96</v>
      </c>
    </row>
    <row r="164" spans="1:11" x14ac:dyDescent="0.35">
      <c r="A164" t="s">
        <v>352</v>
      </c>
      <c r="B164" t="s">
        <v>353</v>
      </c>
      <c r="C164" t="s">
        <v>24</v>
      </c>
      <c r="D164" t="s">
        <v>13</v>
      </c>
      <c r="E164" t="s">
        <v>278</v>
      </c>
      <c r="F164" t="s">
        <v>53</v>
      </c>
      <c r="G164" t="s">
        <v>54</v>
      </c>
      <c r="H164">
        <v>2</v>
      </c>
      <c r="I164">
        <v>124.95</v>
      </c>
      <c r="J164">
        <v>0</v>
      </c>
      <c r="K164">
        <v>249.9</v>
      </c>
    </row>
    <row r="165" spans="1:11" x14ac:dyDescent="0.35">
      <c r="A165" t="s">
        <v>354</v>
      </c>
      <c r="B165" s="1">
        <v>45455</v>
      </c>
      <c r="C165" t="s">
        <v>24</v>
      </c>
      <c r="D165" t="s">
        <v>57</v>
      </c>
      <c r="E165" t="s">
        <v>96</v>
      </c>
      <c r="F165" t="s">
        <v>35</v>
      </c>
      <c r="G165" t="s">
        <v>36</v>
      </c>
      <c r="H165">
        <v>11</v>
      </c>
      <c r="I165">
        <v>210.6</v>
      </c>
      <c r="J165">
        <v>0</v>
      </c>
      <c r="K165">
        <v>2316.6</v>
      </c>
    </row>
    <row r="166" spans="1:11" x14ac:dyDescent="0.35">
      <c r="A166" t="s">
        <v>355</v>
      </c>
      <c r="B166" s="1">
        <v>45389</v>
      </c>
      <c r="C166" t="s">
        <v>90</v>
      </c>
      <c r="D166" t="s">
        <v>57</v>
      </c>
      <c r="F166" t="s">
        <v>21</v>
      </c>
      <c r="G166" t="s">
        <v>129</v>
      </c>
      <c r="H166">
        <v>7</v>
      </c>
      <c r="I166">
        <v>113.05</v>
      </c>
      <c r="J166">
        <v>0</v>
      </c>
      <c r="K166">
        <v>791.35</v>
      </c>
    </row>
    <row r="167" spans="1:11" x14ac:dyDescent="0.35">
      <c r="A167" t="s">
        <v>356</v>
      </c>
      <c r="B167" s="1">
        <v>45320</v>
      </c>
      <c r="C167" t="s">
        <v>12</v>
      </c>
      <c r="D167" t="s">
        <v>42</v>
      </c>
      <c r="E167" t="s">
        <v>357</v>
      </c>
      <c r="F167" t="s">
        <v>15</v>
      </c>
      <c r="G167" t="s">
        <v>27</v>
      </c>
      <c r="H167">
        <v>7</v>
      </c>
      <c r="I167">
        <v>154.63</v>
      </c>
      <c r="J167">
        <v>0</v>
      </c>
      <c r="K167">
        <v>1082.4100000000001</v>
      </c>
    </row>
    <row r="168" spans="1:11" x14ac:dyDescent="0.35">
      <c r="A168" t="s">
        <v>358</v>
      </c>
      <c r="B168" s="1">
        <v>45495</v>
      </c>
      <c r="C168" t="s">
        <v>41</v>
      </c>
      <c r="D168" t="s">
        <v>42</v>
      </c>
      <c r="E168" t="s">
        <v>296</v>
      </c>
      <c r="F168" t="s">
        <v>44</v>
      </c>
      <c r="G168" t="s">
        <v>94</v>
      </c>
      <c r="H168">
        <v>12</v>
      </c>
      <c r="I168">
        <v>248.96</v>
      </c>
      <c r="J168">
        <v>0</v>
      </c>
      <c r="K168">
        <v>2987.52</v>
      </c>
    </row>
    <row r="169" spans="1:11" x14ac:dyDescent="0.35">
      <c r="A169" t="s">
        <v>359</v>
      </c>
      <c r="B169" s="2">
        <v>45341</v>
      </c>
      <c r="C169" t="s">
        <v>18</v>
      </c>
      <c r="D169" t="s">
        <v>25</v>
      </c>
      <c r="E169" t="s">
        <v>360</v>
      </c>
      <c r="F169" t="s">
        <v>44</v>
      </c>
      <c r="G169" t="s">
        <v>45</v>
      </c>
      <c r="H169">
        <v>7</v>
      </c>
      <c r="I169">
        <v>48.16</v>
      </c>
      <c r="J169">
        <v>0</v>
      </c>
      <c r="K169">
        <v>337.12</v>
      </c>
    </row>
    <row r="170" spans="1:11" x14ac:dyDescent="0.35">
      <c r="A170" t="s">
        <v>361</v>
      </c>
      <c r="B170" s="1">
        <v>45364</v>
      </c>
      <c r="C170" t="s">
        <v>48</v>
      </c>
      <c r="D170" t="s">
        <v>42</v>
      </c>
      <c r="E170" t="s">
        <v>82</v>
      </c>
      <c r="F170" t="s">
        <v>53</v>
      </c>
      <c r="G170" t="s">
        <v>125</v>
      </c>
      <c r="H170">
        <v>7</v>
      </c>
      <c r="I170">
        <v>168.18</v>
      </c>
      <c r="J170">
        <v>0</v>
      </c>
      <c r="K170">
        <v>1177.26</v>
      </c>
    </row>
    <row r="171" spans="1:11" x14ac:dyDescent="0.35">
      <c r="A171" t="s">
        <v>362</v>
      </c>
      <c r="B171" s="1">
        <v>45508</v>
      </c>
      <c r="C171" t="s">
        <v>29</v>
      </c>
      <c r="D171" t="s">
        <v>19</v>
      </c>
      <c r="E171" t="s">
        <v>137</v>
      </c>
      <c r="F171" t="s">
        <v>53</v>
      </c>
      <c r="G171" t="s">
        <v>54</v>
      </c>
      <c r="H171">
        <v>12</v>
      </c>
      <c r="I171">
        <v>206.98</v>
      </c>
      <c r="J171">
        <v>0</v>
      </c>
      <c r="K171">
        <v>2483.7600000000002</v>
      </c>
    </row>
    <row r="172" spans="1:11" x14ac:dyDescent="0.35">
      <c r="A172" t="s">
        <v>363</v>
      </c>
      <c r="B172" t="s">
        <v>364</v>
      </c>
      <c r="C172" t="s">
        <v>56</v>
      </c>
      <c r="E172" t="s">
        <v>336</v>
      </c>
      <c r="F172" t="s">
        <v>44</v>
      </c>
      <c r="G172" t="s">
        <v>86</v>
      </c>
      <c r="H172">
        <v>6</v>
      </c>
      <c r="I172">
        <v>138.21</v>
      </c>
      <c r="J172">
        <v>0.15</v>
      </c>
      <c r="K172">
        <v>704.87</v>
      </c>
    </row>
    <row r="173" spans="1:11" x14ac:dyDescent="0.35">
      <c r="A173" t="s">
        <v>365</v>
      </c>
      <c r="B173" s="1">
        <v>45513</v>
      </c>
      <c r="C173" t="s">
        <v>41</v>
      </c>
      <c r="D173" t="s">
        <v>13</v>
      </c>
      <c r="E173" t="s">
        <v>366</v>
      </c>
      <c r="F173" t="s">
        <v>15</v>
      </c>
      <c r="G173" t="s">
        <v>74</v>
      </c>
      <c r="H173">
        <v>1</v>
      </c>
      <c r="I173">
        <v>199.54</v>
      </c>
      <c r="J173">
        <v>0</v>
      </c>
      <c r="K173">
        <v>199.54</v>
      </c>
    </row>
    <row r="174" spans="1:11" x14ac:dyDescent="0.35">
      <c r="A174" t="s">
        <v>367</v>
      </c>
      <c r="B174" s="1">
        <v>45470</v>
      </c>
      <c r="C174" t="s">
        <v>41</v>
      </c>
      <c r="D174" t="s">
        <v>25</v>
      </c>
      <c r="E174" t="s">
        <v>368</v>
      </c>
      <c r="F174" t="s">
        <v>53</v>
      </c>
      <c r="G174" t="s">
        <v>125</v>
      </c>
      <c r="H174">
        <v>0</v>
      </c>
      <c r="I174">
        <v>27.66</v>
      </c>
      <c r="J174">
        <v>0.05</v>
      </c>
      <c r="K174">
        <v>105.11</v>
      </c>
    </row>
    <row r="175" spans="1:11" x14ac:dyDescent="0.35">
      <c r="A175" t="s">
        <v>369</v>
      </c>
      <c r="B175" s="1">
        <v>45355</v>
      </c>
      <c r="C175" t="s">
        <v>41</v>
      </c>
      <c r="D175" t="s">
        <v>13</v>
      </c>
      <c r="E175" t="s">
        <v>370</v>
      </c>
      <c r="F175" t="s">
        <v>35</v>
      </c>
      <c r="G175" t="s">
        <v>36</v>
      </c>
      <c r="H175">
        <v>8</v>
      </c>
      <c r="I175">
        <v>32.97</v>
      </c>
      <c r="J175">
        <v>0.15</v>
      </c>
      <c r="K175">
        <v>224.2</v>
      </c>
    </row>
    <row r="176" spans="1:11" x14ac:dyDescent="0.35">
      <c r="A176" t="s">
        <v>371</v>
      </c>
      <c r="B176" s="1">
        <v>45294</v>
      </c>
      <c r="C176" t="s">
        <v>24</v>
      </c>
      <c r="D176" t="s">
        <v>13</v>
      </c>
      <c r="E176" t="s">
        <v>291</v>
      </c>
      <c r="F176" t="s">
        <v>53</v>
      </c>
      <c r="G176" t="s">
        <v>260</v>
      </c>
      <c r="H176">
        <v>3</v>
      </c>
      <c r="I176">
        <v>42.28</v>
      </c>
      <c r="J176">
        <v>0.05</v>
      </c>
      <c r="K176">
        <v>120.5</v>
      </c>
    </row>
    <row r="177" spans="1:11" x14ac:dyDescent="0.35">
      <c r="A177" t="s">
        <v>372</v>
      </c>
      <c r="B177" s="1">
        <v>45389</v>
      </c>
      <c r="C177" t="s">
        <v>41</v>
      </c>
      <c r="D177" t="s">
        <v>25</v>
      </c>
      <c r="E177" t="s">
        <v>302</v>
      </c>
      <c r="F177" t="s">
        <v>44</v>
      </c>
      <c r="G177" t="s">
        <v>45</v>
      </c>
      <c r="H177">
        <v>9</v>
      </c>
      <c r="I177">
        <v>225.14</v>
      </c>
      <c r="J177">
        <v>0</v>
      </c>
      <c r="K177">
        <v>2026.26</v>
      </c>
    </row>
    <row r="178" spans="1:11" x14ac:dyDescent="0.35">
      <c r="A178" t="s">
        <v>373</v>
      </c>
      <c r="B178" s="1">
        <v>45374</v>
      </c>
      <c r="C178" t="s">
        <v>33</v>
      </c>
      <c r="D178" t="s">
        <v>57</v>
      </c>
      <c r="E178" t="s">
        <v>272</v>
      </c>
      <c r="F178" t="s">
        <v>35</v>
      </c>
      <c r="G178" t="s">
        <v>67</v>
      </c>
      <c r="H178">
        <v>10</v>
      </c>
      <c r="I178">
        <v>144.94999999999999</v>
      </c>
      <c r="J178">
        <v>0</v>
      </c>
      <c r="K178">
        <v>1449.5</v>
      </c>
    </row>
    <row r="179" spans="1:11" x14ac:dyDescent="0.35">
      <c r="A179" t="s">
        <v>374</v>
      </c>
      <c r="B179" t="s">
        <v>375</v>
      </c>
      <c r="C179" t="s">
        <v>102</v>
      </c>
      <c r="D179" t="s">
        <v>57</v>
      </c>
      <c r="E179" t="s">
        <v>370</v>
      </c>
      <c r="F179" t="s">
        <v>53</v>
      </c>
      <c r="G179" t="s">
        <v>260</v>
      </c>
      <c r="H179">
        <v>11</v>
      </c>
      <c r="I179">
        <v>244.58</v>
      </c>
      <c r="J179">
        <v>0</v>
      </c>
      <c r="K179">
        <v>2690.38</v>
      </c>
    </row>
    <row r="180" spans="1:11" x14ac:dyDescent="0.35">
      <c r="A180" t="s">
        <v>376</v>
      </c>
      <c r="B180" t="s">
        <v>377</v>
      </c>
      <c r="C180" t="s">
        <v>29</v>
      </c>
      <c r="D180" t="s">
        <v>42</v>
      </c>
      <c r="E180" t="s">
        <v>82</v>
      </c>
      <c r="F180" t="s">
        <v>44</v>
      </c>
      <c r="G180" t="s">
        <v>86</v>
      </c>
      <c r="H180">
        <v>3</v>
      </c>
      <c r="I180">
        <v>247.45</v>
      </c>
      <c r="J180">
        <v>0.1</v>
      </c>
      <c r="K180">
        <v>668.11</v>
      </c>
    </row>
    <row r="181" spans="1:11" x14ac:dyDescent="0.35">
      <c r="A181" t="s">
        <v>378</v>
      </c>
      <c r="B181" s="1">
        <v>45444</v>
      </c>
      <c r="C181" t="s">
        <v>41</v>
      </c>
      <c r="D181" t="s">
        <v>42</v>
      </c>
      <c r="E181" t="s">
        <v>379</v>
      </c>
      <c r="F181" t="s">
        <v>44</v>
      </c>
      <c r="G181" t="s">
        <v>50</v>
      </c>
      <c r="H181">
        <v>1</v>
      </c>
      <c r="I181">
        <v>20.12</v>
      </c>
      <c r="J181">
        <v>0</v>
      </c>
      <c r="K181">
        <v>20.12</v>
      </c>
    </row>
    <row r="182" spans="1:11" x14ac:dyDescent="0.35">
      <c r="A182" t="s">
        <v>380</v>
      </c>
      <c r="B182" s="1">
        <v>45364</v>
      </c>
      <c r="C182" t="s">
        <v>48</v>
      </c>
      <c r="D182" t="s">
        <v>13</v>
      </c>
      <c r="E182" t="s">
        <v>381</v>
      </c>
      <c r="F182" t="s">
        <v>44</v>
      </c>
      <c r="G182" t="s">
        <v>107</v>
      </c>
      <c r="H182">
        <v>8</v>
      </c>
      <c r="I182">
        <v>225.62</v>
      </c>
      <c r="J182">
        <v>0</v>
      </c>
      <c r="K182">
        <v>1804.96</v>
      </c>
    </row>
    <row r="183" spans="1:11" x14ac:dyDescent="0.35">
      <c r="A183" t="s">
        <v>382</v>
      </c>
      <c r="B183" s="1">
        <v>45293</v>
      </c>
      <c r="C183" t="s">
        <v>41</v>
      </c>
      <c r="D183" t="s">
        <v>42</v>
      </c>
      <c r="E183" t="s">
        <v>131</v>
      </c>
      <c r="F183" t="s">
        <v>15</v>
      </c>
      <c r="G183" t="s">
        <v>27</v>
      </c>
      <c r="H183">
        <v>5</v>
      </c>
      <c r="I183">
        <v>51.29</v>
      </c>
      <c r="J183">
        <v>0.05</v>
      </c>
      <c r="K183">
        <v>243.63</v>
      </c>
    </row>
    <row r="184" spans="1:11" x14ac:dyDescent="0.35">
      <c r="A184" t="s">
        <v>383</v>
      </c>
      <c r="B184" t="s">
        <v>384</v>
      </c>
      <c r="C184" t="s">
        <v>56</v>
      </c>
      <c r="D184" t="s">
        <v>25</v>
      </c>
      <c r="E184" t="s">
        <v>385</v>
      </c>
      <c r="F184" t="s">
        <v>21</v>
      </c>
      <c r="G184" t="s">
        <v>22</v>
      </c>
      <c r="H184">
        <v>4</v>
      </c>
      <c r="I184">
        <v>65.150000000000006</v>
      </c>
      <c r="J184">
        <v>0</v>
      </c>
      <c r="K184">
        <v>260.60000000000002</v>
      </c>
    </row>
    <row r="185" spans="1:11" x14ac:dyDescent="0.35">
      <c r="A185" t="s">
        <v>386</v>
      </c>
      <c r="B185" s="2">
        <v>45504</v>
      </c>
      <c r="C185" t="s">
        <v>33</v>
      </c>
      <c r="D185" t="s">
        <v>57</v>
      </c>
      <c r="E185" t="s">
        <v>133</v>
      </c>
      <c r="F185" t="s">
        <v>21</v>
      </c>
      <c r="G185" t="s">
        <v>194</v>
      </c>
      <c r="H185">
        <v>8</v>
      </c>
      <c r="I185">
        <v>86.07</v>
      </c>
      <c r="J185">
        <v>0.05</v>
      </c>
      <c r="K185">
        <v>654.13</v>
      </c>
    </row>
    <row r="186" spans="1:11" x14ac:dyDescent="0.35">
      <c r="A186" t="s">
        <v>387</v>
      </c>
      <c r="B186" s="1">
        <v>45547</v>
      </c>
      <c r="C186" t="s">
        <v>90</v>
      </c>
      <c r="D186" t="s">
        <v>25</v>
      </c>
      <c r="E186" t="s">
        <v>388</v>
      </c>
      <c r="F186" t="s">
        <v>53</v>
      </c>
      <c r="G186" t="s">
        <v>63</v>
      </c>
      <c r="H186">
        <v>10</v>
      </c>
      <c r="I186">
        <v>198.91</v>
      </c>
      <c r="J186">
        <v>0.15</v>
      </c>
      <c r="K186">
        <v>1690.73</v>
      </c>
    </row>
    <row r="187" spans="1:11" x14ac:dyDescent="0.35">
      <c r="A187" t="s">
        <v>389</v>
      </c>
      <c r="B187" s="1">
        <v>45321</v>
      </c>
      <c r="C187" t="s">
        <v>79</v>
      </c>
      <c r="D187" t="s">
        <v>13</v>
      </c>
      <c r="E187" t="s">
        <v>390</v>
      </c>
      <c r="F187" t="s">
        <v>44</v>
      </c>
      <c r="G187" t="s">
        <v>45</v>
      </c>
      <c r="H187">
        <v>8</v>
      </c>
      <c r="I187">
        <v>18.88</v>
      </c>
      <c r="J187">
        <v>0</v>
      </c>
      <c r="K187">
        <v>151.04</v>
      </c>
    </row>
    <row r="188" spans="1:11" x14ac:dyDescent="0.35">
      <c r="A188" t="s">
        <v>391</v>
      </c>
      <c r="B188" s="1">
        <v>45376</v>
      </c>
      <c r="C188" t="s">
        <v>33</v>
      </c>
      <c r="D188" t="s">
        <v>19</v>
      </c>
      <c r="E188" t="s">
        <v>392</v>
      </c>
      <c r="F188" t="s">
        <v>44</v>
      </c>
      <c r="G188" t="s">
        <v>94</v>
      </c>
      <c r="H188">
        <v>8</v>
      </c>
      <c r="I188">
        <v>228.94</v>
      </c>
      <c r="J188">
        <v>0</v>
      </c>
      <c r="K188">
        <v>1831.52</v>
      </c>
    </row>
    <row r="189" spans="1:11" x14ac:dyDescent="0.35">
      <c r="A189" t="s">
        <v>393</v>
      </c>
      <c r="B189" s="1">
        <v>45614</v>
      </c>
      <c r="C189" t="s">
        <v>48</v>
      </c>
      <c r="D189" t="s">
        <v>25</v>
      </c>
      <c r="E189" t="s">
        <v>394</v>
      </c>
      <c r="F189" t="s">
        <v>44</v>
      </c>
      <c r="G189" t="s">
        <v>94</v>
      </c>
      <c r="H189">
        <v>5</v>
      </c>
      <c r="I189">
        <v>163.58000000000001</v>
      </c>
      <c r="J189">
        <v>0</v>
      </c>
      <c r="K189">
        <v>817.9</v>
      </c>
    </row>
    <row r="190" spans="1:11" x14ac:dyDescent="0.35">
      <c r="A190" t="s">
        <v>395</v>
      </c>
      <c r="B190" s="1">
        <v>45491</v>
      </c>
      <c r="C190" t="s">
        <v>33</v>
      </c>
      <c r="D190" t="s">
        <v>57</v>
      </c>
      <c r="E190" t="s">
        <v>346</v>
      </c>
      <c r="F190" t="s">
        <v>15</v>
      </c>
      <c r="G190" t="s">
        <v>147</v>
      </c>
      <c r="H190">
        <v>11</v>
      </c>
      <c r="I190">
        <v>236.64</v>
      </c>
      <c r="J190">
        <v>0.05</v>
      </c>
      <c r="K190">
        <v>2472.89</v>
      </c>
    </row>
    <row r="191" spans="1:11" x14ac:dyDescent="0.35">
      <c r="A191" t="s">
        <v>396</v>
      </c>
      <c r="B191" s="1">
        <v>45490</v>
      </c>
      <c r="C191" t="s">
        <v>79</v>
      </c>
      <c r="D191" t="s">
        <v>57</v>
      </c>
      <c r="E191" t="s">
        <v>26</v>
      </c>
      <c r="F191" t="s">
        <v>21</v>
      </c>
      <c r="G191" t="s">
        <v>70</v>
      </c>
      <c r="H191">
        <v>7</v>
      </c>
      <c r="I191">
        <v>128.51</v>
      </c>
      <c r="J191">
        <v>0.05</v>
      </c>
      <c r="K191">
        <v>854.59</v>
      </c>
    </row>
    <row r="192" spans="1:11" x14ac:dyDescent="0.35">
      <c r="A192" t="s">
        <v>397</v>
      </c>
      <c r="B192" s="1">
        <v>45483</v>
      </c>
      <c r="C192" t="s">
        <v>48</v>
      </c>
      <c r="D192" t="s">
        <v>25</v>
      </c>
      <c r="E192" t="s">
        <v>144</v>
      </c>
      <c r="F192" t="s">
        <v>53</v>
      </c>
      <c r="G192" t="s">
        <v>63</v>
      </c>
      <c r="H192">
        <v>6</v>
      </c>
      <c r="I192">
        <v>121.95</v>
      </c>
      <c r="J192">
        <v>0</v>
      </c>
      <c r="K192">
        <v>731.7</v>
      </c>
    </row>
    <row r="193" spans="1:11" x14ac:dyDescent="0.35">
      <c r="A193" t="s">
        <v>398</v>
      </c>
      <c r="B193" t="s">
        <v>399</v>
      </c>
      <c r="C193" t="s">
        <v>90</v>
      </c>
      <c r="D193" t="s">
        <v>19</v>
      </c>
      <c r="E193" t="s">
        <v>400</v>
      </c>
      <c r="F193" t="s">
        <v>44</v>
      </c>
      <c r="G193" t="s">
        <v>45</v>
      </c>
      <c r="H193">
        <v>5</v>
      </c>
      <c r="I193">
        <v>106.32</v>
      </c>
      <c r="J193">
        <v>0</v>
      </c>
      <c r="K193">
        <v>531.6</v>
      </c>
    </row>
    <row r="194" spans="1:11" x14ac:dyDescent="0.35">
      <c r="A194" t="s">
        <v>401</v>
      </c>
      <c r="B194" s="2">
        <v>45621</v>
      </c>
      <c r="C194" t="s">
        <v>72</v>
      </c>
      <c r="D194" t="s">
        <v>42</v>
      </c>
      <c r="E194" t="s">
        <v>204</v>
      </c>
      <c r="F194" t="s">
        <v>44</v>
      </c>
      <c r="G194" t="s">
        <v>94</v>
      </c>
      <c r="H194">
        <v>3</v>
      </c>
      <c r="I194">
        <v>40</v>
      </c>
      <c r="J194">
        <v>0</v>
      </c>
      <c r="K194">
        <v>120</v>
      </c>
    </row>
    <row r="195" spans="1:11" x14ac:dyDescent="0.35">
      <c r="A195" t="s">
        <v>402</v>
      </c>
      <c r="B195" s="1">
        <v>45643</v>
      </c>
      <c r="C195" t="s">
        <v>24</v>
      </c>
      <c r="D195" t="s">
        <v>57</v>
      </c>
      <c r="E195" t="s">
        <v>302</v>
      </c>
      <c r="F195" t="s">
        <v>35</v>
      </c>
      <c r="G195" t="s">
        <v>177</v>
      </c>
      <c r="H195">
        <v>11</v>
      </c>
      <c r="I195">
        <v>138.38999999999999</v>
      </c>
      <c r="J195">
        <v>0</v>
      </c>
      <c r="K195">
        <v>1522.29</v>
      </c>
    </row>
    <row r="196" spans="1:11" x14ac:dyDescent="0.35">
      <c r="A196" t="s">
        <v>403</v>
      </c>
      <c r="B196" s="1">
        <v>45389</v>
      </c>
      <c r="C196" t="s">
        <v>90</v>
      </c>
      <c r="D196" t="s">
        <v>13</v>
      </c>
      <c r="E196" t="s">
        <v>404</v>
      </c>
      <c r="F196" t="s">
        <v>35</v>
      </c>
      <c r="G196" t="s">
        <v>177</v>
      </c>
      <c r="H196">
        <v>8</v>
      </c>
      <c r="I196">
        <v>75.55</v>
      </c>
      <c r="J196">
        <v>0.05</v>
      </c>
      <c r="K196">
        <v>574.17999999999995</v>
      </c>
    </row>
    <row r="197" spans="1:11" x14ac:dyDescent="0.35">
      <c r="A197" t="s">
        <v>405</v>
      </c>
      <c r="B197" s="1">
        <v>45508</v>
      </c>
      <c r="C197" t="s">
        <v>65</v>
      </c>
      <c r="D197" t="s">
        <v>19</v>
      </c>
      <c r="E197" t="s">
        <v>278</v>
      </c>
      <c r="F197" t="s">
        <v>44</v>
      </c>
      <c r="G197" t="s">
        <v>45</v>
      </c>
      <c r="H197">
        <v>6</v>
      </c>
      <c r="I197">
        <v>184.34</v>
      </c>
      <c r="J197">
        <v>0</v>
      </c>
      <c r="K197">
        <v>1106.04</v>
      </c>
    </row>
    <row r="198" spans="1:11" x14ac:dyDescent="0.35">
      <c r="A198" t="s">
        <v>406</v>
      </c>
      <c r="B198" s="1">
        <v>45541</v>
      </c>
      <c r="C198" t="s">
        <v>38</v>
      </c>
      <c r="D198" t="s">
        <v>42</v>
      </c>
      <c r="E198" t="s">
        <v>407</v>
      </c>
      <c r="F198" t="s">
        <v>44</v>
      </c>
      <c r="G198" t="s">
        <v>45</v>
      </c>
      <c r="H198">
        <v>12</v>
      </c>
      <c r="I198">
        <v>105.64</v>
      </c>
      <c r="J198">
        <v>0.15</v>
      </c>
      <c r="K198">
        <v>1077.53</v>
      </c>
    </row>
    <row r="199" spans="1:11" x14ac:dyDescent="0.35">
      <c r="A199" t="s">
        <v>408</v>
      </c>
      <c r="B199" s="2">
        <v>45396</v>
      </c>
      <c r="C199" t="s">
        <v>33</v>
      </c>
      <c r="D199" t="s">
        <v>19</v>
      </c>
      <c r="E199" t="s">
        <v>330</v>
      </c>
      <c r="F199" t="s">
        <v>53</v>
      </c>
      <c r="G199" t="s">
        <v>63</v>
      </c>
      <c r="H199">
        <v>5</v>
      </c>
      <c r="I199">
        <v>32.049999999999997</v>
      </c>
      <c r="J199">
        <v>0</v>
      </c>
      <c r="K199">
        <v>160.25</v>
      </c>
    </row>
    <row r="200" spans="1:11" x14ac:dyDescent="0.35">
      <c r="A200" t="s">
        <v>409</v>
      </c>
      <c r="B200" s="1">
        <v>45329</v>
      </c>
      <c r="C200" t="s">
        <v>56</v>
      </c>
      <c r="D200" t="s">
        <v>19</v>
      </c>
      <c r="E200" t="s">
        <v>315</v>
      </c>
      <c r="F200" t="s">
        <v>21</v>
      </c>
      <c r="G200" t="s">
        <v>194</v>
      </c>
      <c r="H200">
        <v>1</v>
      </c>
      <c r="I200">
        <v>141.46</v>
      </c>
      <c r="J200">
        <v>0</v>
      </c>
      <c r="K200">
        <v>141.46</v>
      </c>
    </row>
    <row r="201" spans="1:11" x14ac:dyDescent="0.35">
      <c r="A201" t="s">
        <v>410</v>
      </c>
      <c r="B201" s="1">
        <v>45460</v>
      </c>
      <c r="C201" t="s">
        <v>72</v>
      </c>
      <c r="D201" t="s">
        <v>13</v>
      </c>
      <c r="E201" t="s">
        <v>288</v>
      </c>
      <c r="F201" t="s">
        <v>35</v>
      </c>
      <c r="G201" t="s">
        <v>36</v>
      </c>
      <c r="H201">
        <v>11</v>
      </c>
      <c r="I201">
        <v>20.399999999999999</v>
      </c>
      <c r="J201">
        <v>0</v>
      </c>
      <c r="K201">
        <v>224.4</v>
      </c>
    </row>
    <row r="202" spans="1:11" x14ac:dyDescent="0.35">
      <c r="A202" t="s">
        <v>411</v>
      </c>
      <c r="B202" s="1">
        <v>45515</v>
      </c>
      <c r="C202" t="s">
        <v>90</v>
      </c>
      <c r="E202" t="s">
        <v>412</v>
      </c>
      <c r="F202" t="s">
        <v>15</v>
      </c>
      <c r="G202" t="s">
        <v>147</v>
      </c>
      <c r="H202">
        <v>8</v>
      </c>
      <c r="I202">
        <v>176.57</v>
      </c>
      <c r="J202">
        <v>0.15</v>
      </c>
      <c r="K202">
        <v>1200.68</v>
      </c>
    </row>
    <row r="203" spans="1:11" x14ac:dyDescent="0.35">
      <c r="A203" t="s">
        <v>413</v>
      </c>
      <c r="B203" s="1">
        <v>45611</v>
      </c>
      <c r="C203" t="s">
        <v>29</v>
      </c>
      <c r="D203" t="s">
        <v>19</v>
      </c>
      <c r="E203" t="s">
        <v>388</v>
      </c>
      <c r="F203" t="s">
        <v>44</v>
      </c>
      <c r="G203" t="s">
        <v>107</v>
      </c>
      <c r="H203">
        <v>10</v>
      </c>
      <c r="I203">
        <v>98.32</v>
      </c>
      <c r="J203">
        <v>0.1</v>
      </c>
      <c r="K203">
        <v>884.88</v>
      </c>
    </row>
    <row r="204" spans="1:11" x14ac:dyDescent="0.35">
      <c r="A204" t="s">
        <v>414</v>
      </c>
      <c r="B204" s="1">
        <v>45525</v>
      </c>
      <c r="C204" t="s">
        <v>65</v>
      </c>
      <c r="D204" t="s">
        <v>42</v>
      </c>
      <c r="E204" t="s">
        <v>415</v>
      </c>
      <c r="F204" t="s">
        <v>35</v>
      </c>
      <c r="G204" t="s">
        <v>36</v>
      </c>
      <c r="H204">
        <v>7</v>
      </c>
      <c r="I204">
        <v>248</v>
      </c>
      <c r="J204">
        <v>0</v>
      </c>
      <c r="K204">
        <v>1736</v>
      </c>
    </row>
    <row r="205" spans="1:11" x14ac:dyDescent="0.35">
      <c r="A205" t="s">
        <v>416</v>
      </c>
      <c r="B205" s="1">
        <v>45506</v>
      </c>
      <c r="C205" t="s">
        <v>29</v>
      </c>
      <c r="D205" t="s">
        <v>19</v>
      </c>
      <c r="E205" t="s">
        <v>212</v>
      </c>
      <c r="F205" t="s">
        <v>21</v>
      </c>
      <c r="G205" t="s">
        <v>22</v>
      </c>
      <c r="H205">
        <v>6</v>
      </c>
      <c r="I205">
        <v>121.76</v>
      </c>
      <c r="J205">
        <v>0</v>
      </c>
      <c r="K205">
        <v>730.56</v>
      </c>
    </row>
    <row r="206" spans="1:11" x14ac:dyDescent="0.35">
      <c r="A206" t="s">
        <v>417</v>
      </c>
      <c r="B206" s="1">
        <v>45329</v>
      </c>
      <c r="C206" t="s">
        <v>24</v>
      </c>
      <c r="D206" t="s">
        <v>25</v>
      </c>
      <c r="E206" t="s">
        <v>418</v>
      </c>
      <c r="F206" t="s">
        <v>53</v>
      </c>
      <c r="G206" t="s">
        <v>59</v>
      </c>
      <c r="H206">
        <v>2</v>
      </c>
      <c r="I206">
        <v>243.63</v>
      </c>
      <c r="J206">
        <v>0</v>
      </c>
      <c r="K206">
        <v>487.26</v>
      </c>
    </row>
    <row r="207" spans="1:11" x14ac:dyDescent="0.35">
      <c r="A207" t="s">
        <v>419</v>
      </c>
      <c r="B207" s="1">
        <v>45306</v>
      </c>
      <c r="C207" t="s">
        <v>24</v>
      </c>
      <c r="D207" t="s">
        <v>13</v>
      </c>
      <c r="E207" t="s">
        <v>420</v>
      </c>
      <c r="F207" t="s">
        <v>44</v>
      </c>
      <c r="G207" t="s">
        <v>94</v>
      </c>
      <c r="H207">
        <v>10</v>
      </c>
      <c r="I207">
        <v>182.82</v>
      </c>
      <c r="J207">
        <v>0.05</v>
      </c>
      <c r="K207">
        <v>1736.79</v>
      </c>
    </row>
    <row r="208" spans="1:11" x14ac:dyDescent="0.35">
      <c r="A208" t="s">
        <v>421</v>
      </c>
      <c r="B208" s="1">
        <v>45314</v>
      </c>
      <c r="C208" t="s">
        <v>24</v>
      </c>
      <c r="D208" t="s">
        <v>13</v>
      </c>
      <c r="E208" t="s">
        <v>368</v>
      </c>
      <c r="F208" t="s">
        <v>35</v>
      </c>
      <c r="G208" t="s">
        <v>36</v>
      </c>
      <c r="H208">
        <v>7</v>
      </c>
      <c r="I208">
        <v>118.28</v>
      </c>
      <c r="J208">
        <v>0.1</v>
      </c>
      <c r="K208">
        <v>745.16</v>
      </c>
    </row>
    <row r="209" spans="1:11" x14ac:dyDescent="0.35">
      <c r="A209" t="s">
        <v>422</v>
      </c>
      <c r="B209" t="s">
        <v>423</v>
      </c>
      <c r="C209" t="s">
        <v>90</v>
      </c>
      <c r="D209" t="s">
        <v>57</v>
      </c>
      <c r="E209" t="s">
        <v>77</v>
      </c>
      <c r="F209" t="s">
        <v>21</v>
      </c>
      <c r="G209" t="s">
        <v>129</v>
      </c>
      <c r="H209">
        <v>6</v>
      </c>
      <c r="I209">
        <v>110.7</v>
      </c>
      <c r="J209">
        <v>0</v>
      </c>
      <c r="K209">
        <v>664.2</v>
      </c>
    </row>
    <row r="210" spans="1:11" x14ac:dyDescent="0.35">
      <c r="A210" t="s">
        <v>424</v>
      </c>
      <c r="B210" s="1">
        <v>45548</v>
      </c>
      <c r="C210" t="s">
        <v>24</v>
      </c>
      <c r="D210" t="s">
        <v>25</v>
      </c>
      <c r="E210" t="s">
        <v>332</v>
      </c>
      <c r="F210" t="s">
        <v>35</v>
      </c>
      <c r="G210" t="s">
        <v>67</v>
      </c>
      <c r="H210">
        <v>10</v>
      </c>
      <c r="I210">
        <v>132.88</v>
      </c>
      <c r="J210">
        <v>0.1</v>
      </c>
      <c r="K210">
        <v>1195.92</v>
      </c>
    </row>
    <row r="211" spans="1:11" x14ac:dyDescent="0.35">
      <c r="A211" t="s">
        <v>425</v>
      </c>
      <c r="B211" s="1">
        <v>45389</v>
      </c>
      <c r="C211" t="s">
        <v>56</v>
      </c>
      <c r="D211" t="s">
        <v>25</v>
      </c>
      <c r="E211" t="s">
        <v>426</v>
      </c>
      <c r="F211" t="s">
        <v>44</v>
      </c>
      <c r="G211" t="s">
        <v>94</v>
      </c>
      <c r="H211">
        <v>7</v>
      </c>
      <c r="I211">
        <v>64.13</v>
      </c>
      <c r="J211">
        <v>0.05</v>
      </c>
      <c r="K211">
        <v>426.46</v>
      </c>
    </row>
    <row r="212" spans="1:11" x14ac:dyDescent="0.35">
      <c r="A212" t="s">
        <v>427</v>
      </c>
      <c r="B212" s="2">
        <v>45488</v>
      </c>
      <c r="C212" t="s">
        <v>90</v>
      </c>
      <c r="D212" t="s">
        <v>25</v>
      </c>
      <c r="E212" t="s">
        <v>296</v>
      </c>
      <c r="F212" t="s">
        <v>15</v>
      </c>
      <c r="G212" t="s">
        <v>27</v>
      </c>
      <c r="H212">
        <v>7</v>
      </c>
      <c r="I212">
        <v>9.6199999999999992</v>
      </c>
      <c r="J212">
        <v>0.05</v>
      </c>
      <c r="K212">
        <v>63.97</v>
      </c>
    </row>
    <row r="213" spans="1:11" x14ac:dyDescent="0.35">
      <c r="A213" t="s">
        <v>428</v>
      </c>
      <c r="B213" s="1">
        <v>45581</v>
      </c>
      <c r="C213" t="s">
        <v>102</v>
      </c>
      <c r="D213" t="s">
        <v>25</v>
      </c>
      <c r="E213" t="s">
        <v>429</v>
      </c>
      <c r="F213" t="s">
        <v>15</v>
      </c>
      <c r="G213" t="s">
        <v>111</v>
      </c>
      <c r="H213">
        <v>8</v>
      </c>
      <c r="I213">
        <v>28.54</v>
      </c>
      <c r="J213">
        <v>0.1</v>
      </c>
      <c r="K213">
        <v>205.49</v>
      </c>
    </row>
    <row r="214" spans="1:11" x14ac:dyDescent="0.35">
      <c r="A214" t="s">
        <v>430</v>
      </c>
      <c r="B214" s="1">
        <v>45432</v>
      </c>
      <c r="C214" t="s">
        <v>24</v>
      </c>
      <c r="D214" t="s">
        <v>57</v>
      </c>
      <c r="E214" t="s">
        <v>431</v>
      </c>
      <c r="F214" t="s">
        <v>53</v>
      </c>
      <c r="G214" t="s">
        <v>63</v>
      </c>
      <c r="H214">
        <v>4</v>
      </c>
      <c r="I214">
        <v>16.12</v>
      </c>
      <c r="J214">
        <v>0</v>
      </c>
      <c r="K214">
        <v>64.48</v>
      </c>
    </row>
    <row r="215" spans="1:11" x14ac:dyDescent="0.35">
      <c r="A215" t="s">
        <v>432</v>
      </c>
      <c r="B215" s="1">
        <v>45317</v>
      </c>
      <c r="C215" t="s">
        <v>33</v>
      </c>
      <c r="D215" t="s">
        <v>57</v>
      </c>
      <c r="E215" t="s">
        <v>433</v>
      </c>
      <c r="F215" t="s">
        <v>44</v>
      </c>
      <c r="G215" t="s">
        <v>45</v>
      </c>
      <c r="H215">
        <v>3</v>
      </c>
      <c r="I215">
        <v>107.15</v>
      </c>
      <c r="J215">
        <v>0</v>
      </c>
      <c r="K215">
        <v>321.45</v>
      </c>
    </row>
    <row r="216" spans="1:11" x14ac:dyDescent="0.35">
      <c r="A216" t="s">
        <v>434</v>
      </c>
      <c r="B216" s="1">
        <v>45617</v>
      </c>
      <c r="C216" t="s">
        <v>90</v>
      </c>
      <c r="E216" t="s">
        <v>336</v>
      </c>
      <c r="F216" t="s">
        <v>15</v>
      </c>
      <c r="G216" t="s">
        <v>16</v>
      </c>
      <c r="H216">
        <v>7</v>
      </c>
      <c r="I216">
        <v>237.13</v>
      </c>
      <c r="J216">
        <v>0</v>
      </c>
      <c r="K216">
        <v>1659.91</v>
      </c>
    </row>
    <row r="217" spans="1:11" x14ac:dyDescent="0.35">
      <c r="A217" t="s">
        <v>435</v>
      </c>
      <c r="B217" s="1">
        <v>45643</v>
      </c>
      <c r="C217" t="s">
        <v>33</v>
      </c>
      <c r="D217" t="s">
        <v>42</v>
      </c>
      <c r="E217" t="s">
        <v>274</v>
      </c>
      <c r="F217" t="s">
        <v>53</v>
      </c>
      <c r="G217" t="s">
        <v>54</v>
      </c>
      <c r="H217">
        <v>11</v>
      </c>
      <c r="I217">
        <v>174.12</v>
      </c>
      <c r="J217">
        <v>0</v>
      </c>
      <c r="K217">
        <v>1915.32</v>
      </c>
    </row>
    <row r="218" spans="1:11" x14ac:dyDescent="0.35">
      <c r="A218" t="s">
        <v>436</v>
      </c>
      <c r="B218" s="2">
        <v>45635</v>
      </c>
      <c r="C218" t="s">
        <v>79</v>
      </c>
      <c r="D218" t="s">
        <v>25</v>
      </c>
      <c r="E218" t="s">
        <v>437</v>
      </c>
      <c r="F218" t="s">
        <v>44</v>
      </c>
      <c r="G218" t="s">
        <v>107</v>
      </c>
      <c r="H218">
        <v>1</v>
      </c>
      <c r="I218">
        <v>167.82</v>
      </c>
      <c r="J218">
        <v>0</v>
      </c>
      <c r="K218">
        <v>167.82</v>
      </c>
    </row>
    <row r="219" spans="1:11" x14ac:dyDescent="0.35">
      <c r="A219" t="s">
        <v>438</v>
      </c>
      <c r="B219" s="1">
        <v>45615</v>
      </c>
      <c r="C219" t="s">
        <v>24</v>
      </c>
      <c r="D219" t="s">
        <v>42</v>
      </c>
      <c r="E219" t="s">
        <v>439</v>
      </c>
      <c r="F219" t="s">
        <v>21</v>
      </c>
      <c r="G219" t="s">
        <v>22</v>
      </c>
      <c r="H219">
        <v>11</v>
      </c>
      <c r="I219">
        <v>220.47</v>
      </c>
      <c r="J219">
        <v>0.05</v>
      </c>
      <c r="K219">
        <v>2303.91</v>
      </c>
    </row>
    <row r="220" spans="1:11" x14ac:dyDescent="0.35">
      <c r="A220" t="s">
        <v>440</v>
      </c>
      <c r="B220" s="1">
        <v>45557</v>
      </c>
      <c r="C220" t="s">
        <v>24</v>
      </c>
      <c r="D220" t="s">
        <v>57</v>
      </c>
      <c r="E220" t="s">
        <v>259</v>
      </c>
      <c r="F220" t="s">
        <v>35</v>
      </c>
      <c r="G220" t="s">
        <v>36</v>
      </c>
      <c r="H220">
        <v>8</v>
      </c>
      <c r="I220">
        <v>166.49</v>
      </c>
      <c r="J220">
        <v>0</v>
      </c>
      <c r="K220">
        <v>1331.92</v>
      </c>
    </row>
    <row r="221" spans="1:11" x14ac:dyDescent="0.35">
      <c r="A221" t="s">
        <v>441</v>
      </c>
      <c r="B221" t="s">
        <v>442</v>
      </c>
      <c r="C221" t="s">
        <v>24</v>
      </c>
      <c r="D221" t="s">
        <v>13</v>
      </c>
      <c r="E221" t="s">
        <v>360</v>
      </c>
      <c r="F221" t="s">
        <v>35</v>
      </c>
      <c r="G221" t="s">
        <v>36</v>
      </c>
      <c r="H221">
        <v>10</v>
      </c>
      <c r="I221">
        <v>21.7</v>
      </c>
      <c r="J221">
        <v>0</v>
      </c>
      <c r="K221">
        <v>217</v>
      </c>
    </row>
    <row r="222" spans="1:11" x14ac:dyDescent="0.35">
      <c r="A222" t="s">
        <v>443</v>
      </c>
      <c r="B222" s="1">
        <v>45325</v>
      </c>
      <c r="C222" t="s">
        <v>29</v>
      </c>
      <c r="D222" t="s">
        <v>19</v>
      </c>
      <c r="E222" t="s">
        <v>133</v>
      </c>
      <c r="F222" t="s">
        <v>15</v>
      </c>
      <c r="G222" t="s">
        <v>74</v>
      </c>
      <c r="H222">
        <v>6</v>
      </c>
      <c r="I222">
        <v>157.69</v>
      </c>
      <c r="J222">
        <v>0.1</v>
      </c>
      <c r="K222">
        <v>851.53</v>
      </c>
    </row>
    <row r="223" spans="1:11" x14ac:dyDescent="0.35">
      <c r="A223" t="s">
        <v>444</v>
      </c>
      <c r="B223" s="1">
        <v>45314</v>
      </c>
      <c r="C223" t="s">
        <v>79</v>
      </c>
      <c r="D223" t="s">
        <v>42</v>
      </c>
      <c r="E223" t="s">
        <v>445</v>
      </c>
      <c r="F223" t="s">
        <v>44</v>
      </c>
      <c r="G223" t="s">
        <v>45</v>
      </c>
      <c r="H223">
        <v>7</v>
      </c>
      <c r="I223">
        <v>86.49</v>
      </c>
      <c r="J223">
        <v>0.1</v>
      </c>
      <c r="K223">
        <v>544.89</v>
      </c>
    </row>
    <row r="224" spans="1:11" x14ac:dyDescent="0.35">
      <c r="A224" t="s">
        <v>446</v>
      </c>
      <c r="B224" s="1">
        <v>45533</v>
      </c>
      <c r="C224" t="s">
        <v>41</v>
      </c>
      <c r="D224" t="s">
        <v>57</v>
      </c>
      <c r="E224" t="s">
        <v>241</v>
      </c>
      <c r="F224" t="s">
        <v>53</v>
      </c>
      <c r="G224" t="s">
        <v>260</v>
      </c>
      <c r="H224">
        <v>11</v>
      </c>
      <c r="I224">
        <v>64.459999999999994</v>
      </c>
      <c r="J224">
        <v>0</v>
      </c>
      <c r="K224">
        <v>709.06</v>
      </c>
    </row>
    <row r="225" spans="1:11" x14ac:dyDescent="0.35">
      <c r="A225" t="s">
        <v>447</v>
      </c>
      <c r="B225" s="2">
        <v>45532</v>
      </c>
      <c r="C225" t="s">
        <v>56</v>
      </c>
      <c r="D225" t="s">
        <v>57</v>
      </c>
      <c r="E225" t="s">
        <v>448</v>
      </c>
      <c r="F225" t="s">
        <v>53</v>
      </c>
      <c r="G225" t="s">
        <v>104</v>
      </c>
      <c r="H225">
        <v>12</v>
      </c>
      <c r="I225">
        <v>224.66</v>
      </c>
      <c r="J225">
        <v>0</v>
      </c>
      <c r="K225">
        <v>2695.92</v>
      </c>
    </row>
    <row r="226" spans="1:11" x14ac:dyDescent="0.35">
      <c r="A226" t="s">
        <v>449</v>
      </c>
      <c r="B226" s="2">
        <v>45437</v>
      </c>
      <c r="C226" t="s">
        <v>24</v>
      </c>
      <c r="D226" t="s">
        <v>42</v>
      </c>
      <c r="E226" t="s">
        <v>122</v>
      </c>
      <c r="F226" t="s">
        <v>53</v>
      </c>
      <c r="G226" t="s">
        <v>59</v>
      </c>
      <c r="H226">
        <v>5</v>
      </c>
      <c r="I226">
        <v>152.1</v>
      </c>
      <c r="J226">
        <v>0.15</v>
      </c>
      <c r="K226">
        <v>646.41999999999996</v>
      </c>
    </row>
    <row r="227" spans="1:11" x14ac:dyDescent="0.35">
      <c r="A227" t="s">
        <v>450</v>
      </c>
      <c r="B227" s="2">
        <v>45525</v>
      </c>
      <c r="C227" t="s">
        <v>48</v>
      </c>
      <c r="D227" t="s">
        <v>25</v>
      </c>
      <c r="E227" t="s">
        <v>43</v>
      </c>
      <c r="F227" t="s">
        <v>44</v>
      </c>
      <c r="G227" t="s">
        <v>107</v>
      </c>
      <c r="H227">
        <v>8</v>
      </c>
      <c r="I227">
        <v>184.08</v>
      </c>
      <c r="J227">
        <v>0</v>
      </c>
      <c r="K227">
        <v>1472.64</v>
      </c>
    </row>
    <row r="228" spans="1:11" x14ac:dyDescent="0.35">
      <c r="A228" t="s">
        <v>451</v>
      </c>
      <c r="B228" t="s">
        <v>452</v>
      </c>
      <c r="C228" t="s">
        <v>29</v>
      </c>
      <c r="D228" t="s">
        <v>57</v>
      </c>
      <c r="E228" t="s">
        <v>77</v>
      </c>
      <c r="F228" t="s">
        <v>35</v>
      </c>
      <c r="G228" t="s">
        <v>36</v>
      </c>
      <c r="H228">
        <v>6</v>
      </c>
      <c r="I228">
        <v>124.16</v>
      </c>
      <c r="J228">
        <v>0</v>
      </c>
      <c r="K228">
        <v>744.96</v>
      </c>
    </row>
    <row r="229" spans="1:11" x14ac:dyDescent="0.35">
      <c r="A229" t="s">
        <v>453</v>
      </c>
      <c r="B229" s="2">
        <v>45427</v>
      </c>
      <c r="C229" t="s">
        <v>102</v>
      </c>
      <c r="D229" t="s">
        <v>13</v>
      </c>
      <c r="E229" t="s">
        <v>454</v>
      </c>
      <c r="F229" t="s">
        <v>44</v>
      </c>
      <c r="G229" t="s">
        <v>50</v>
      </c>
      <c r="H229">
        <v>8</v>
      </c>
      <c r="I229">
        <v>90.9</v>
      </c>
      <c r="J229">
        <v>0</v>
      </c>
      <c r="K229">
        <v>727.2</v>
      </c>
    </row>
    <row r="230" spans="1:11" x14ac:dyDescent="0.35">
      <c r="A230" t="s">
        <v>455</v>
      </c>
      <c r="B230" s="1">
        <v>45424</v>
      </c>
      <c r="C230" t="s">
        <v>79</v>
      </c>
      <c r="D230" t="s">
        <v>13</v>
      </c>
      <c r="E230" t="s">
        <v>390</v>
      </c>
      <c r="F230" t="s">
        <v>53</v>
      </c>
      <c r="G230" t="s">
        <v>260</v>
      </c>
      <c r="H230">
        <v>8</v>
      </c>
      <c r="I230">
        <v>85.52</v>
      </c>
      <c r="J230">
        <v>0.1</v>
      </c>
      <c r="K230">
        <v>615.74</v>
      </c>
    </row>
    <row r="231" spans="1:11" x14ac:dyDescent="0.35">
      <c r="A231" t="s">
        <v>456</v>
      </c>
      <c r="B231" s="1">
        <v>45560</v>
      </c>
      <c r="C231" t="s">
        <v>18</v>
      </c>
      <c r="D231" t="s">
        <v>57</v>
      </c>
      <c r="E231" t="s">
        <v>457</v>
      </c>
      <c r="F231" t="s">
        <v>15</v>
      </c>
      <c r="G231" t="s">
        <v>27</v>
      </c>
      <c r="H231">
        <v>1</v>
      </c>
      <c r="I231">
        <v>148.47</v>
      </c>
      <c r="J231">
        <v>0</v>
      </c>
      <c r="K231">
        <v>148.47</v>
      </c>
    </row>
    <row r="232" spans="1:11" x14ac:dyDescent="0.35">
      <c r="A232" t="s">
        <v>458</v>
      </c>
      <c r="B232" s="1">
        <v>45633</v>
      </c>
      <c r="C232" t="s">
        <v>38</v>
      </c>
      <c r="D232" t="s">
        <v>13</v>
      </c>
      <c r="E232" t="s">
        <v>117</v>
      </c>
      <c r="F232" t="s">
        <v>35</v>
      </c>
      <c r="G232" t="s">
        <v>177</v>
      </c>
      <c r="H232">
        <v>2</v>
      </c>
      <c r="I232">
        <v>134.44</v>
      </c>
      <c r="J232">
        <v>0.05</v>
      </c>
      <c r="K232">
        <v>255.44</v>
      </c>
    </row>
    <row r="233" spans="1:11" x14ac:dyDescent="0.35">
      <c r="A233" t="s">
        <v>459</v>
      </c>
      <c r="B233" s="1">
        <v>45455</v>
      </c>
      <c r="C233" t="s">
        <v>12</v>
      </c>
      <c r="D233" t="s">
        <v>57</v>
      </c>
      <c r="E233" t="s">
        <v>460</v>
      </c>
      <c r="F233" t="s">
        <v>53</v>
      </c>
      <c r="G233" t="s">
        <v>63</v>
      </c>
      <c r="H233">
        <v>10</v>
      </c>
      <c r="I233">
        <v>176.03</v>
      </c>
      <c r="J233">
        <v>0.15</v>
      </c>
      <c r="K233">
        <v>1496.25</v>
      </c>
    </row>
    <row r="234" spans="1:11" x14ac:dyDescent="0.35">
      <c r="A234" t="s">
        <v>461</v>
      </c>
      <c r="B234" s="2">
        <v>45420</v>
      </c>
      <c r="C234" t="s">
        <v>56</v>
      </c>
      <c r="D234" t="s">
        <v>13</v>
      </c>
      <c r="E234" t="s">
        <v>462</v>
      </c>
      <c r="F234" t="s">
        <v>53</v>
      </c>
      <c r="G234" t="s">
        <v>104</v>
      </c>
      <c r="H234">
        <v>2</v>
      </c>
      <c r="I234">
        <v>207.92</v>
      </c>
      <c r="J234">
        <v>0.15</v>
      </c>
      <c r="K234">
        <v>353.46</v>
      </c>
    </row>
    <row r="235" spans="1:11" x14ac:dyDescent="0.35">
      <c r="A235" t="s">
        <v>463</v>
      </c>
      <c r="B235" s="1">
        <v>45522</v>
      </c>
      <c r="C235" t="s">
        <v>18</v>
      </c>
      <c r="D235" t="s">
        <v>25</v>
      </c>
      <c r="E235" t="s">
        <v>339</v>
      </c>
      <c r="F235" t="s">
        <v>15</v>
      </c>
      <c r="G235" t="s">
        <v>16</v>
      </c>
      <c r="H235">
        <v>12</v>
      </c>
      <c r="I235">
        <v>196.35</v>
      </c>
      <c r="J235">
        <v>0</v>
      </c>
      <c r="K235">
        <v>2356.1999999999998</v>
      </c>
    </row>
    <row r="236" spans="1:11" x14ac:dyDescent="0.35">
      <c r="A236" t="s">
        <v>464</v>
      </c>
      <c r="B236" s="1">
        <v>45606</v>
      </c>
      <c r="C236" t="s">
        <v>41</v>
      </c>
      <c r="D236" t="s">
        <v>19</v>
      </c>
      <c r="E236" t="s">
        <v>58</v>
      </c>
      <c r="F236" t="s">
        <v>35</v>
      </c>
      <c r="G236" t="s">
        <v>36</v>
      </c>
      <c r="H236">
        <v>11</v>
      </c>
      <c r="I236">
        <v>18.079999999999998</v>
      </c>
      <c r="J236">
        <v>0</v>
      </c>
      <c r="K236">
        <v>198.88</v>
      </c>
    </row>
    <row r="237" spans="1:11" x14ac:dyDescent="0.35">
      <c r="A237" t="s">
        <v>465</v>
      </c>
      <c r="B237" s="1">
        <v>45575</v>
      </c>
      <c r="C237" t="s">
        <v>29</v>
      </c>
      <c r="D237" t="s">
        <v>57</v>
      </c>
      <c r="E237" t="s">
        <v>339</v>
      </c>
      <c r="F237" t="s">
        <v>53</v>
      </c>
      <c r="G237" t="s">
        <v>125</v>
      </c>
      <c r="H237">
        <v>10</v>
      </c>
      <c r="I237">
        <v>71.73</v>
      </c>
      <c r="J237">
        <v>0</v>
      </c>
      <c r="K237">
        <v>717.3</v>
      </c>
    </row>
    <row r="238" spans="1:11" x14ac:dyDescent="0.35">
      <c r="A238" t="s">
        <v>466</v>
      </c>
      <c r="B238" s="1">
        <v>45415</v>
      </c>
      <c r="C238" t="s">
        <v>56</v>
      </c>
      <c r="D238" t="s">
        <v>57</v>
      </c>
      <c r="E238" t="s">
        <v>106</v>
      </c>
      <c r="F238" t="s">
        <v>35</v>
      </c>
      <c r="G238" t="s">
        <v>83</v>
      </c>
      <c r="H238">
        <v>8</v>
      </c>
      <c r="I238">
        <v>124.75</v>
      </c>
      <c r="J238">
        <v>0</v>
      </c>
      <c r="K238">
        <v>998</v>
      </c>
    </row>
    <row r="239" spans="1:11" x14ac:dyDescent="0.35">
      <c r="A239" t="s">
        <v>467</v>
      </c>
      <c r="B239" s="1">
        <v>45641</v>
      </c>
      <c r="C239" t="s">
        <v>24</v>
      </c>
      <c r="D239" t="s">
        <v>13</v>
      </c>
      <c r="E239" t="s">
        <v>468</v>
      </c>
      <c r="F239" t="s">
        <v>44</v>
      </c>
      <c r="G239" t="s">
        <v>107</v>
      </c>
      <c r="H239">
        <v>8</v>
      </c>
      <c r="I239">
        <v>238.49</v>
      </c>
      <c r="J239">
        <v>0.15</v>
      </c>
      <c r="K239">
        <v>1621.73</v>
      </c>
    </row>
    <row r="240" spans="1:11" x14ac:dyDescent="0.35">
      <c r="A240" t="s">
        <v>469</v>
      </c>
      <c r="B240" s="1">
        <v>45393</v>
      </c>
      <c r="C240" t="s">
        <v>79</v>
      </c>
      <c r="D240" t="s">
        <v>42</v>
      </c>
      <c r="E240" t="s">
        <v>470</v>
      </c>
      <c r="F240" t="s">
        <v>44</v>
      </c>
      <c r="G240" t="s">
        <v>94</v>
      </c>
      <c r="H240">
        <v>7</v>
      </c>
      <c r="I240">
        <v>17.489999999999998</v>
      </c>
      <c r="J240">
        <v>0.15</v>
      </c>
      <c r="K240">
        <v>104.07</v>
      </c>
    </row>
    <row r="241" spans="1:11" x14ac:dyDescent="0.35">
      <c r="A241" t="s">
        <v>471</v>
      </c>
      <c r="B241" s="2">
        <v>45498</v>
      </c>
      <c r="C241" t="s">
        <v>90</v>
      </c>
      <c r="D241" t="s">
        <v>57</v>
      </c>
      <c r="E241" t="s">
        <v>472</v>
      </c>
      <c r="F241" t="s">
        <v>35</v>
      </c>
      <c r="G241" t="s">
        <v>36</v>
      </c>
      <c r="H241">
        <v>7</v>
      </c>
      <c r="I241">
        <v>62.81</v>
      </c>
      <c r="J241">
        <v>0.1</v>
      </c>
      <c r="K241">
        <v>395.7</v>
      </c>
    </row>
    <row r="242" spans="1:11" x14ac:dyDescent="0.35">
      <c r="A242" t="s">
        <v>473</v>
      </c>
      <c r="B242" s="1">
        <v>45490</v>
      </c>
      <c r="C242" t="s">
        <v>72</v>
      </c>
      <c r="D242" t="s">
        <v>25</v>
      </c>
      <c r="E242" t="s">
        <v>474</v>
      </c>
      <c r="F242" t="s">
        <v>44</v>
      </c>
      <c r="G242" t="s">
        <v>45</v>
      </c>
      <c r="H242">
        <v>8</v>
      </c>
      <c r="I242">
        <v>51.51</v>
      </c>
      <c r="J242">
        <v>0.05</v>
      </c>
      <c r="K242">
        <v>391.48</v>
      </c>
    </row>
    <row r="243" spans="1:11" x14ac:dyDescent="0.35">
      <c r="A243" t="s">
        <v>475</v>
      </c>
      <c r="B243" s="1">
        <v>45430</v>
      </c>
      <c r="C243" t="s">
        <v>33</v>
      </c>
      <c r="D243" t="s">
        <v>13</v>
      </c>
      <c r="E243" t="s">
        <v>166</v>
      </c>
      <c r="F243" t="s">
        <v>15</v>
      </c>
      <c r="G243" t="s">
        <v>27</v>
      </c>
      <c r="H243">
        <v>9</v>
      </c>
      <c r="I243">
        <v>23.75</v>
      </c>
      <c r="J243">
        <v>0.15</v>
      </c>
      <c r="K243">
        <v>181.69</v>
      </c>
    </row>
    <row r="244" spans="1:11" x14ac:dyDescent="0.35">
      <c r="A244" t="s">
        <v>476</v>
      </c>
      <c r="B244" s="1">
        <v>45628</v>
      </c>
      <c r="C244" t="s">
        <v>102</v>
      </c>
      <c r="D244" t="s">
        <v>25</v>
      </c>
      <c r="E244" t="s">
        <v>477</v>
      </c>
      <c r="F244" t="s">
        <v>53</v>
      </c>
      <c r="G244" t="s">
        <v>260</v>
      </c>
      <c r="H244">
        <v>6</v>
      </c>
      <c r="I244">
        <v>48.94</v>
      </c>
      <c r="J244">
        <v>0</v>
      </c>
      <c r="K244">
        <v>293.64</v>
      </c>
    </row>
    <row r="245" spans="1:11" x14ac:dyDescent="0.35">
      <c r="A245" t="s">
        <v>478</v>
      </c>
      <c r="B245" s="2">
        <v>45565</v>
      </c>
      <c r="C245" t="s">
        <v>79</v>
      </c>
      <c r="D245" t="s">
        <v>19</v>
      </c>
      <c r="E245" t="s">
        <v>183</v>
      </c>
      <c r="F245" t="s">
        <v>53</v>
      </c>
      <c r="G245" t="s">
        <v>260</v>
      </c>
      <c r="H245">
        <v>12</v>
      </c>
      <c r="I245">
        <v>108.84</v>
      </c>
      <c r="J245">
        <v>0.1</v>
      </c>
      <c r="K245">
        <v>1175.47</v>
      </c>
    </row>
    <row r="246" spans="1:11" x14ac:dyDescent="0.35">
      <c r="A246" t="s">
        <v>479</v>
      </c>
      <c r="B246" s="1">
        <v>45486</v>
      </c>
      <c r="C246" t="s">
        <v>12</v>
      </c>
      <c r="D246" t="s">
        <v>19</v>
      </c>
      <c r="E246" t="s">
        <v>480</v>
      </c>
      <c r="F246" t="s">
        <v>21</v>
      </c>
      <c r="G246" t="s">
        <v>194</v>
      </c>
      <c r="H246">
        <v>6</v>
      </c>
      <c r="I246">
        <v>56.86</v>
      </c>
      <c r="J246">
        <v>0</v>
      </c>
      <c r="K246">
        <v>341.16</v>
      </c>
    </row>
    <row r="247" spans="1:11" x14ac:dyDescent="0.35">
      <c r="A247" t="s">
        <v>481</v>
      </c>
      <c r="B247" s="1">
        <v>45600</v>
      </c>
      <c r="C247" t="s">
        <v>56</v>
      </c>
      <c r="D247" t="s">
        <v>57</v>
      </c>
      <c r="E247" t="s">
        <v>52</v>
      </c>
      <c r="F247" t="s">
        <v>21</v>
      </c>
      <c r="G247" t="s">
        <v>70</v>
      </c>
      <c r="H247">
        <v>4</v>
      </c>
      <c r="I247">
        <v>74.599999999999994</v>
      </c>
      <c r="J247">
        <v>0</v>
      </c>
      <c r="K247">
        <v>298.39999999999998</v>
      </c>
    </row>
    <row r="248" spans="1:11" x14ac:dyDescent="0.35">
      <c r="A248" t="s">
        <v>482</v>
      </c>
      <c r="B248" t="s">
        <v>483</v>
      </c>
      <c r="C248" t="s">
        <v>72</v>
      </c>
      <c r="D248" t="s">
        <v>57</v>
      </c>
      <c r="E248" t="s">
        <v>484</v>
      </c>
      <c r="F248" t="s">
        <v>21</v>
      </c>
      <c r="G248" t="s">
        <v>167</v>
      </c>
      <c r="H248">
        <v>11</v>
      </c>
      <c r="I248">
        <v>182.13</v>
      </c>
      <c r="J248">
        <v>0.15</v>
      </c>
      <c r="K248">
        <v>1702.92</v>
      </c>
    </row>
    <row r="249" spans="1:11" x14ac:dyDescent="0.35">
      <c r="A249" t="s">
        <v>485</v>
      </c>
      <c r="B249" s="1">
        <v>45333</v>
      </c>
      <c r="C249" t="s">
        <v>65</v>
      </c>
      <c r="D249" t="s">
        <v>19</v>
      </c>
      <c r="E249" t="s">
        <v>250</v>
      </c>
      <c r="F249" t="s">
        <v>35</v>
      </c>
      <c r="G249" t="s">
        <v>83</v>
      </c>
      <c r="H249">
        <v>2</v>
      </c>
      <c r="I249">
        <v>159.32</v>
      </c>
      <c r="J249">
        <v>0.15</v>
      </c>
      <c r="K249">
        <v>270.83999999999997</v>
      </c>
    </row>
    <row r="250" spans="1:11" x14ac:dyDescent="0.35">
      <c r="A250" t="s">
        <v>486</v>
      </c>
      <c r="B250" s="2">
        <v>45535</v>
      </c>
      <c r="C250" t="s">
        <v>102</v>
      </c>
      <c r="D250" t="s">
        <v>19</v>
      </c>
      <c r="E250" t="s">
        <v>217</v>
      </c>
      <c r="F250" t="s">
        <v>44</v>
      </c>
      <c r="G250" t="s">
        <v>45</v>
      </c>
      <c r="H250">
        <v>9</v>
      </c>
      <c r="I250">
        <v>246.94</v>
      </c>
      <c r="J250">
        <v>0</v>
      </c>
      <c r="K250">
        <v>2222.46</v>
      </c>
    </row>
    <row r="251" spans="1:11" x14ac:dyDescent="0.35">
      <c r="A251" t="s">
        <v>487</v>
      </c>
      <c r="B251" s="1">
        <v>45296</v>
      </c>
      <c r="C251" t="s">
        <v>41</v>
      </c>
      <c r="D251" t="s">
        <v>57</v>
      </c>
      <c r="E251" t="s">
        <v>426</v>
      </c>
      <c r="F251" t="s">
        <v>53</v>
      </c>
      <c r="G251" t="s">
        <v>63</v>
      </c>
      <c r="H251">
        <v>8</v>
      </c>
      <c r="I251">
        <v>104.57</v>
      </c>
      <c r="J251">
        <v>0</v>
      </c>
      <c r="K251">
        <v>836.56</v>
      </c>
    </row>
    <row r="252" spans="1:11" x14ac:dyDescent="0.35">
      <c r="A252" t="s">
        <v>488</v>
      </c>
      <c r="B252" s="2">
        <v>45398</v>
      </c>
      <c r="C252" t="s">
        <v>56</v>
      </c>
      <c r="D252" t="s">
        <v>42</v>
      </c>
      <c r="E252" t="s">
        <v>489</v>
      </c>
      <c r="F252" t="s">
        <v>15</v>
      </c>
      <c r="G252" t="s">
        <v>74</v>
      </c>
      <c r="H252">
        <v>1</v>
      </c>
      <c r="I252">
        <v>86</v>
      </c>
      <c r="J252">
        <v>0</v>
      </c>
      <c r="K252">
        <v>86</v>
      </c>
    </row>
    <row r="253" spans="1:11" x14ac:dyDescent="0.35">
      <c r="A253" t="s">
        <v>490</v>
      </c>
      <c r="B253" s="2">
        <v>45625</v>
      </c>
      <c r="C253" t="s">
        <v>18</v>
      </c>
      <c r="D253" t="s">
        <v>25</v>
      </c>
      <c r="E253" t="s">
        <v>43</v>
      </c>
      <c r="F253" t="s">
        <v>15</v>
      </c>
      <c r="G253" t="s">
        <v>16</v>
      </c>
      <c r="H253">
        <v>2</v>
      </c>
      <c r="I253">
        <v>55.12</v>
      </c>
      <c r="J253">
        <v>0</v>
      </c>
      <c r="K253">
        <v>110.24</v>
      </c>
    </row>
    <row r="254" spans="1:11" x14ac:dyDescent="0.35">
      <c r="A254" t="s">
        <v>491</v>
      </c>
      <c r="B254" s="1">
        <v>45368</v>
      </c>
      <c r="C254" t="s">
        <v>41</v>
      </c>
      <c r="D254" t="s">
        <v>42</v>
      </c>
      <c r="E254" t="s">
        <v>492</v>
      </c>
      <c r="F254" t="s">
        <v>35</v>
      </c>
      <c r="G254" t="s">
        <v>67</v>
      </c>
      <c r="H254">
        <v>3</v>
      </c>
      <c r="I254">
        <v>7.85</v>
      </c>
      <c r="J254">
        <v>0.1</v>
      </c>
      <c r="K254">
        <v>21.19</v>
      </c>
    </row>
    <row r="255" spans="1:11" x14ac:dyDescent="0.35">
      <c r="A255" t="s">
        <v>493</v>
      </c>
      <c r="B255" t="s">
        <v>494</v>
      </c>
      <c r="C255" t="s">
        <v>102</v>
      </c>
      <c r="D255" t="s">
        <v>19</v>
      </c>
      <c r="E255" t="s">
        <v>150</v>
      </c>
      <c r="F255" t="s">
        <v>53</v>
      </c>
      <c r="G255" t="s">
        <v>54</v>
      </c>
      <c r="H255">
        <v>5</v>
      </c>
      <c r="I255">
        <v>243.87</v>
      </c>
      <c r="J255">
        <v>0</v>
      </c>
      <c r="K255">
        <v>1219.3499999999999</v>
      </c>
    </row>
    <row r="256" spans="1:11" x14ac:dyDescent="0.35">
      <c r="A256" t="s">
        <v>495</v>
      </c>
      <c r="B256" s="1">
        <v>45497</v>
      </c>
      <c r="C256" t="s">
        <v>56</v>
      </c>
      <c r="D256" t="s">
        <v>25</v>
      </c>
      <c r="E256" t="s">
        <v>26</v>
      </c>
      <c r="F256" t="s">
        <v>35</v>
      </c>
      <c r="G256" t="s">
        <v>36</v>
      </c>
      <c r="H256">
        <v>9</v>
      </c>
      <c r="I256">
        <v>166.1</v>
      </c>
      <c r="J256">
        <v>0.1</v>
      </c>
      <c r="K256">
        <v>1345.41</v>
      </c>
    </row>
    <row r="257" spans="1:11" x14ac:dyDescent="0.35">
      <c r="A257" t="s">
        <v>496</v>
      </c>
      <c r="B257" s="2">
        <v>45459</v>
      </c>
      <c r="C257" t="s">
        <v>24</v>
      </c>
      <c r="D257" t="s">
        <v>57</v>
      </c>
      <c r="E257" t="s">
        <v>457</v>
      </c>
      <c r="F257" t="s">
        <v>21</v>
      </c>
      <c r="G257" t="s">
        <v>167</v>
      </c>
      <c r="H257">
        <v>10</v>
      </c>
      <c r="I257">
        <v>80.03</v>
      </c>
      <c r="J257">
        <v>0.1</v>
      </c>
      <c r="K257">
        <v>720.27</v>
      </c>
    </row>
    <row r="258" spans="1:11" x14ac:dyDescent="0.35">
      <c r="A258" t="s">
        <v>497</v>
      </c>
      <c r="B258" s="1">
        <v>45650</v>
      </c>
      <c r="C258" t="s">
        <v>65</v>
      </c>
      <c r="D258" t="s">
        <v>13</v>
      </c>
      <c r="E258" t="s">
        <v>197</v>
      </c>
      <c r="F258" t="s">
        <v>35</v>
      </c>
      <c r="G258" t="s">
        <v>134</v>
      </c>
      <c r="H258">
        <v>12</v>
      </c>
      <c r="I258">
        <v>169.92</v>
      </c>
      <c r="J258">
        <v>0.15</v>
      </c>
      <c r="K258">
        <v>1733.18</v>
      </c>
    </row>
    <row r="259" spans="1:11" x14ac:dyDescent="0.35">
      <c r="A259" t="s">
        <v>498</v>
      </c>
      <c r="B259" s="1">
        <v>45393</v>
      </c>
      <c r="C259" t="s">
        <v>38</v>
      </c>
      <c r="D259" t="s">
        <v>42</v>
      </c>
      <c r="E259" t="s">
        <v>360</v>
      </c>
      <c r="F259" t="s">
        <v>44</v>
      </c>
      <c r="G259" t="s">
        <v>45</v>
      </c>
      <c r="H259">
        <v>9</v>
      </c>
      <c r="I259">
        <v>25.65</v>
      </c>
      <c r="J259">
        <v>0</v>
      </c>
      <c r="K259">
        <v>230.85</v>
      </c>
    </row>
    <row r="260" spans="1:11" x14ac:dyDescent="0.35">
      <c r="A260" t="s">
        <v>499</v>
      </c>
      <c r="B260" s="1">
        <v>45620</v>
      </c>
      <c r="C260" t="s">
        <v>79</v>
      </c>
      <c r="D260" t="s">
        <v>57</v>
      </c>
      <c r="E260" t="s">
        <v>415</v>
      </c>
      <c r="F260" t="s">
        <v>53</v>
      </c>
      <c r="G260" t="s">
        <v>59</v>
      </c>
      <c r="H260">
        <v>3</v>
      </c>
      <c r="I260">
        <v>153.02000000000001</v>
      </c>
      <c r="J260">
        <v>0.1</v>
      </c>
      <c r="K260">
        <v>413.15</v>
      </c>
    </row>
    <row r="261" spans="1:11" x14ac:dyDescent="0.35">
      <c r="A261" t="s">
        <v>500</v>
      </c>
      <c r="B261" s="2">
        <v>45576</v>
      </c>
      <c r="C261" t="s">
        <v>79</v>
      </c>
      <c r="D261" t="s">
        <v>25</v>
      </c>
      <c r="E261" t="s">
        <v>82</v>
      </c>
      <c r="F261" t="s">
        <v>44</v>
      </c>
      <c r="G261" t="s">
        <v>50</v>
      </c>
      <c r="H261">
        <v>5</v>
      </c>
      <c r="I261">
        <v>67.180000000000007</v>
      </c>
      <c r="J261">
        <v>0.1</v>
      </c>
      <c r="K261">
        <v>302.31</v>
      </c>
    </row>
    <row r="262" spans="1:11" x14ac:dyDescent="0.35">
      <c r="A262" t="s">
        <v>501</v>
      </c>
      <c r="B262" s="2">
        <v>45624</v>
      </c>
      <c r="C262" t="s">
        <v>29</v>
      </c>
      <c r="D262" t="s">
        <v>19</v>
      </c>
      <c r="E262" t="s">
        <v>346</v>
      </c>
      <c r="F262" t="s">
        <v>44</v>
      </c>
      <c r="G262" t="s">
        <v>107</v>
      </c>
      <c r="H262">
        <v>1</v>
      </c>
      <c r="I262">
        <v>33.590000000000003</v>
      </c>
      <c r="J262">
        <v>0</v>
      </c>
      <c r="K262">
        <v>33.590000000000003</v>
      </c>
    </row>
    <row r="263" spans="1:11" x14ac:dyDescent="0.35">
      <c r="A263" t="s">
        <v>502</v>
      </c>
      <c r="B263" s="1">
        <v>45293</v>
      </c>
      <c r="C263" t="s">
        <v>79</v>
      </c>
      <c r="D263" t="s">
        <v>13</v>
      </c>
      <c r="E263" t="s">
        <v>503</v>
      </c>
      <c r="F263" t="s">
        <v>15</v>
      </c>
      <c r="G263" t="s">
        <v>16</v>
      </c>
      <c r="H263">
        <v>11</v>
      </c>
      <c r="I263">
        <v>92.01</v>
      </c>
      <c r="J263">
        <v>0</v>
      </c>
      <c r="K263">
        <v>1012.11</v>
      </c>
    </row>
    <row r="264" spans="1:11" x14ac:dyDescent="0.35">
      <c r="A264" t="s">
        <v>504</v>
      </c>
      <c r="B264" s="1">
        <v>45386</v>
      </c>
      <c r="C264" t="s">
        <v>102</v>
      </c>
      <c r="D264" t="s">
        <v>25</v>
      </c>
      <c r="E264" t="s">
        <v>26</v>
      </c>
      <c r="F264" t="s">
        <v>53</v>
      </c>
      <c r="G264" t="s">
        <v>54</v>
      </c>
      <c r="H264">
        <v>7</v>
      </c>
      <c r="I264">
        <v>28.24</v>
      </c>
      <c r="J264">
        <v>0.05</v>
      </c>
      <c r="K264">
        <v>187.8</v>
      </c>
    </row>
    <row r="265" spans="1:11" x14ac:dyDescent="0.35">
      <c r="A265" t="s">
        <v>505</v>
      </c>
      <c r="B265" s="1">
        <v>45395</v>
      </c>
      <c r="C265" t="s">
        <v>56</v>
      </c>
      <c r="D265" t="s">
        <v>13</v>
      </c>
      <c r="E265" t="s">
        <v>506</v>
      </c>
      <c r="F265" t="s">
        <v>44</v>
      </c>
      <c r="G265" t="s">
        <v>94</v>
      </c>
      <c r="H265">
        <v>6</v>
      </c>
      <c r="I265">
        <v>86.95</v>
      </c>
      <c r="J265">
        <v>0</v>
      </c>
      <c r="K265">
        <v>521.70000000000005</v>
      </c>
    </row>
    <row r="266" spans="1:11" x14ac:dyDescent="0.35">
      <c r="A266" t="s">
        <v>507</v>
      </c>
      <c r="B266" s="1">
        <v>45477</v>
      </c>
      <c r="C266" t="s">
        <v>41</v>
      </c>
      <c r="D266" t="s">
        <v>57</v>
      </c>
      <c r="E266" t="s">
        <v>508</v>
      </c>
      <c r="F266" t="s">
        <v>44</v>
      </c>
      <c r="G266" t="s">
        <v>94</v>
      </c>
      <c r="H266">
        <v>4</v>
      </c>
      <c r="I266">
        <v>63.67</v>
      </c>
      <c r="J266">
        <v>0.1</v>
      </c>
      <c r="K266">
        <v>229.21</v>
      </c>
    </row>
    <row r="267" spans="1:11" x14ac:dyDescent="0.35">
      <c r="A267" t="s">
        <v>509</v>
      </c>
      <c r="B267" s="2">
        <v>45586</v>
      </c>
      <c r="C267" t="s">
        <v>48</v>
      </c>
      <c r="D267" t="s">
        <v>25</v>
      </c>
      <c r="E267" t="s">
        <v>510</v>
      </c>
      <c r="F267" t="s">
        <v>53</v>
      </c>
      <c r="G267" t="s">
        <v>260</v>
      </c>
      <c r="H267">
        <v>2</v>
      </c>
      <c r="I267">
        <v>137.05000000000001</v>
      </c>
      <c r="J267">
        <v>0.1</v>
      </c>
      <c r="K267">
        <v>246.69</v>
      </c>
    </row>
    <row r="268" spans="1:11" x14ac:dyDescent="0.35">
      <c r="A268" t="s">
        <v>511</v>
      </c>
      <c r="B268" s="2">
        <v>45315</v>
      </c>
      <c r="C268" t="s">
        <v>72</v>
      </c>
      <c r="D268" t="s">
        <v>57</v>
      </c>
      <c r="E268" t="s">
        <v>197</v>
      </c>
      <c r="F268" t="s">
        <v>35</v>
      </c>
      <c r="G268" t="s">
        <v>67</v>
      </c>
      <c r="H268">
        <v>12</v>
      </c>
      <c r="I268">
        <v>55.48</v>
      </c>
      <c r="J268">
        <v>0</v>
      </c>
      <c r="K268">
        <v>665.76</v>
      </c>
    </row>
    <row r="269" spans="1:11" x14ac:dyDescent="0.35">
      <c r="A269" t="s">
        <v>512</v>
      </c>
      <c r="B269" s="2">
        <v>45372</v>
      </c>
      <c r="C269" t="s">
        <v>38</v>
      </c>
      <c r="D269" t="s">
        <v>57</v>
      </c>
      <c r="E269" t="s">
        <v>49</v>
      </c>
      <c r="F269" t="s">
        <v>35</v>
      </c>
      <c r="G269" t="s">
        <v>134</v>
      </c>
      <c r="H269">
        <v>8</v>
      </c>
      <c r="I269">
        <v>106.83</v>
      </c>
      <c r="J269">
        <v>0</v>
      </c>
      <c r="K269">
        <v>854.64</v>
      </c>
    </row>
    <row r="270" spans="1:11" x14ac:dyDescent="0.35">
      <c r="A270" t="s">
        <v>513</v>
      </c>
      <c r="B270" s="1">
        <v>45605</v>
      </c>
      <c r="C270" t="s">
        <v>102</v>
      </c>
      <c r="D270" t="s">
        <v>19</v>
      </c>
      <c r="E270" t="s">
        <v>266</v>
      </c>
      <c r="F270" t="s">
        <v>35</v>
      </c>
      <c r="G270" t="s">
        <v>134</v>
      </c>
      <c r="H270">
        <v>2</v>
      </c>
      <c r="I270">
        <v>100.59</v>
      </c>
      <c r="J270">
        <v>0</v>
      </c>
      <c r="K270">
        <v>201.18</v>
      </c>
    </row>
    <row r="271" spans="1:11" x14ac:dyDescent="0.35">
      <c r="A271" t="s">
        <v>514</v>
      </c>
      <c r="B271" s="2">
        <v>45592</v>
      </c>
      <c r="C271" t="s">
        <v>24</v>
      </c>
      <c r="D271" t="s">
        <v>19</v>
      </c>
      <c r="E271" t="s">
        <v>489</v>
      </c>
      <c r="F271" t="s">
        <v>35</v>
      </c>
      <c r="G271" t="s">
        <v>67</v>
      </c>
      <c r="H271">
        <v>11</v>
      </c>
      <c r="I271">
        <v>76.900000000000006</v>
      </c>
      <c r="J271">
        <v>0.1</v>
      </c>
      <c r="K271">
        <v>761.31</v>
      </c>
    </row>
    <row r="272" spans="1:11" x14ac:dyDescent="0.35">
      <c r="A272" t="s">
        <v>515</v>
      </c>
      <c r="B272" s="2">
        <v>45310</v>
      </c>
      <c r="C272" t="s">
        <v>41</v>
      </c>
      <c r="D272" t="s">
        <v>13</v>
      </c>
      <c r="E272" t="s">
        <v>454</v>
      </c>
      <c r="F272" t="s">
        <v>44</v>
      </c>
      <c r="G272" t="s">
        <v>86</v>
      </c>
      <c r="H272">
        <v>3</v>
      </c>
      <c r="I272">
        <v>198.05</v>
      </c>
      <c r="J272">
        <v>0.15</v>
      </c>
      <c r="K272">
        <v>505.03</v>
      </c>
    </row>
    <row r="273" spans="1:11" x14ac:dyDescent="0.35">
      <c r="A273" t="s">
        <v>516</v>
      </c>
      <c r="B273" s="1">
        <v>45357</v>
      </c>
      <c r="C273" t="s">
        <v>29</v>
      </c>
      <c r="D273" t="s">
        <v>57</v>
      </c>
      <c r="E273" t="s">
        <v>517</v>
      </c>
      <c r="F273" t="s">
        <v>35</v>
      </c>
      <c r="G273" t="s">
        <v>36</v>
      </c>
      <c r="H273">
        <v>4</v>
      </c>
      <c r="I273">
        <v>69.37</v>
      </c>
      <c r="J273">
        <v>0</v>
      </c>
      <c r="K273">
        <v>277.48</v>
      </c>
    </row>
    <row r="274" spans="1:11" x14ac:dyDescent="0.35">
      <c r="A274" t="s">
        <v>518</v>
      </c>
      <c r="B274" s="1">
        <v>45420</v>
      </c>
      <c r="C274" t="s">
        <v>102</v>
      </c>
      <c r="D274" t="s">
        <v>57</v>
      </c>
      <c r="E274" t="s">
        <v>357</v>
      </c>
      <c r="F274" t="s">
        <v>35</v>
      </c>
      <c r="G274" t="s">
        <v>67</v>
      </c>
      <c r="H274">
        <v>12</v>
      </c>
      <c r="I274">
        <v>48.09</v>
      </c>
      <c r="J274">
        <v>0.1</v>
      </c>
      <c r="K274">
        <v>519.37</v>
      </c>
    </row>
    <row r="275" spans="1:11" x14ac:dyDescent="0.35">
      <c r="A275" t="s">
        <v>519</v>
      </c>
      <c r="B275" s="2">
        <v>45447</v>
      </c>
      <c r="C275" t="s">
        <v>18</v>
      </c>
      <c r="D275" t="s">
        <v>13</v>
      </c>
      <c r="E275" t="s">
        <v>388</v>
      </c>
      <c r="F275" t="s">
        <v>44</v>
      </c>
      <c r="G275" t="s">
        <v>45</v>
      </c>
      <c r="H275">
        <v>9</v>
      </c>
      <c r="I275">
        <v>247.15</v>
      </c>
      <c r="J275">
        <v>0</v>
      </c>
      <c r="K275">
        <v>2224.35</v>
      </c>
    </row>
    <row r="276" spans="1:11" x14ac:dyDescent="0.35">
      <c r="A276" t="s">
        <v>520</v>
      </c>
      <c r="B276" s="2">
        <v>45487</v>
      </c>
      <c r="C276" t="s">
        <v>72</v>
      </c>
      <c r="D276" t="s">
        <v>42</v>
      </c>
      <c r="E276" t="s">
        <v>521</v>
      </c>
      <c r="F276" t="s">
        <v>21</v>
      </c>
      <c r="G276" t="s">
        <v>194</v>
      </c>
      <c r="H276">
        <v>9</v>
      </c>
      <c r="I276">
        <v>134.63</v>
      </c>
      <c r="J276">
        <v>0</v>
      </c>
      <c r="K276">
        <v>1211.67</v>
      </c>
    </row>
    <row r="277" spans="1:11" x14ac:dyDescent="0.35">
      <c r="A277" t="s">
        <v>522</v>
      </c>
      <c r="B277" s="1">
        <v>45516</v>
      </c>
      <c r="C277" t="s">
        <v>65</v>
      </c>
      <c r="D277" t="s">
        <v>57</v>
      </c>
      <c r="E277" t="s">
        <v>351</v>
      </c>
      <c r="F277" t="s">
        <v>35</v>
      </c>
      <c r="G277" t="s">
        <v>83</v>
      </c>
      <c r="H277">
        <v>6</v>
      </c>
      <c r="I277">
        <v>204.51</v>
      </c>
      <c r="J277">
        <v>0</v>
      </c>
      <c r="K277">
        <v>1227.06</v>
      </c>
    </row>
    <row r="278" spans="1:11" x14ac:dyDescent="0.35">
      <c r="A278" t="s">
        <v>523</v>
      </c>
      <c r="B278" s="1">
        <v>45415</v>
      </c>
      <c r="C278" t="s">
        <v>102</v>
      </c>
      <c r="D278" t="s">
        <v>19</v>
      </c>
      <c r="E278" t="s">
        <v>180</v>
      </c>
      <c r="F278" t="s">
        <v>15</v>
      </c>
      <c r="G278" t="s">
        <v>27</v>
      </c>
      <c r="H278">
        <v>12</v>
      </c>
      <c r="I278">
        <v>194.02</v>
      </c>
      <c r="J278">
        <v>0</v>
      </c>
      <c r="K278">
        <v>2328.2399999999998</v>
      </c>
    </row>
    <row r="279" spans="1:11" x14ac:dyDescent="0.35">
      <c r="A279" t="s">
        <v>524</v>
      </c>
      <c r="B279" s="1">
        <v>45478</v>
      </c>
      <c r="C279" t="s">
        <v>41</v>
      </c>
      <c r="D279" t="s">
        <v>57</v>
      </c>
      <c r="E279" t="s">
        <v>110</v>
      </c>
      <c r="F279" t="s">
        <v>35</v>
      </c>
      <c r="G279" t="s">
        <v>83</v>
      </c>
      <c r="H279">
        <v>10</v>
      </c>
      <c r="I279">
        <v>95.89</v>
      </c>
      <c r="J279">
        <v>0.05</v>
      </c>
      <c r="K279">
        <v>910.95</v>
      </c>
    </row>
    <row r="280" spans="1:11" x14ac:dyDescent="0.35">
      <c r="A280" t="s">
        <v>525</v>
      </c>
      <c r="B280" s="2">
        <v>45629</v>
      </c>
      <c r="C280" t="s">
        <v>65</v>
      </c>
      <c r="D280" t="s">
        <v>13</v>
      </c>
      <c r="E280" t="s">
        <v>526</v>
      </c>
      <c r="F280" t="s">
        <v>35</v>
      </c>
      <c r="G280" t="s">
        <v>36</v>
      </c>
      <c r="H280">
        <v>3</v>
      </c>
      <c r="I280">
        <v>236.98</v>
      </c>
      <c r="J280">
        <v>0</v>
      </c>
      <c r="K280">
        <v>710.94</v>
      </c>
    </row>
    <row r="281" spans="1:11" x14ac:dyDescent="0.35">
      <c r="A281" t="s">
        <v>527</v>
      </c>
      <c r="B281" s="1">
        <v>45575</v>
      </c>
      <c r="C281" t="s">
        <v>90</v>
      </c>
      <c r="D281" t="s">
        <v>42</v>
      </c>
      <c r="E281" t="s">
        <v>204</v>
      </c>
      <c r="F281" t="s">
        <v>53</v>
      </c>
      <c r="G281" t="s">
        <v>63</v>
      </c>
      <c r="H281">
        <v>2</v>
      </c>
      <c r="I281">
        <v>248.85</v>
      </c>
      <c r="J281">
        <v>0</v>
      </c>
      <c r="K281">
        <v>497.7</v>
      </c>
    </row>
    <row r="282" spans="1:11" x14ac:dyDescent="0.35">
      <c r="A282" t="s">
        <v>528</v>
      </c>
      <c r="B282" s="1">
        <v>45461</v>
      </c>
      <c r="C282" t="s">
        <v>102</v>
      </c>
      <c r="D282" t="s">
        <v>13</v>
      </c>
      <c r="E282" t="s">
        <v>492</v>
      </c>
      <c r="F282" t="s">
        <v>21</v>
      </c>
      <c r="G282" t="s">
        <v>167</v>
      </c>
      <c r="H282">
        <v>4</v>
      </c>
      <c r="I282">
        <v>17.34</v>
      </c>
      <c r="J282">
        <v>0.1</v>
      </c>
      <c r="K282">
        <v>62.42</v>
      </c>
    </row>
    <row r="283" spans="1:11" x14ac:dyDescent="0.35">
      <c r="A283" t="s">
        <v>529</v>
      </c>
      <c r="B283" s="1">
        <v>45299</v>
      </c>
      <c r="C283" t="s">
        <v>24</v>
      </c>
      <c r="D283" t="s">
        <v>57</v>
      </c>
      <c r="E283" t="s">
        <v>62</v>
      </c>
      <c r="F283" t="s">
        <v>21</v>
      </c>
      <c r="G283" t="s">
        <v>167</v>
      </c>
      <c r="H283">
        <v>11</v>
      </c>
      <c r="I283">
        <v>206.03</v>
      </c>
      <c r="J283">
        <v>0.15</v>
      </c>
      <c r="K283">
        <v>1926.38</v>
      </c>
    </row>
    <row r="284" spans="1:11" x14ac:dyDescent="0.35">
      <c r="A284" t="s">
        <v>530</v>
      </c>
      <c r="B284" s="2">
        <v>45399</v>
      </c>
      <c r="C284" t="s">
        <v>33</v>
      </c>
      <c r="D284" t="s">
        <v>25</v>
      </c>
      <c r="E284" t="s">
        <v>531</v>
      </c>
      <c r="F284" t="s">
        <v>44</v>
      </c>
      <c r="G284" t="s">
        <v>50</v>
      </c>
      <c r="H284">
        <v>11</v>
      </c>
      <c r="I284">
        <v>90</v>
      </c>
      <c r="J284">
        <v>0</v>
      </c>
      <c r="K284">
        <v>990</v>
      </c>
    </row>
    <row r="285" spans="1:11" x14ac:dyDescent="0.35">
      <c r="A285" t="s">
        <v>532</v>
      </c>
      <c r="B285" t="s">
        <v>533</v>
      </c>
      <c r="C285" t="s">
        <v>24</v>
      </c>
      <c r="D285" t="s">
        <v>57</v>
      </c>
      <c r="E285" t="s">
        <v>250</v>
      </c>
      <c r="F285" t="s">
        <v>15</v>
      </c>
      <c r="G285" t="s">
        <v>74</v>
      </c>
      <c r="H285">
        <v>8</v>
      </c>
      <c r="I285">
        <v>32.22</v>
      </c>
      <c r="J285">
        <v>0.05</v>
      </c>
      <c r="K285">
        <v>244.87</v>
      </c>
    </row>
    <row r="286" spans="1:11" x14ac:dyDescent="0.35">
      <c r="A286" t="s">
        <v>534</v>
      </c>
      <c r="B286" s="1">
        <v>45370</v>
      </c>
      <c r="C286" t="s">
        <v>12</v>
      </c>
      <c r="D286" t="s">
        <v>19</v>
      </c>
      <c r="E286" t="s">
        <v>535</v>
      </c>
      <c r="F286" t="s">
        <v>53</v>
      </c>
      <c r="G286" t="s">
        <v>125</v>
      </c>
      <c r="H286">
        <v>2</v>
      </c>
      <c r="I286">
        <v>157.38</v>
      </c>
      <c r="J286">
        <v>0</v>
      </c>
      <c r="K286">
        <v>314.76</v>
      </c>
    </row>
    <row r="287" spans="1:11" x14ac:dyDescent="0.35">
      <c r="A287" t="s">
        <v>536</v>
      </c>
      <c r="B287" s="2">
        <v>45325</v>
      </c>
      <c r="C287" t="s">
        <v>56</v>
      </c>
      <c r="D287" t="s">
        <v>25</v>
      </c>
      <c r="E287" t="s">
        <v>43</v>
      </c>
      <c r="F287" t="s">
        <v>21</v>
      </c>
      <c r="G287" t="s">
        <v>194</v>
      </c>
      <c r="H287">
        <v>11</v>
      </c>
      <c r="I287">
        <v>90.22</v>
      </c>
      <c r="J287">
        <v>0</v>
      </c>
      <c r="K287">
        <v>992.42</v>
      </c>
    </row>
    <row r="288" spans="1:11" x14ac:dyDescent="0.35">
      <c r="A288" t="s">
        <v>537</v>
      </c>
      <c r="B288" t="s">
        <v>538</v>
      </c>
      <c r="C288" t="s">
        <v>24</v>
      </c>
      <c r="D288" t="s">
        <v>42</v>
      </c>
      <c r="E288" t="s">
        <v>266</v>
      </c>
      <c r="F288" t="s">
        <v>53</v>
      </c>
      <c r="G288" t="s">
        <v>104</v>
      </c>
      <c r="H288">
        <v>7</v>
      </c>
      <c r="I288">
        <v>81.98</v>
      </c>
      <c r="J288">
        <v>0</v>
      </c>
      <c r="K288">
        <v>573.86</v>
      </c>
    </row>
    <row r="289" spans="1:11" x14ac:dyDescent="0.35">
      <c r="A289" t="s">
        <v>539</v>
      </c>
      <c r="B289" s="2">
        <v>45387</v>
      </c>
      <c r="C289" t="s">
        <v>79</v>
      </c>
      <c r="D289" t="s">
        <v>25</v>
      </c>
      <c r="E289" t="s">
        <v>470</v>
      </c>
      <c r="F289" t="s">
        <v>15</v>
      </c>
      <c r="G289" t="s">
        <v>16</v>
      </c>
      <c r="H289">
        <v>2</v>
      </c>
      <c r="I289">
        <v>8.6</v>
      </c>
      <c r="J289">
        <v>0.1</v>
      </c>
      <c r="K289">
        <v>15.48</v>
      </c>
    </row>
    <row r="290" spans="1:11" x14ac:dyDescent="0.35">
      <c r="A290" t="s">
        <v>540</v>
      </c>
      <c r="B290" t="s">
        <v>541</v>
      </c>
      <c r="C290" t="s">
        <v>18</v>
      </c>
      <c r="D290" t="s">
        <v>13</v>
      </c>
      <c r="E290" t="s">
        <v>542</v>
      </c>
      <c r="F290" t="s">
        <v>15</v>
      </c>
      <c r="G290" t="s">
        <v>74</v>
      </c>
      <c r="H290">
        <v>9</v>
      </c>
      <c r="I290">
        <v>146.63999999999999</v>
      </c>
      <c r="J290">
        <v>0</v>
      </c>
      <c r="K290">
        <v>1319.76</v>
      </c>
    </row>
    <row r="291" spans="1:11" x14ac:dyDescent="0.35">
      <c r="A291" t="s">
        <v>543</v>
      </c>
      <c r="B291" s="1">
        <v>45385</v>
      </c>
      <c r="C291" t="s">
        <v>65</v>
      </c>
      <c r="E291" t="s">
        <v>43</v>
      </c>
      <c r="F291" t="s">
        <v>53</v>
      </c>
      <c r="G291" t="s">
        <v>125</v>
      </c>
      <c r="H291">
        <v>5</v>
      </c>
      <c r="I291">
        <v>95.66</v>
      </c>
      <c r="J291">
        <v>0</v>
      </c>
      <c r="K291">
        <v>478.3</v>
      </c>
    </row>
    <row r="292" spans="1:11" x14ac:dyDescent="0.35">
      <c r="A292" t="s">
        <v>544</v>
      </c>
      <c r="B292" t="s">
        <v>545</v>
      </c>
      <c r="C292" t="s">
        <v>24</v>
      </c>
      <c r="D292" t="s">
        <v>57</v>
      </c>
      <c r="E292" t="s">
        <v>266</v>
      </c>
      <c r="F292" t="s">
        <v>21</v>
      </c>
      <c r="G292" t="s">
        <v>22</v>
      </c>
      <c r="H292">
        <v>10</v>
      </c>
      <c r="I292">
        <v>107.25</v>
      </c>
      <c r="J292">
        <v>0</v>
      </c>
      <c r="K292">
        <v>1072.5</v>
      </c>
    </row>
    <row r="293" spans="1:11" x14ac:dyDescent="0.35">
      <c r="A293" t="s">
        <v>546</v>
      </c>
      <c r="B293" t="s">
        <v>364</v>
      </c>
      <c r="C293" t="s">
        <v>48</v>
      </c>
      <c r="D293" t="s">
        <v>42</v>
      </c>
      <c r="E293" t="s">
        <v>547</v>
      </c>
      <c r="F293" t="s">
        <v>35</v>
      </c>
      <c r="G293" t="s">
        <v>67</v>
      </c>
      <c r="H293">
        <v>11</v>
      </c>
      <c r="I293">
        <v>120.84</v>
      </c>
      <c r="J293">
        <v>0</v>
      </c>
      <c r="K293">
        <v>1329.24</v>
      </c>
    </row>
    <row r="294" spans="1:11" x14ac:dyDescent="0.35">
      <c r="A294" t="s">
        <v>548</v>
      </c>
      <c r="B294" s="1">
        <v>45365</v>
      </c>
      <c r="C294" t="s">
        <v>12</v>
      </c>
      <c r="D294" t="s">
        <v>13</v>
      </c>
      <c r="E294" t="s">
        <v>103</v>
      </c>
      <c r="F294" t="s">
        <v>15</v>
      </c>
      <c r="G294" t="s">
        <v>147</v>
      </c>
      <c r="H294">
        <v>12</v>
      </c>
      <c r="I294">
        <v>204.43</v>
      </c>
      <c r="J294">
        <v>0.15</v>
      </c>
      <c r="K294">
        <v>2085.19</v>
      </c>
    </row>
    <row r="295" spans="1:11" x14ac:dyDescent="0.35">
      <c r="A295" t="s">
        <v>549</v>
      </c>
      <c r="B295" s="1">
        <v>45347</v>
      </c>
      <c r="C295" t="s">
        <v>12</v>
      </c>
      <c r="D295" t="s">
        <v>19</v>
      </c>
      <c r="E295" t="s">
        <v>93</v>
      </c>
      <c r="F295" t="s">
        <v>53</v>
      </c>
      <c r="G295" t="s">
        <v>260</v>
      </c>
      <c r="H295">
        <v>11</v>
      </c>
      <c r="I295">
        <v>76.66</v>
      </c>
      <c r="J295">
        <v>0.05</v>
      </c>
      <c r="K295">
        <v>801.1</v>
      </c>
    </row>
    <row r="296" spans="1:11" x14ac:dyDescent="0.35">
      <c r="A296" t="s">
        <v>550</v>
      </c>
      <c r="B296" s="1">
        <v>45442</v>
      </c>
      <c r="C296" t="s">
        <v>24</v>
      </c>
      <c r="D296" t="s">
        <v>13</v>
      </c>
      <c r="E296" t="s">
        <v>124</v>
      </c>
      <c r="F296" t="s">
        <v>21</v>
      </c>
      <c r="G296" t="s">
        <v>194</v>
      </c>
      <c r="H296">
        <v>4</v>
      </c>
      <c r="I296">
        <v>224.14</v>
      </c>
      <c r="J296">
        <v>0.1</v>
      </c>
      <c r="K296">
        <v>806.9</v>
      </c>
    </row>
    <row r="297" spans="1:11" x14ac:dyDescent="0.35">
      <c r="A297" t="s">
        <v>551</v>
      </c>
      <c r="B297" s="2">
        <v>45628</v>
      </c>
      <c r="C297" t="s">
        <v>56</v>
      </c>
      <c r="D297" t="s">
        <v>25</v>
      </c>
      <c r="E297" t="s">
        <v>26</v>
      </c>
      <c r="F297" t="s">
        <v>15</v>
      </c>
      <c r="G297" t="s">
        <v>27</v>
      </c>
      <c r="H297">
        <v>12</v>
      </c>
      <c r="I297">
        <v>22.05</v>
      </c>
      <c r="J297">
        <v>0.15</v>
      </c>
      <c r="K297">
        <v>224.91</v>
      </c>
    </row>
    <row r="298" spans="1:11" x14ac:dyDescent="0.35">
      <c r="A298" t="s">
        <v>552</v>
      </c>
      <c r="B298" t="s">
        <v>553</v>
      </c>
      <c r="C298" t="s">
        <v>29</v>
      </c>
      <c r="D298" t="s">
        <v>42</v>
      </c>
      <c r="E298" t="s">
        <v>131</v>
      </c>
      <c r="F298" t="s">
        <v>21</v>
      </c>
      <c r="G298" t="s">
        <v>129</v>
      </c>
      <c r="H298">
        <v>10</v>
      </c>
      <c r="I298">
        <v>107.45</v>
      </c>
      <c r="J298">
        <v>0</v>
      </c>
      <c r="K298">
        <v>1074.5</v>
      </c>
    </row>
    <row r="299" spans="1:11" x14ac:dyDescent="0.35">
      <c r="A299" t="s">
        <v>554</v>
      </c>
      <c r="B299" t="s">
        <v>209</v>
      </c>
      <c r="C299" t="s">
        <v>65</v>
      </c>
      <c r="D299" t="s">
        <v>13</v>
      </c>
      <c r="F299" t="s">
        <v>53</v>
      </c>
      <c r="G299" t="s">
        <v>125</v>
      </c>
      <c r="H299">
        <v>11</v>
      </c>
      <c r="I299">
        <v>122.28</v>
      </c>
      <c r="J299">
        <v>0</v>
      </c>
      <c r="K299">
        <v>1345.08</v>
      </c>
    </row>
    <row r="300" spans="1:11" x14ac:dyDescent="0.35">
      <c r="A300" t="s">
        <v>555</v>
      </c>
      <c r="B300" s="1">
        <v>45577</v>
      </c>
      <c r="C300" t="s">
        <v>24</v>
      </c>
      <c r="D300" t="s">
        <v>42</v>
      </c>
      <c r="E300" t="s">
        <v>133</v>
      </c>
      <c r="F300" t="s">
        <v>35</v>
      </c>
      <c r="G300" t="s">
        <v>36</v>
      </c>
      <c r="H300">
        <v>7</v>
      </c>
      <c r="I300">
        <v>27.12</v>
      </c>
      <c r="J300">
        <v>0</v>
      </c>
      <c r="K300">
        <v>189.84</v>
      </c>
    </row>
    <row r="301" spans="1:11" x14ac:dyDescent="0.35">
      <c r="A301" t="s">
        <v>556</v>
      </c>
      <c r="B301" t="s">
        <v>557</v>
      </c>
      <c r="C301" t="s">
        <v>24</v>
      </c>
      <c r="D301" t="s">
        <v>13</v>
      </c>
      <c r="E301" t="s">
        <v>139</v>
      </c>
      <c r="F301" t="s">
        <v>35</v>
      </c>
      <c r="G301" t="s">
        <v>36</v>
      </c>
      <c r="H301">
        <v>4</v>
      </c>
      <c r="I301">
        <v>134.55000000000001</v>
      </c>
      <c r="J301">
        <v>0.15</v>
      </c>
      <c r="K301">
        <v>457.47</v>
      </c>
    </row>
    <row r="302" spans="1:11" x14ac:dyDescent="0.35">
      <c r="A302" t="s">
        <v>558</v>
      </c>
      <c r="B302" s="1">
        <v>45297</v>
      </c>
      <c r="C302" t="s">
        <v>102</v>
      </c>
      <c r="D302" t="s">
        <v>57</v>
      </c>
      <c r="E302" t="s">
        <v>429</v>
      </c>
      <c r="F302" t="s">
        <v>15</v>
      </c>
      <c r="G302" t="s">
        <v>16</v>
      </c>
      <c r="H302">
        <v>3</v>
      </c>
      <c r="I302">
        <v>33.1</v>
      </c>
      <c r="J302">
        <v>0</v>
      </c>
      <c r="K302">
        <v>99.3</v>
      </c>
    </row>
    <row r="303" spans="1:11" x14ac:dyDescent="0.35">
      <c r="A303" t="s">
        <v>559</v>
      </c>
      <c r="B303" s="2">
        <v>45571</v>
      </c>
      <c r="C303" t="s">
        <v>24</v>
      </c>
      <c r="D303" t="s">
        <v>19</v>
      </c>
      <c r="E303" t="s">
        <v>150</v>
      </c>
      <c r="F303" t="s">
        <v>35</v>
      </c>
      <c r="G303" t="s">
        <v>83</v>
      </c>
      <c r="H303">
        <v>7</v>
      </c>
      <c r="I303">
        <v>14.53</v>
      </c>
      <c r="J303">
        <v>0.05</v>
      </c>
      <c r="K303">
        <v>96.62</v>
      </c>
    </row>
    <row r="304" spans="1:11" x14ac:dyDescent="0.35">
      <c r="A304" t="s">
        <v>560</v>
      </c>
      <c r="B304" s="2">
        <v>45490</v>
      </c>
      <c r="C304" t="s">
        <v>56</v>
      </c>
      <c r="D304" t="s">
        <v>13</v>
      </c>
      <c r="E304" t="s">
        <v>117</v>
      </c>
      <c r="F304" t="s">
        <v>53</v>
      </c>
      <c r="G304" t="s">
        <v>260</v>
      </c>
      <c r="H304">
        <v>12</v>
      </c>
      <c r="I304">
        <v>95.9</v>
      </c>
      <c r="J304">
        <v>0.15</v>
      </c>
      <c r="K304">
        <v>978.18</v>
      </c>
    </row>
    <row r="305" spans="1:11" x14ac:dyDescent="0.35">
      <c r="A305" t="s">
        <v>561</v>
      </c>
      <c r="B305" s="1">
        <v>45600</v>
      </c>
      <c r="C305" t="s">
        <v>56</v>
      </c>
      <c r="D305" t="s">
        <v>13</v>
      </c>
      <c r="E305" t="s">
        <v>562</v>
      </c>
      <c r="F305" t="s">
        <v>35</v>
      </c>
      <c r="G305" t="s">
        <v>67</v>
      </c>
      <c r="H305">
        <v>2</v>
      </c>
      <c r="I305">
        <v>21.51</v>
      </c>
      <c r="J305">
        <v>0</v>
      </c>
      <c r="K305">
        <v>43.02</v>
      </c>
    </row>
    <row r="306" spans="1:11" x14ac:dyDescent="0.35">
      <c r="A306" t="s">
        <v>563</v>
      </c>
      <c r="B306" s="1">
        <v>45445</v>
      </c>
      <c r="C306" t="s">
        <v>102</v>
      </c>
      <c r="D306" t="s">
        <v>19</v>
      </c>
      <c r="E306" t="s">
        <v>62</v>
      </c>
      <c r="F306" t="s">
        <v>53</v>
      </c>
      <c r="G306" t="s">
        <v>260</v>
      </c>
      <c r="H306">
        <v>12</v>
      </c>
      <c r="I306">
        <v>178.69</v>
      </c>
      <c r="J306">
        <v>0</v>
      </c>
      <c r="K306">
        <v>2144.2800000000002</v>
      </c>
    </row>
    <row r="307" spans="1:11" x14ac:dyDescent="0.35">
      <c r="A307" t="s">
        <v>564</v>
      </c>
      <c r="B307" s="1">
        <v>45413</v>
      </c>
      <c r="C307" t="s">
        <v>102</v>
      </c>
      <c r="D307" t="s">
        <v>19</v>
      </c>
      <c r="E307" t="s">
        <v>82</v>
      </c>
      <c r="F307" t="s">
        <v>35</v>
      </c>
      <c r="G307" t="s">
        <v>177</v>
      </c>
      <c r="H307">
        <v>6</v>
      </c>
      <c r="I307">
        <v>44.37</v>
      </c>
      <c r="J307">
        <v>0</v>
      </c>
      <c r="K307">
        <v>266.22000000000003</v>
      </c>
    </row>
    <row r="308" spans="1:11" x14ac:dyDescent="0.35">
      <c r="A308" t="s">
        <v>565</v>
      </c>
      <c r="B308" s="2">
        <v>45622</v>
      </c>
      <c r="C308" t="s">
        <v>48</v>
      </c>
      <c r="D308" t="s">
        <v>13</v>
      </c>
      <c r="E308" t="s">
        <v>407</v>
      </c>
      <c r="F308" t="s">
        <v>44</v>
      </c>
      <c r="G308" t="s">
        <v>50</v>
      </c>
      <c r="H308">
        <v>4</v>
      </c>
      <c r="I308">
        <v>207.96</v>
      </c>
      <c r="J308">
        <v>0</v>
      </c>
      <c r="K308">
        <v>831.84</v>
      </c>
    </row>
    <row r="309" spans="1:11" x14ac:dyDescent="0.35">
      <c r="A309" t="s">
        <v>566</v>
      </c>
      <c r="B309" t="s">
        <v>99</v>
      </c>
      <c r="C309" t="s">
        <v>18</v>
      </c>
      <c r="D309" t="s">
        <v>19</v>
      </c>
      <c r="E309" t="s">
        <v>567</v>
      </c>
      <c r="F309" t="s">
        <v>44</v>
      </c>
      <c r="G309" t="s">
        <v>50</v>
      </c>
      <c r="H309">
        <v>10</v>
      </c>
      <c r="I309">
        <v>104.11</v>
      </c>
      <c r="J309">
        <v>0.05</v>
      </c>
      <c r="K309">
        <v>989.04</v>
      </c>
    </row>
    <row r="310" spans="1:11" x14ac:dyDescent="0.35">
      <c r="A310" t="s">
        <v>568</v>
      </c>
      <c r="B310" s="2">
        <v>45474</v>
      </c>
      <c r="C310" t="s">
        <v>24</v>
      </c>
      <c r="D310" t="s">
        <v>19</v>
      </c>
      <c r="E310" t="s">
        <v>199</v>
      </c>
      <c r="F310" t="s">
        <v>15</v>
      </c>
      <c r="G310" t="s">
        <v>16</v>
      </c>
      <c r="H310">
        <v>11</v>
      </c>
      <c r="I310">
        <v>91.06</v>
      </c>
      <c r="J310">
        <v>0</v>
      </c>
      <c r="K310">
        <v>1001.66</v>
      </c>
    </row>
    <row r="311" spans="1:11" x14ac:dyDescent="0.35">
      <c r="A311" t="s">
        <v>569</v>
      </c>
      <c r="B311" s="1">
        <v>45452</v>
      </c>
      <c r="C311" t="s">
        <v>29</v>
      </c>
      <c r="D311" t="s">
        <v>57</v>
      </c>
      <c r="E311" t="s">
        <v>160</v>
      </c>
      <c r="F311" t="s">
        <v>44</v>
      </c>
      <c r="G311" t="s">
        <v>50</v>
      </c>
      <c r="H311">
        <v>8</v>
      </c>
      <c r="I311">
        <v>244.74</v>
      </c>
      <c r="J311">
        <v>0</v>
      </c>
      <c r="K311">
        <v>1957.92</v>
      </c>
    </row>
    <row r="312" spans="1:11" x14ac:dyDescent="0.35">
      <c r="A312" t="s">
        <v>570</v>
      </c>
      <c r="B312" s="1">
        <v>45603</v>
      </c>
      <c r="C312" t="s">
        <v>48</v>
      </c>
      <c r="D312" t="s">
        <v>25</v>
      </c>
      <c r="E312" t="s">
        <v>272</v>
      </c>
      <c r="F312" t="s">
        <v>53</v>
      </c>
      <c r="G312" t="s">
        <v>125</v>
      </c>
      <c r="H312">
        <v>12</v>
      </c>
      <c r="I312">
        <v>195.85</v>
      </c>
      <c r="J312">
        <v>0</v>
      </c>
      <c r="K312">
        <v>2350.1999999999998</v>
      </c>
    </row>
    <row r="313" spans="1:11" x14ac:dyDescent="0.35">
      <c r="A313" t="s">
        <v>571</v>
      </c>
      <c r="B313" s="1">
        <v>45332</v>
      </c>
      <c r="C313" t="s">
        <v>12</v>
      </c>
      <c r="D313" t="s">
        <v>19</v>
      </c>
      <c r="E313" t="s">
        <v>233</v>
      </c>
      <c r="F313" t="s">
        <v>15</v>
      </c>
      <c r="G313" t="s">
        <v>16</v>
      </c>
      <c r="H313">
        <v>3</v>
      </c>
      <c r="I313">
        <v>240.43</v>
      </c>
      <c r="J313">
        <v>0</v>
      </c>
      <c r="K313">
        <v>721.29</v>
      </c>
    </row>
    <row r="314" spans="1:11" x14ac:dyDescent="0.35">
      <c r="A314" t="s">
        <v>572</v>
      </c>
      <c r="B314" s="1">
        <v>45637</v>
      </c>
      <c r="C314" t="s">
        <v>41</v>
      </c>
      <c r="D314" t="s">
        <v>57</v>
      </c>
      <c r="E314" t="s">
        <v>39</v>
      </c>
      <c r="F314" t="s">
        <v>53</v>
      </c>
      <c r="G314" t="s">
        <v>125</v>
      </c>
      <c r="H314">
        <v>11</v>
      </c>
      <c r="I314">
        <v>71.67</v>
      </c>
      <c r="J314">
        <v>0.05</v>
      </c>
      <c r="K314">
        <v>748.95</v>
      </c>
    </row>
    <row r="315" spans="1:11" x14ac:dyDescent="0.35">
      <c r="A315" t="s">
        <v>573</v>
      </c>
      <c r="B315" s="1">
        <v>45397</v>
      </c>
      <c r="C315" t="s">
        <v>38</v>
      </c>
      <c r="D315" t="s">
        <v>13</v>
      </c>
      <c r="E315" t="s">
        <v>133</v>
      </c>
      <c r="F315" t="s">
        <v>15</v>
      </c>
      <c r="G315" t="s">
        <v>111</v>
      </c>
      <c r="H315">
        <v>1</v>
      </c>
      <c r="I315">
        <v>49.49</v>
      </c>
      <c r="J315">
        <v>0.1</v>
      </c>
      <c r="K315">
        <v>44.54</v>
      </c>
    </row>
    <row r="316" spans="1:11" x14ac:dyDescent="0.35">
      <c r="A316" t="s">
        <v>574</v>
      </c>
      <c r="B316" s="2">
        <v>45552</v>
      </c>
      <c r="C316" t="s">
        <v>102</v>
      </c>
      <c r="D316" t="s">
        <v>25</v>
      </c>
      <c r="F316" t="s">
        <v>44</v>
      </c>
      <c r="G316" t="s">
        <v>94</v>
      </c>
      <c r="H316">
        <v>9</v>
      </c>
      <c r="I316">
        <v>40.340000000000003</v>
      </c>
      <c r="J316">
        <v>0.15</v>
      </c>
      <c r="K316">
        <v>308.60000000000002</v>
      </c>
    </row>
    <row r="317" spans="1:11" x14ac:dyDescent="0.35">
      <c r="A317" t="s">
        <v>575</v>
      </c>
      <c r="B317" t="s">
        <v>576</v>
      </c>
      <c r="C317" t="s">
        <v>24</v>
      </c>
      <c r="D317" t="s">
        <v>19</v>
      </c>
      <c r="E317" t="s">
        <v>457</v>
      </c>
      <c r="F317" t="s">
        <v>35</v>
      </c>
      <c r="G317" t="s">
        <v>67</v>
      </c>
      <c r="H317">
        <v>3</v>
      </c>
      <c r="I317">
        <v>150.91</v>
      </c>
      <c r="J317">
        <v>0.05</v>
      </c>
      <c r="K317">
        <v>430.09</v>
      </c>
    </row>
    <row r="318" spans="1:11" x14ac:dyDescent="0.35">
      <c r="A318" t="s">
        <v>577</v>
      </c>
      <c r="B318" s="1">
        <v>45414</v>
      </c>
      <c r="C318" t="s">
        <v>79</v>
      </c>
      <c r="D318" t="s">
        <v>25</v>
      </c>
      <c r="E318" t="s">
        <v>233</v>
      </c>
      <c r="F318" t="s">
        <v>21</v>
      </c>
      <c r="G318" t="s">
        <v>167</v>
      </c>
      <c r="H318">
        <v>11</v>
      </c>
      <c r="I318">
        <v>181.65</v>
      </c>
      <c r="J318">
        <v>0.1</v>
      </c>
      <c r="K318">
        <v>1798.34</v>
      </c>
    </row>
    <row r="319" spans="1:11" x14ac:dyDescent="0.35">
      <c r="A319" t="s">
        <v>578</v>
      </c>
      <c r="B319" s="1">
        <v>45331</v>
      </c>
      <c r="C319" t="s">
        <v>33</v>
      </c>
      <c r="D319" t="s">
        <v>19</v>
      </c>
      <c r="E319" t="s">
        <v>100</v>
      </c>
      <c r="F319" t="s">
        <v>44</v>
      </c>
      <c r="G319" t="s">
        <v>86</v>
      </c>
      <c r="H319">
        <v>1</v>
      </c>
      <c r="I319">
        <v>201.48</v>
      </c>
      <c r="J319">
        <v>0.15</v>
      </c>
      <c r="K319">
        <v>171.26</v>
      </c>
    </row>
    <row r="320" spans="1:11" x14ac:dyDescent="0.35">
      <c r="A320" t="s">
        <v>579</v>
      </c>
      <c r="B320" s="1">
        <v>45606</v>
      </c>
      <c r="C320" t="s">
        <v>38</v>
      </c>
      <c r="D320" t="s">
        <v>19</v>
      </c>
      <c r="E320" t="s">
        <v>199</v>
      </c>
      <c r="F320" t="s">
        <v>53</v>
      </c>
      <c r="G320" t="s">
        <v>63</v>
      </c>
      <c r="H320">
        <v>5</v>
      </c>
      <c r="I320">
        <v>66.2</v>
      </c>
      <c r="J320">
        <v>0</v>
      </c>
      <c r="K320">
        <v>331</v>
      </c>
    </row>
    <row r="321" spans="1:11" x14ac:dyDescent="0.35">
      <c r="A321" t="s">
        <v>580</v>
      </c>
      <c r="B321" t="s">
        <v>581</v>
      </c>
      <c r="C321" t="s">
        <v>90</v>
      </c>
      <c r="D321" t="s">
        <v>25</v>
      </c>
      <c r="E321" t="s">
        <v>407</v>
      </c>
      <c r="F321" t="s">
        <v>21</v>
      </c>
      <c r="G321" t="s">
        <v>22</v>
      </c>
      <c r="H321">
        <v>9</v>
      </c>
      <c r="I321">
        <v>118.85</v>
      </c>
      <c r="J321">
        <v>0</v>
      </c>
      <c r="K321">
        <v>1069.6500000000001</v>
      </c>
    </row>
    <row r="322" spans="1:11" x14ac:dyDescent="0.35">
      <c r="A322" t="s">
        <v>582</v>
      </c>
      <c r="B322" s="1">
        <v>45480</v>
      </c>
      <c r="C322" t="s">
        <v>33</v>
      </c>
      <c r="D322" t="s">
        <v>25</v>
      </c>
      <c r="E322" t="s">
        <v>348</v>
      </c>
      <c r="F322" t="s">
        <v>35</v>
      </c>
      <c r="G322" t="s">
        <v>67</v>
      </c>
      <c r="H322">
        <v>10</v>
      </c>
      <c r="I322">
        <v>191.84</v>
      </c>
      <c r="J322">
        <v>0</v>
      </c>
      <c r="K322">
        <v>1918.4</v>
      </c>
    </row>
    <row r="323" spans="1:11" x14ac:dyDescent="0.35">
      <c r="A323" t="s">
        <v>583</v>
      </c>
      <c r="B323" s="1">
        <v>45301</v>
      </c>
      <c r="C323" t="s">
        <v>56</v>
      </c>
      <c r="D323" t="s">
        <v>57</v>
      </c>
      <c r="E323" t="s">
        <v>124</v>
      </c>
      <c r="F323" t="s">
        <v>21</v>
      </c>
      <c r="G323" t="s">
        <v>167</v>
      </c>
      <c r="H323">
        <v>12</v>
      </c>
      <c r="I323">
        <v>51.93</v>
      </c>
      <c r="J323">
        <v>0.05</v>
      </c>
      <c r="K323">
        <v>592</v>
      </c>
    </row>
    <row r="324" spans="1:11" x14ac:dyDescent="0.35">
      <c r="A324" t="s">
        <v>584</v>
      </c>
      <c r="B324" s="1">
        <v>45447</v>
      </c>
      <c r="C324" t="s">
        <v>33</v>
      </c>
      <c r="D324" t="s">
        <v>19</v>
      </c>
      <c r="E324" t="s">
        <v>52</v>
      </c>
      <c r="F324" t="s">
        <v>35</v>
      </c>
      <c r="G324" t="s">
        <v>134</v>
      </c>
      <c r="H324">
        <v>8</v>
      </c>
      <c r="I324">
        <v>73.680000000000007</v>
      </c>
      <c r="J324">
        <v>0.15</v>
      </c>
      <c r="K324">
        <v>501.02</v>
      </c>
    </row>
    <row r="325" spans="1:11" x14ac:dyDescent="0.35">
      <c r="A325" t="s">
        <v>585</v>
      </c>
      <c r="B325" s="2">
        <v>45548</v>
      </c>
      <c r="C325" t="s">
        <v>41</v>
      </c>
      <c r="D325" t="s">
        <v>19</v>
      </c>
      <c r="E325" t="s">
        <v>586</v>
      </c>
      <c r="F325" t="s">
        <v>35</v>
      </c>
      <c r="G325" t="s">
        <v>67</v>
      </c>
      <c r="H325">
        <v>12</v>
      </c>
      <c r="I325">
        <v>148.59</v>
      </c>
      <c r="J325">
        <v>0.05</v>
      </c>
      <c r="K325">
        <v>1693.93</v>
      </c>
    </row>
    <row r="326" spans="1:11" x14ac:dyDescent="0.35">
      <c r="A326" t="s">
        <v>587</v>
      </c>
      <c r="B326" s="1">
        <v>45533</v>
      </c>
      <c r="C326" t="s">
        <v>38</v>
      </c>
      <c r="D326" t="s">
        <v>19</v>
      </c>
      <c r="E326" t="s">
        <v>199</v>
      </c>
      <c r="F326" t="s">
        <v>21</v>
      </c>
      <c r="G326" t="s">
        <v>167</v>
      </c>
      <c r="H326">
        <v>3</v>
      </c>
      <c r="I326">
        <v>171.89</v>
      </c>
      <c r="J326">
        <v>0</v>
      </c>
      <c r="K326">
        <v>515.66999999999996</v>
      </c>
    </row>
    <row r="327" spans="1:11" x14ac:dyDescent="0.35">
      <c r="A327" t="s">
        <v>588</v>
      </c>
      <c r="B327" s="1">
        <v>45638</v>
      </c>
      <c r="C327" t="s">
        <v>79</v>
      </c>
      <c r="D327" t="s">
        <v>19</v>
      </c>
      <c r="E327" t="s">
        <v>567</v>
      </c>
      <c r="F327" t="s">
        <v>21</v>
      </c>
      <c r="G327" t="s">
        <v>70</v>
      </c>
      <c r="H327">
        <v>1</v>
      </c>
      <c r="I327">
        <v>81.75</v>
      </c>
      <c r="J327">
        <v>0.15</v>
      </c>
      <c r="K327">
        <v>69.489999999999995</v>
      </c>
    </row>
    <row r="328" spans="1:11" x14ac:dyDescent="0.35">
      <c r="A328" t="s">
        <v>589</v>
      </c>
      <c r="B328" s="1">
        <v>45635</v>
      </c>
      <c r="C328" t="s">
        <v>41</v>
      </c>
      <c r="D328" t="s">
        <v>25</v>
      </c>
      <c r="E328" t="s">
        <v>590</v>
      </c>
      <c r="F328" t="s">
        <v>53</v>
      </c>
      <c r="G328" t="s">
        <v>63</v>
      </c>
      <c r="H328">
        <v>12</v>
      </c>
      <c r="I328">
        <v>166.9</v>
      </c>
      <c r="J328">
        <v>0.05</v>
      </c>
      <c r="K328">
        <v>1902.66</v>
      </c>
    </row>
    <row r="329" spans="1:11" x14ac:dyDescent="0.35">
      <c r="A329" t="s">
        <v>591</v>
      </c>
      <c r="B329" s="1">
        <v>45354</v>
      </c>
      <c r="C329" t="s">
        <v>65</v>
      </c>
      <c r="D329" t="s">
        <v>19</v>
      </c>
      <c r="E329" t="s">
        <v>139</v>
      </c>
      <c r="F329" t="s">
        <v>21</v>
      </c>
      <c r="G329" t="s">
        <v>194</v>
      </c>
      <c r="H329">
        <v>1</v>
      </c>
      <c r="I329">
        <v>235.86</v>
      </c>
      <c r="J329">
        <v>0</v>
      </c>
      <c r="K329">
        <v>235.86</v>
      </c>
    </row>
    <row r="330" spans="1:11" x14ac:dyDescent="0.35">
      <c r="A330" t="s">
        <v>592</v>
      </c>
      <c r="B330" t="s">
        <v>593</v>
      </c>
      <c r="C330" t="s">
        <v>102</v>
      </c>
      <c r="D330" t="s">
        <v>19</v>
      </c>
      <c r="E330" t="s">
        <v>164</v>
      </c>
      <c r="F330" t="s">
        <v>44</v>
      </c>
      <c r="G330" t="s">
        <v>107</v>
      </c>
      <c r="H330">
        <v>12</v>
      </c>
      <c r="I330">
        <v>242.88</v>
      </c>
      <c r="J330">
        <v>0</v>
      </c>
      <c r="K330">
        <v>2914.56</v>
      </c>
    </row>
    <row r="331" spans="1:11" x14ac:dyDescent="0.35">
      <c r="A331" t="s">
        <v>594</v>
      </c>
      <c r="B331" s="2">
        <v>45558</v>
      </c>
      <c r="C331" t="s">
        <v>18</v>
      </c>
      <c r="D331" t="s">
        <v>13</v>
      </c>
      <c r="E331" t="s">
        <v>595</v>
      </c>
      <c r="F331" t="s">
        <v>21</v>
      </c>
      <c r="G331" t="s">
        <v>22</v>
      </c>
      <c r="H331">
        <v>6</v>
      </c>
      <c r="I331">
        <v>176.71</v>
      </c>
      <c r="J331">
        <v>0.05</v>
      </c>
      <c r="K331">
        <v>1007.25</v>
      </c>
    </row>
    <row r="332" spans="1:11" x14ac:dyDescent="0.35">
      <c r="A332" t="s">
        <v>596</v>
      </c>
      <c r="B332" t="s">
        <v>597</v>
      </c>
      <c r="C332" t="s">
        <v>48</v>
      </c>
      <c r="D332" t="s">
        <v>42</v>
      </c>
      <c r="E332" t="s">
        <v>510</v>
      </c>
      <c r="F332" t="s">
        <v>44</v>
      </c>
      <c r="G332" t="s">
        <v>86</v>
      </c>
      <c r="H332">
        <v>10</v>
      </c>
      <c r="I332">
        <v>48.14</v>
      </c>
      <c r="J332">
        <v>0</v>
      </c>
      <c r="K332">
        <v>481.4</v>
      </c>
    </row>
    <row r="333" spans="1:11" x14ac:dyDescent="0.35">
      <c r="A333" t="s">
        <v>598</v>
      </c>
      <c r="B333" s="1">
        <v>45513</v>
      </c>
      <c r="C333" t="s">
        <v>24</v>
      </c>
      <c r="D333" t="s">
        <v>42</v>
      </c>
      <c r="E333" t="s">
        <v>110</v>
      </c>
      <c r="F333" t="s">
        <v>44</v>
      </c>
      <c r="G333" t="s">
        <v>86</v>
      </c>
      <c r="H333">
        <v>11</v>
      </c>
      <c r="I333">
        <v>120.99</v>
      </c>
      <c r="J333">
        <v>0.1</v>
      </c>
      <c r="K333">
        <v>1197.8</v>
      </c>
    </row>
    <row r="334" spans="1:11" x14ac:dyDescent="0.35">
      <c r="A334" t="s">
        <v>599</v>
      </c>
      <c r="B334" s="2">
        <v>45338</v>
      </c>
      <c r="C334" t="s">
        <v>18</v>
      </c>
      <c r="D334" t="s">
        <v>19</v>
      </c>
      <c r="E334" t="s">
        <v>20</v>
      </c>
      <c r="F334" t="s">
        <v>15</v>
      </c>
      <c r="G334" t="s">
        <v>16</v>
      </c>
      <c r="H334">
        <v>7</v>
      </c>
      <c r="I334">
        <v>50.3</v>
      </c>
      <c r="J334">
        <v>0</v>
      </c>
      <c r="K334">
        <v>352.1</v>
      </c>
    </row>
    <row r="335" spans="1:11" x14ac:dyDescent="0.35">
      <c r="A335" t="s">
        <v>600</v>
      </c>
      <c r="B335" t="s">
        <v>601</v>
      </c>
      <c r="C335" t="s">
        <v>41</v>
      </c>
      <c r="D335" t="s">
        <v>57</v>
      </c>
      <c r="E335" t="s">
        <v>272</v>
      </c>
      <c r="F335" t="s">
        <v>21</v>
      </c>
      <c r="G335" t="s">
        <v>70</v>
      </c>
      <c r="H335">
        <v>9</v>
      </c>
      <c r="I335">
        <v>188.89</v>
      </c>
      <c r="J335">
        <v>0</v>
      </c>
      <c r="K335">
        <v>1700.01</v>
      </c>
    </row>
    <row r="336" spans="1:11" x14ac:dyDescent="0.35">
      <c r="A336" t="s">
        <v>602</v>
      </c>
      <c r="B336" s="1">
        <v>45487</v>
      </c>
      <c r="C336" t="s">
        <v>24</v>
      </c>
      <c r="D336" t="s">
        <v>42</v>
      </c>
      <c r="E336" t="s">
        <v>412</v>
      </c>
      <c r="F336" t="s">
        <v>44</v>
      </c>
      <c r="G336" t="s">
        <v>50</v>
      </c>
      <c r="H336">
        <v>11</v>
      </c>
      <c r="I336">
        <v>240.63</v>
      </c>
      <c r="J336">
        <v>0</v>
      </c>
      <c r="K336">
        <v>2646.93</v>
      </c>
    </row>
    <row r="337" spans="1:11" x14ac:dyDescent="0.35">
      <c r="A337" t="s">
        <v>603</v>
      </c>
      <c r="B337" s="2">
        <v>45654</v>
      </c>
      <c r="C337" t="s">
        <v>29</v>
      </c>
      <c r="D337" t="s">
        <v>13</v>
      </c>
      <c r="E337" t="s">
        <v>480</v>
      </c>
      <c r="F337" t="s">
        <v>53</v>
      </c>
      <c r="G337" t="s">
        <v>104</v>
      </c>
      <c r="H337">
        <v>9</v>
      </c>
      <c r="I337">
        <v>247.79</v>
      </c>
      <c r="J337">
        <v>0.1</v>
      </c>
      <c r="K337">
        <v>2007.1</v>
      </c>
    </row>
    <row r="338" spans="1:11" x14ac:dyDescent="0.35">
      <c r="A338" t="s">
        <v>604</v>
      </c>
      <c r="B338" t="s">
        <v>605</v>
      </c>
      <c r="C338" t="s">
        <v>33</v>
      </c>
      <c r="D338" t="s">
        <v>57</v>
      </c>
      <c r="E338" t="s">
        <v>77</v>
      </c>
      <c r="F338" t="s">
        <v>53</v>
      </c>
      <c r="G338" t="s">
        <v>104</v>
      </c>
      <c r="H338">
        <v>3</v>
      </c>
      <c r="I338">
        <v>69.14</v>
      </c>
      <c r="J338">
        <v>0</v>
      </c>
      <c r="K338">
        <v>207.42</v>
      </c>
    </row>
    <row r="339" spans="1:11" x14ac:dyDescent="0.35">
      <c r="A339" t="s">
        <v>606</v>
      </c>
      <c r="B339" s="1">
        <v>45463</v>
      </c>
      <c r="C339" t="s">
        <v>24</v>
      </c>
      <c r="D339" t="s">
        <v>57</v>
      </c>
      <c r="E339" t="s">
        <v>197</v>
      </c>
      <c r="F339" t="s">
        <v>53</v>
      </c>
      <c r="G339" t="s">
        <v>59</v>
      </c>
      <c r="H339">
        <v>11</v>
      </c>
      <c r="I339">
        <v>116.32</v>
      </c>
      <c r="J339">
        <v>0.1</v>
      </c>
      <c r="K339">
        <v>1151.57</v>
      </c>
    </row>
    <row r="340" spans="1:11" x14ac:dyDescent="0.35">
      <c r="A340" t="s">
        <v>607</v>
      </c>
      <c r="B340" s="1">
        <v>45652</v>
      </c>
      <c r="C340" t="s">
        <v>72</v>
      </c>
      <c r="D340" t="s">
        <v>25</v>
      </c>
      <c r="E340" t="s">
        <v>608</v>
      </c>
      <c r="F340" t="s">
        <v>15</v>
      </c>
      <c r="G340" t="s">
        <v>147</v>
      </c>
      <c r="H340">
        <v>11</v>
      </c>
      <c r="I340">
        <v>154.86000000000001</v>
      </c>
      <c r="J340">
        <v>0.1</v>
      </c>
      <c r="K340">
        <v>1533.11</v>
      </c>
    </row>
    <row r="341" spans="1:11" x14ac:dyDescent="0.35">
      <c r="A341" t="s">
        <v>609</v>
      </c>
      <c r="B341" s="2">
        <v>45631</v>
      </c>
      <c r="C341" t="s">
        <v>33</v>
      </c>
      <c r="D341" t="s">
        <v>13</v>
      </c>
      <c r="E341" t="s">
        <v>360</v>
      </c>
      <c r="F341" t="s">
        <v>15</v>
      </c>
      <c r="G341" t="s">
        <v>16</v>
      </c>
      <c r="H341">
        <v>8</v>
      </c>
      <c r="I341">
        <v>33.380000000000003</v>
      </c>
      <c r="J341">
        <v>0</v>
      </c>
      <c r="K341">
        <v>267.04000000000002</v>
      </c>
    </row>
    <row r="342" spans="1:11" x14ac:dyDescent="0.35">
      <c r="A342" t="s">
        <v>610</v>
      </c>
      <c r="B342" t="s">
        <v>209</v>
      </c>
      <c r="C342" t="s">
        <v>56</v>
      </c>
      <c r="D342" t="s">
        <v>57</v>
      </c>
      <c r="E342" t="s">
        <v>517</v>
      </c>
      <c r="F342" t="s">
        <v>15</v>
      </c>
      <c r="G342" t="s">
        <v>74</v>
      </c>
      <c r="H342">
        <v>8</v>
      </c>
      <c r="I342">
        <v>89.25</v>
      </c>
      <c r="J342">
        <v>0.1</v>
      </c>
      <c r="K342">
        <v>642.6</v>
      </c>
    </row>
    <row r="343" spans="1:11" x14ac:dyDescent="0.35">
      <c r="A343" t="s">
        <v>611</v>
      </c>
      <c r="B343" t="s">
        <v>612</v>
      </c>
      <c r="C343" t="s">
        <v>79</v>
      </c>
      <c r="D343" t="s">
        <v>19</v>
      </c>
      <c r="E343" t="s">
        <v>351</v>
      </c>
      <c r="F343" t="s">
        <v>21</v>
      </c>
      <c r="G343" t="s">
        <v>70</v>
      </c>
      <c r="H343">
        <v>10</v>
      </c>
      <c r="I343">
        <v>180.04</v>
      </c>
      <c r="J343">
        <v>0.15</v>
      </c>
      <c r="K343">
        <v>1530.34</v>
      </c>
    </row>
    <row r="344" spans="1:11" x14ac:dyDescent="0.35">
      <c r="A344" t="s">
        <v>613</v>
      </c>
      <c r="B344" t="s">
        <v>614</v>
      </c>
      <c r="C344" t="s">
        <v>24</v>
      </c>
      <c r="D344" t="s">
        <v>19</v>
      </c>
      <c r="E344" t="s">
        <v>492</v>
      </c>
      <c r="F344" t="s">
        <v>15</v>
      </c>
      <c r="G344" t="s">
        <v>74</v>
      </c>
      <c r="H344">
        <v>8</v>
      </c>
      <c r="I344">
        <v>91.51</v>
      </c>
      <c r="J344">
        <v>0</v>
      </c>
      <c r="K344">
        <v>732.08</v>
      </c>
    </row>
    <row r="345" spans="1:11" x14ac:dyDescent="0.35">
      <c r="A345" t="s">
        <v>615</v>
      </c>
      <c r="B345" s="1">
        <v>45359</v>
      </c>
      <c r="C345" t="s">
        <v>56</v>
      </c>
      <c r="D345" t="s">
        <v>13</v>
      </c>
      <c r="E345" t="s">
        <v>259</v>
      </c>
      <c r="F345" t="s">
        <v>53</v>
      </c>
      <c r="G345" t="s">
        <v>63</v>
      </c>
      <c r="H345">
        <v>12</v>
      </c>
      <c r="I345">
        <v>18.07</v>
      </c>
      <c r="J345">
        <v>0</v>
      </c>
      <c r="K345">
        <v>216.84</v>
      </c>
    </row>
    <row r="346" spans="1:11" x14ac:dyDescent="0.35">
      <c r="A346" t="s">
        <v>616</v>
      </c>
      <c r="B346" t="s">
        <v>617</v>
      </c>
      <c r="C346" t="s">
        <v>18</v>
      </c>
      <c r="D346" t="s">
        <v>42</v>
      </c>
      <c r="E346" t="s">
        <v>370</v>
      </c>
      <c r="F346" t="s">
        <v>53</v>
      </c>
      <c r="G346" t="s">
        <v>260</v>
      </c>
      <c r="H346">
        <v>3</v>
      </c>
      <c r="I346">
        <v>227.12</v>
      </c>
      <c r="J346">
        <v>0</v>
      </c>
      <c r="K346">
        <v>681.36</v>
      </c>
    </row>
    <row r="347" spans="1:11" x14ac:dyDescent="0.35">
      <c r="A347" t="s">
        <v>618</v>
      </c>
      <c r="B347" s="1">
        <v>45629</v>
      </c>
      <c r="C347" t="s">
        <v>102</v>
      </c>
      <c r="D347" t="s">
        <v>42</v>
      </c>
      <c r="E347" t="s">
        <v>152</v>
      </c>
      <c r="F347" t="s">
        <v>44</v>
      </c>
      <c r="G347" t="s">
        <v>86</v>
      </c>
      <c r="H347">
        <v>5</v>
      </c>
      <c r="I347">
        <v>184.9</v>
      </c>
      <c r="J347">
        <v>0.1</v>
      </c>
      <c r="K347">
        <v>832.05</v>
      </c>
    </row>
    <row r="348" spans="1:11" x14ac:dyDescent="0.35">
      <c r="A348" t="s">
        <v>619</v>
      </c>
      <c r="B348" s="1">
        <v>45489</v>
      </c>
      <c r="C348" t="s">
        <v>41</v>
      </c>
      <c r="D348" t="s">
        <v>19</v>
      </c>
      <c r="E348" t="s">
        <v>620</v>
      </c>
      <c r="F348" t="s">
        <v>15</v>
      </c>
      <c r="G348" t="s">
        <v>16</v>
      </c>
      <c r="H348">
        <v>6</v>
      </c>
      <c r="I348">
        <v>7.99</v>
      </c>
      <c r="J348">
        <v>0</v>
      </c>
      <c r="K348">
        <v>47.94</v>
      </c>
    </row>
    <row r="349" spans="1:11" x14ac:dyDescent="0.35">
      <c r="A349" t="s">
        <v>621</v>
      </c>
      <c r="B349" s="1">
        <v>45588</v>
      </c>
      <c r="C349" t="s">
        <v>24</v>
      </c>
      <c r="D349" t="s">
        <v>42</v>
      </c>
      <c r="E349" t="s">
        <v>448</v>
      </c>
      <c r="F349" t="s">
        <v>53</v>
      </c>
      <c r="G349" t="s">
        <v>63</v>
      </c>
      <c r="H349">
        <v>7</v>
      </c>
      <c r="I349">
        <v>14.07</v>
      </c>
      <c r="J349">
        <v>0.05</v>
      </c>
      <c r="K349">
        <v>93.57</v>
      </c>
    </row>
    <row r="350" spans="1:11" x14ac:dyDescent="0.35">
      <c r="A350" t="s">
        <v>622</v>
      </c>
      <c r="B350" s="1">
        <v>45339</v>
      </c>
      <c r="C350" t="s">
        <v>79</v>
      </c>
      <c r="D350" t="s">
        <v>13</v>
      </c>
      <c r="E350" t="s">
        <v>299</v>
      </c>
      <c r="F350" t="s">
        <v>35</v>
      </c>
      <c r="G350" t="s">
        <v>134</v>
      </c>
      <c r="H350">
        <v>12</v>
      </c>
      <c r="I350">
        <v>192.72</v>
      </c>
      <c r="J350">
        <v>0</v>
      </c>
      <c r="K350">
        <v>2312.64</v>
      </c>
    </row>
    <row r="351" spans="1:11" x14ac:dyDescent="0.35">
      <c r="A351" t="s">
        <v>623</v>
      </c>
      <c r="B351" s="1">
        <v>45407</v>
      </c>
      <c r="C351" t="s">
        <v>24</v>
      </c>
      <c r="D351" t="s">
        <v>13</v>
      </c>
      <c r="E351" t="s">
        <v>110</v>
      </c>
      <c r="F351" t="s">
        <v>44</v>
      </c>
      <c r="G351" t="s">
        <v>86</v>
      </c>
      <c r="H351">
        <v>5</v>
      </c>
      <c r="I351">
        <v>91.41</v>
      </c>
      <c r="J351">
        <v>0.1</v>
      </c>
      <c r="K351">
        <v>411.34</v>
      </c>
    </row>
    <row r="352" spans="1:11" x14ac:dyDescent="0.35">
      <c r="A352" t="s">
        <v>624</v>
      </c>
      <c r="B352" s="1">
        <v>45625</v>
      </c>
      <c r="C352" t="s">
        <v>33</v>
      </c>
      <c r="D352" t="s">
        <v>13</v>
      </c>
      <c r="E352" t="s">
        <v>472</v>
      </c>
      <c r="F352" t="s">
        <v>35</v>
      </c>
      <c r="G352" t="s">
        <v>134</v>
      </c>
      <c r="H352">
        <v>11</v>
      </c>
      <c r="I352">
        <v>22.89</v>
      </c>
      <c r="J352">
        <v>0.1</v>
      </c>
      <c r="K352">
        <v>226.61</v>
      </c>
    </row>
    <row r="353" spans="1:11" x14ac:dyDescent="0.35">
      <c r="A353" t="s">
        <v>625</v>
      </c>
      <c r="B353" s="1">
        <v>45529</v>
      </c>
      <c r="C353" t="s">
        <v>102</v>
      </c>
      <c r="D353" t="s">
        <v>42</v>
      </c>
      <c r="E353" t="s">
        <v>472</v>
      </c>
      <c r="F353" t="s">
        <v>35</v>
      </c>
      <c r="G353" t="s">
        <v>177</v>
      </c>
      <c r="H353">
        <v>11</v>
      </c>
      <c r="I353">
        <v>87.76</v>
      </c>
      <c r="J353">
        <v>0.05</v>
      </c>
      <c r="K353">
        <v>917.09</v>
      </c>
    </row>
    <row r="354" spans="1:11" x14ac:dyDescent="0.35">
      <c r="A354" t="s">
        <v>626</v>
      </c>
      <c r="B354" s="1">
        <v>45382</v>
      </c>
      <c r="C354" t="s">
        <v>48</v>
      </c>
      <c r="D354" t="s">
        <v>57</v>
      </c>
      <c r="E354" t="s">
        <v>185</v>
      </c>
      <c r="F354" t="s">
        <v>44</v>
      </c>
      <c r="G354" t="s">
        <v>107</v>
      </c>
      <c r="H354">
        <v>1</v>
      </c>
      <c r="I354">
        <v>228.11</v>
      </c>
      <c r="J354">
        <v>0.15</v>
      </c>
      <c r="K354">
        <v>193.89</v>
      </c>
    </row>
    <row r="355" spans="1:11" x14ac:dyDescent="0.35">
      <c r="A355" t="s">
        <v>627</v>
      </c>
      <c r="B355" s="1">
        <v>45504</v>
      </c>
      <c r="C355" t="s">
        <v>41</v>
      </c>
      <c r="D355" t="s">
        <v>57</v>
      </c>
      <c r="E355" t="s">
        <v>346</v>
      </c>
      <c r="F355" t="s">
        <v>15</v>
      </c>
      <c r="G355" t="s">
        <v>27</v>
      </c>
      <c r="H355">
        <v>6</v>
      </c>
      <c r="I355">
        <v>72.3</v>
      </c>
      <c r="J355">
        <v>0.05</v>
      </c>
      <c r="K355">
        <v>412.11</v>
      </c>
    </row>
    <row r="356" spans="1:11" x14ac:dyDescent="0.35">
      <c r="A356" t="s">
        <v>628</v>
      </c>
      <c r="B356" s="2">
        <v>45405</v>
      </c>
      <c r="C356" t="s">
        <v>12</v>
      </c>
      <c r="D356" t="s">
        <v>57</v>
      </c>
      <c r="E356" t="s">
        <v>468</v>
      </c>
      <c r="F356" t="s">
        <v>35</v>
      </c>
      <c r="G356" t="s">
        <v>83</v>
      </c>
      <c r="H356">
        <v>7</v>
      </c>
      <c r="I356">
        <v>76</v>
      </c>
      <c r="J356">
        <v>0</v>
      </c>
      <c r="K356">
        <v>532</v>
      </c>
    </row>
    <row r="357" spans="1:11" x14ac:dyDescent="0.35">
      <c r="A357" t="s">
        <v>629</v>
      </c>
      <c r="B357" s="1">
        <v>45371</v>
      </c>
      <c r="C357" t="s">
        <v>29</v>
      </c>
      <c r="D357" t="s">
        <v>25</v>
      </c>
      <c r="E357" t="s">
        <v>272</v>
      </c>
      <c r="F357" t="s">
        <v>44</v>
      </c>
      <c r="G357" t="s">
        <v>45</v>
      </c>
      <c r="H357">
        <v>6</v>
      </c>
      <c r="I357">
        <v>14.25</v>
      </c>
      <c r="J357">
        <v>0</v>
      </c>
      <c r="K357">
        <v>85.5</v>
      </c>
    </row>
    <row r="358" spans="1:11" x14ac:dyDescent="0.35">
      <c r="A358" t="s">
        <v>630</v>
      </c>
      <c r="B358" s="1">
        <v>45505</v>
      </c>
      <c r="C358" t="s">
        <v>72</v>
      </c>
      <c r="D358" t="s">
        <v>19</v>
      </c>
      <c r="E358" t="s">
        <v>360</v>
      </c>
      <c r="F358" t="s">
        <v>21</v>
      </c>
      <c r="G358" t="s">
        <v>22</v>
      </c>
      <c r="H358">
        <v>4</v>
      </c>
      <c r="I358">
        <v>51.04</v>
      </c>
      <c r="J358">
        <v>0.05</v>
      </c>
      <c r="K358">
        <v>193.95</v>
      </c>
    </row>
    <row r="359" spans="1:11" x14ac:dyDescent="0.35">
      <c r="A359" t="s">
        <v>631</v>
      </c>
      <c r="B359" s="1">
        <v>45605</v>
      </c>
      <c r="C359" t="s">
        <v>90</v>
      </c>
      <c r="D359" t="s">
        <v>57</v>
      </c>
      <c r="E359" t="s">
        <v>128</v>
      </c>
      <c r="F359" t="s">
        <v>21</v>
      </c>
      <c r="G359" t="s">
        <v>22</v>
      </c>
      <c r="H359">
        <v>7</v>
      </c>
      <c r="I359">
        <v>164.33</v>
      </c>
      <c r="J359">
        <v>0.05</v>
      </c>
      <c r="K359">
        <v>1092.79</v>
      </c>
    </row>
    <row r="360" spans="1:11" x14ac:dyDescent="0.35">
      <c r="A360" t="s">
        <v>632</v>
      </c>
      <c r="B360" s="1">
        <v>45510</v>
      </c>
      <c r="C360" t="s">
        <v>72</v>
      </c>
      <c r="D360" t="s">
        <v>19</v>
      </c>
      <c r="E360" t="s">
        <v>317</v>
      </c>
      <c r="F360" t="s">
        <v>15</v>
      </c>
      <c r="G360" t="s">
        <v>111</v>
      </c>
      <c r="H360">
        <v>5</v>
      </c>
      <c r="I360">
        <v>41.12</v>
      </c>
      <c r="J360">
        <v>0.1</v>
      </c>
      <c r="K360">
        <v>185.04</v>
      </c>
    </row>
    <row r="361" spans="1:11" x14ac:dyDescent="0.35">
      <c r="A361" t="s">
        <v>633</v>
      </c>
      <c r="B361" s="1">
        <v>45565</v>
      </c>
      <c r="C361" t="s">
        <v>24</v>
      </c>
      <c r="D361" t="s">
        <v>57</v>
      </c>
      <c r="E361" t="s">
        <v>144</v>
      </c>
      <c r="F361" t="s">
        <v>44</v>
      </c>
      <c r="G361" t="s">
        <v>50</v>
      </c>
      <c r="H361">
        <v>3</v>
      </c>
      <c r="I361">
        <v>35.880000000000003</v>
      </c>
      <c r="J361">
        <v>0.15</v>
      </c>
      <c r="K361">
        <v>91.49</v>
      </c>
    </row>
    <row r="362" spans="1:11" x14ac:dyDescent="0.35">
      <c r="A362" t="s">
        <v>634</v>
      </c>
      <c r="B362" s="1">
        <v>45640</v>
      </c>
      <c r="C362" t="s">
        <v>65</v>
      </c>
      <c r="D362" t="s">
        <v>13</v>
      </c>
      <c r="E362" t="s">
        <v>404</v>
      </c>
      <c r="F362" t="s">
        <v>53</v>
      </c>
      <c r="G362" t="s">
        <v>59</v>
      </c>
      <c r="H362">
        <v>8</v>
      </c>
      <c r="I362">
        <v>21.42</v>
      </c>
      <c r="J362">
        <v>0</v>
      </c>
      <c r="K362">
        <v>171.36</v>
      </c>
    </row>
    <row r="363" spans="1:11" x14ac:dyDescent="0.35">
      <c r="A363" t="s">
        <v>635</v>
      </c>
      <c r="B363" s="1">
        <v>45508</v>
      </c>
      <c r="C363" t="s">
        <v>33</v>
      </c>
      <c r="D363" t="s">
        <v>19</v>
      </c>
      <c r="E363" t="s">
        <v>474</v>
      </c>
      <c r="F363" t="s">
        <v>53</v>
      </c>
      <c r="G363" t="s">
        <v>125</v>
      </c>
      <c r="H363">
        <v>10</v>
      </c>
      <c r="I363">
        <v>109.44</v>
      </c>
      <c r="J363">
        <v>0</v>
      </c>
      <c r="K363">
        <v>1094.4000000000001</v>
      </c>
    </row>
    <row r="364" spans="1:11" x14ac:dyDescent="0.35">
      <c r="A364" t="s">
        <v>636</v>
      </c>
      <c r="B364" t="s">
        <v>637</v>
      </c>
      <c r="C364" t="s">
        <v>38</v>
      </c>
      <c r="D364" t="s">
        <v>42</v>
      </c>
      <c r="E364" t="s">
        <v>638</v>
      </c>
      <c r="F364" t="s">
        <v>44</v>
      </c>
      <c r="G364" t="s">
        <v>45</v>
      </c>
      <c r="H364">
        <v>11</v>
      </c>
      <c r="I364">
        <v>28.11</v>
      </c>
      <c r="J364">
        <v>0.05</v>
      </c>
      <c r="K364">
        <v>293.75</v>
      </c>
    </row>
    <row r="365" spans="1:11" x14ac:dyDescent="0.35">
      <c r="A365" t="s">
        <v>639</v>
      </c>
      <c r="B365" s="1">
        <v>45357</v>
      </c>
      <c r="C365" t="s">
        <v>65</v>
      </c>
      <c r="D365" t="s">
        <v>19</v>
      </c>
      <c r="E365" t="s">
        <v>113</v>
      </c>
      <c r="F365" t="s">
        <v>15</v>
      </c>
      <c r="G365" t="s">
        <v>27</v>
      </c>
      <c r="H365">
        <v>11</v>
      </c>
      <c r="I365">
        <v>231.81</v>
      </c>
      <c r="J365">
        <v>0.05</v>
      </c>
      <c r="K365">
        <v>2422.41</v>
      </c>
    </row>
    <row r="366" spans="1:11" x14ac:dyDescent="0.35">
      <c r="A366" t="s">
        <v>640</v>
      </c>
      <c r="B366" s="1">
        <v>45624</v>
      </c>
      <c r="C366" t="s">
        <v>12</v>
      </c>
      <c r="D366" t="s">
        <v>19</v>
      </c>
      <c r="E366" t="s">
        <v>343</v>
      </c>
      <c r="F366" t="s">
        <v>21</v>
      </c>
      <c r="G366" t="s">
        <v>70</v>
      </c>
      <c r="H366">
        <v>2</v>
      </c>
      <c r="I366">
        <v>106.16</v>
      </c>
      <c r="J366">
        <v>0</v>
      </c>
      <c r="K366">
        <v>212.32</v>
      </c>
    </row>
    <row r="367" spans="1:11" x14ac:dyDescent="0.35">
      <c r="A367" t="s">
        <v>641</v>
      </c>
      <c r="B367" s="1">
        <v>45537</v>
      </c>
      <c r="C367" t="s">
        <v>29</v>
      </c>
      <c r="D367" t="s">
        <v>13</v>
      </c>
      <c r="E367" t="s">
        <v>642</v>
      </c>
      <c r="F367" t="s">
        <v>44</v>
      </c>
      <c r="G367" t="s">
        <v>94</v>
      </c>
      <c r="H367">
        <v>4</v>
      </c>
      <c r="I367">
        <v>123.13</v>
      </c>
      <c r="J367">
        <v>0</v>
      </c>
      <c r="K367">
        <v>492.52</v>
      </c>
    </row>
    <row r="368" spans="1:11" x14ac:dyDescent="0.35">
      <c r="A368" t="s">
        <v>643</v>
      </c>
      <c r="B368" s="1">
        <v>45437</v>
      </c>
      <c r="C368" t="s">
        <v>24</v>
      </c>
      <c r="D368" t="s">
        <v>57</v>
      </c>
      <c r="E368" t="s">
        <v>221</v>
      </c>
      <c r="F368" t="s">
        <v>53</v>
      </c>
      <c r="G368" t="s">
        <v>104</v>
      </c>
      <c r="H368">
        <v>6</v>
      </c>
      <c r="I368">
        <v>13.62</v>
      </c>
      <c r="J368">
        <v>0</v>
      </c>
      <c r="K368">
        <v>81.72</v>
      </c>
    </row>
    <row r="369" spans="1:11" x14ac:dyDescent="0.35">
      <c r="A369" t="s">
        <v>644</v>
      </c>
      <c r="B369" t="s">
        <v>645</v>
      </c>
      <c r="C369" t="s">
        <v>41</v>
      </c>
      <c r="D369" t="s">
        <v>57</v>
      </c>
      <c r="E369" t="s">
        <v>620</v>
      </c>
      <c r="F369" t="s">
        <v>53</v>
      </c>
      <c r="G369" t="s">
        <v>63</v>
      </c>
      <c r="H369">
        <v>1</v>
      </c>
      <c r="I369">
        <v>219.33</v>
      </c>
      <c r="J369">
        <v>0.1</v>
      </c>
      <c r="K369">
        <v>197.4</v>
      </c>
    </row>
    <row r="370" spans="1:11" x14ac:dyDescent="0.35">
      <c r="A370" t="s">
        <v>646</v>
      </c>
      <c r="B370" s="1">
        <v>45582</v>
      </c>
      <c r="C370" t="s">
        <v>56</v>
      </c>
      <c r="D370" t="s">
        <v>42</v>
      </c>
      <c r="E370" t="s">
        <v>348</v>
      </c>
      <c r="F370" t="s">
        <v>44</v>
      </c>
      <c r="G370" t="s">
        <v>94</v>
      </c>
      <c r="H370">
        <v>8</v>
      </c>
      <c r="I370">
        <v>143.72</v>
      </c>
      <c r="J370">
        <v>0</v>
      </c>
      <c r="K370">
        <v>1149.76</v>
      </c>
    </row>
    <row r="371" spans="1:11" x14ac:dyDescent="0.35">
      <c r="A371" t="s">
        <v>647</v>
      </c>
      <c r="B371" s="1">
        <v>45350</v>
      </c>
      <c r="C371" t="s">
        <v>79</v>
      </c>
      <c r="D371" t="s">
        <v>25</v>
      </c>
      <c r="E371" t="s">
        <v>278</v>
      </c>
      <c r="F371" t="s">
        <v>35</v>
      </c>
      <c r="G371" t="s">
        <v>177</v>
      </c>
      <c r="H371">
        <v>5</v>
      </c>
      <c r="I371">
        <v>110.33</v>
      </c>
      <c r="J371">
        <v>0.15</v>
      </c>
      <c r="K371">
        <v>468.9</v>
      </c>
    </row>
    <row r="372" spans="1:11" x14ac:dyDescent="0.35">
      <c r="A372" t="s">
        <v>648</v>
      </c>
      <c r="B372" t="s">
        <v>649</v>
      </c>
      <c r="C372" t="s">
        <v>65</v>
      </c>
      <c r="D372" t="s">
        <v>25</v>
      </c>
      <c r="E372" t="s">
        <v>426</v>
      </c>
      <c r="F372" t="s">
        <v>21</v>
      </c>
      <c r="G372" t="s">
        <v>22</v>
      </c>
      <c r="H372">
        <v>4</v>
      </c>
      <c r="I372">
        <v>88.94</v>
      </c>
      <c r="J372">
        <v>0.05</v>
      </c>
      <c r="K372">
        <v>337.97</v>
      </c>
    </row>
    <row r="373" spans="1:11" x14ac:dyDescent="0.35">
      <c r="A373" t="s">
        <v>650</v>
      </c>
      <c r="B373" s="1">
        <v>45602</v>
      </c>
      <c r="C373" t="s">
        <v>41</v>
      </c>
      <c r="D373" t="s">
        <v>25</v>
      </c>
      <c r="E373" t="s">
        <v>366</v>
      </c>
      <c r="F373" t="s">
        <v>35</v>
      </c>
      <c r="G373" t="s">
        <v>134</v>
      </c>
      <c r="H373">
        <v>3</v>
      </c>
      <c r="I373">
        <v>195.56</v>
      </c>
      <c r="J373">
        <v>0</v>
      </c>
      <c r="K373">
        <v>586.67999999999995</v>
      </c>
    </row>
    <row r="374" spans="1:11" x14ac:dyDescent="0.35">
      <c r="A374" t="s">
        <v>651</v>
      </c>
      <c r="B374" s="2">
        <v>45514</v>
      </c>
      <c r="C374" t="s">
        <v>41</v>
      </c>
      <c r="D374" t="s">
        <v>25</v>
      </c>
      <c r="E374" t="s">
        <v>508</v>
      </c>
      <c r="F374" t="s">
        <v>15</v>
      </c>
      <c r="G374" t="s">
        <v>16</v>
      </c>
      <c r="H374">
        <v>10</v>
      </c>
      <c r="I374">
        <v>11.43</v>
      </c>
      <c r="J374">
        <v>0</v>
      </c>
      <c r="K374">
        <v>114.3</v>
      </c>
    </row>
    <row r="375" spans="1:11" x14ac:dyDescent="0.35">
      <c r="A375" t="s">
        <v>652</v>
      </c>
      <c r="B375" s="1">
        <v>45473</v>
      </c>
      <c r="C375" t="s">
        <v>12</v>
      </c>
      <c r="D375" t="s">
        <v>19</v>
      </c>
      <c r="E375" t="s">
        <v>171</v>
      </c>
      <c r="F375" t="s">
        <v>35</v>
      </c>
      <c r="G375" t="s">
        <v>36</v>
      </c>
      <c r="H375">
        <v>9</v>
      </c>
      <c r="I375">
        <v>148.46</v>
      </c>
      <c r="J375">
        <v>0</v>
      </c>
      <c r="K375">
        <v>1336.14</v>
      </c>
    </row>
    <row r="376" spans="1:11" x14ac:dyDescent="0.35">
      <c r="A376" t="s">
        <v>653</v>
      </c>
      <c r="B376" s="1">
        <v>45521</v>
      </c>
      <c r="C376" t="s">
        <v>102</v>
      </c>
      <c r="D376" t="s">
        <v>25</v>
      </c>
      <c r="E376" t="s">
        <v>472</v>
      </c>
      <c r="F376" t="s">
        <v>21</v>
      </c>
      <c r="G376" t="s">
        <v>167</v>
      </c>
      <c r="H376">
        <v>8</v>
      </c>
      <c r="I376">
        <v>214.86</v>
      </c>
      <c r="J376">
        <v>0</v>
      </c>
      <c r="K376">
        <v>1718.88</v>
      </c>
    </row>
    <row r="377" spans="1:11" x14ac:dyDescent="0.35">
      <c r="A377" t="s">
        <v>654</v>
      </c>
      <c r="B377" s="1">
        <v>45293</v>
      </c>
      <c r="C377" t="s">
        <v>79</v>
      </c>
      <c r="D377" t="s">
        <v>42</v>
      </c>
      <c r="E377" t="s">
        <v>470</v>
      </c>
      <c r="F377" t="s">
        <v>21</v>
      </c>
      <c r="G377" t="s">
        <v>194</v>
      </c>
      <c r="H377">
        <v>9</v>
      </c>
      <c r="I377">
        <v>132.08000000000001</v>
      </c>
      <c r="J377">
        <v>0</v>
      </c>
      <c r="K377">
        <v>1188.72</v>
      </c>
    </row>
    <row r="378" spans="1:11" x14ac:dyDescent="0.35">
      <c r="A378" t="s">
        <v>655</v>
      </c>
      <c r="B378" s="2">
        <v>45638</v>
      </c>
      <c r="C378" t="s">
        <v>24</v>
      </c>
      <c r="D378" t="s">
        <v>13</v>
      </c>
      <c r="E378" t="s">
        <v>656</v>
      </c>
      <c r="F378" t="s">
        <v>21</v>
      </c>
      <c r="G378" t="s">
        <v>129</v>
      </c>
      <c r="H378">
        <v>10</v>
      </c>
      <c r="I378">
        <v>124.92</v>
      </c>
      <c r="J378">
        <v>0.15</v>
      </c>
      <c r="K378">
        <v>1061.82</v>
      </c>
    </row>
    <row r="379" spans="1:11" x14ac:dyDescent="0.35">
      <c r="A379" t="s">
        <v>657</v>
      </c>
      <c r="B379" s="1">
        <v>45518</v>
      </c>
      <c r="C379" t="s">
        <v>56</v>
      </c>
      <c r="D379" t="s">
        <v>42</v>
      </c>
      <c r="E379" t="s">
        <v>204</v>
      </c>
      <c r="F379" t="s">
        <v>44</v>
      </c>
      <c r="G379" t="s">
        <v>86</v>
      </c>
      <c r="H379">
        <v>12</v>
      </c>
      <c r="I379">
        <v>45.13</v>
      </c>
      <c r="J379">
        <v>0.05</v>
      </c>
      <c r="K379">
        <v>514.48</v>
      </c>
    </row>
    <row r="380" spans="1:11" x14ac:dyDescent="0.35">
      <c r="A380" t="s">
        <v>658</v>
      </c>
      <c r="B380" s="1">
        <v>45629</v>
      </c>
      <c r="C380" t="s">
        <v>18</v>
      </c>
      <c r="D380" t="s">
        <v>19</v>
      </c>
      <c r="E380" t="s">
        <v>659</v>
      </c>
      <c r="F380" t="s">
        <v>15</v>
      </c>
      <c r="G380" t="s">
        <v>74</v>
      </c>
      <c r="H380">
        <v>7</v>
      </c>
      <c r="I380">
        <v>80.31</v>
      </c>
      <c r="J380">
        <v>0.15</v>
      </c>
      <c r="K380">
        <v>477.84</v>
      </c>
    </row>
    <row r="381" spans="1:11" x14ac:dyDescent="0.35">
      <c r="A381" t="s">
        <v>660</v>
      </c>
      <c r="B381" s="1">
        <v>45318</v>
      </c>
      <c r="C381" t="s">
        <v>24</v>
      </c>
      <c r="D381" t="s">
        <v>13</v>
      </c>
      <c r="E381" t="s">
        <v>309</v>
      </c>
      <c r="F381" t="s">
        <v>35</v>
      </c>
      <c r="G381" t="s">
        <v>134</v>
      </c>
      <c r="H381">
        <v>10</v>
      </c>
      <c r="I381">
        <v>97.41</v>
      </c>
      <c r="J381">
        <v>0.1</v>
      </c>
      <c r="K381">
        <v>876.69</v>
      </c>
    </row>
    <row r="382" spans="1:11" x14ac:dyDescent="0.35">
      <c r="A382" t="s">
        <v>661</v>
      </c>
      <c r="B382" s="1">
        <v>45428</v>
      </c>
      <c r="C382" t="s">
        <v>56</v>
      </c>
      <c r="D382" t="s">
        <v>42</v>
      </c>
      <c r="E382" t="s">
        <v>34</v>
      </c>
      <c r="F382" t="s">
        <v>35</v>
      </c>
      <c r="G382" t="s">
        <v>134</v>
      </c>
      <c r="H382">
        <v>5</v>
      </c>
      <c r="I382">
        <v>163.28</v>
      </c>
      <c r="J382">
        <v>0.15</v>
      </c>
      <c r="K382">
        <v>693.94</v>
      </c>
    </row>
    <row r="383" spans="1:11" x14ac:dyDescent="0.35">
      <c r="A383" t="s">
        <v>662</v>
      </c>
      <c r="B383" s="1">
        <v>45388</v>
      </c>
      <c r="C383" t="s">
        <v>48</v>
      </c>
      <c r="D383" t="s">
        <v>13</v>
      </c>
      <c r="E383" t="s">
        <v>663</v>
      </c>
      <c r="F383" t="s">
        <v>21</v>
      </c>
      <c r="G383" t="s">
        <v>70</v>
      </c>
      <c r="H383">
        <v>3</v>
      </c>
      <c r="I383">
        <v>221.47</v>
      </c>
      <c r="J383">
        <v>0</v>
      </c>
      <c r="K383">
        <v>664.41</v>
      </c>
    </row>
    <row r="384" spans="1:11" x14ac:dyDescent="0.35">
      <c r="A384" t="s">
        <v>664</v>
      </c>
      <c r="B384" s="1">
        <v>45591</v>
      </c>
      <c r="C384" t="s">
        <v>12</v>
      </c>
      <c r="D384" t="s">
        <v>13</v>
      </c>
      <c r="E384" t="s">
        <v>221</v>
      </c>
      <c r="F384" t="s">
        <v>15</v>
      </c>
      <c r="G384" t="s">
        <v>111</v>
      </c>
      <c r="H384">
        <v>8</v>
      </c>
      <c r="I384">
        <v>6.38</v>
      </c>
      <c r="J384">
        <v>0.15</v>
      </c>
      <c r="K384">
        <v>43.38</v>
      </c>
    </row>
    <row r="385" spans="1:11" x14ac:dyDescent="0.35">
      <c r="A385" t="s">
        <v>665</v>
      </c>
      <c r="B385" s="1">
        <v>45533</v>
      </c>
      <c r="C385" t="s">
        <v>56</v>
      </c>
      <c r="D385" t="s">
        <v>25</v>
      </c>
      <c r="E385" t="s">
        <v>201</v>
      </c>
      <c r="F385" t="s">
        <v>44</v>
      </c>
      <c r="G385" t="s">
        <v>86</v>
      </c>
      <c r="H385">
        <v>1</v>
      </c>
      <c r="I385">
        <v>165.04</v>
      </c>
      <c r="J385">
        <v>0</v>
      </c>
      <c r="K385">
        <v>165.04</v>
      </c>
    </row>
    <row r="386" spans="1:11" x14ac:dyDescent="0.35">
      <c r="A386" t="s">
        <v>666</v>
      </c>
      <c r="B386" t="s">
        <v>667</v>
      </c>
      <c r="C386" t="s">
        <v>56</v>
      </c>
      <c r="D386" t="s">
        <v>57</v>
      </c>
      <c r="E386" t="s">
        <v>293</v>
      </c>
      <c r="F386" t="s">
        <v>44</v>
      </c>
      <c r="G386" t="s">
        <v>94</v>
      </c>
      <c r="H386">
        <v>2</v>
      </c>
      <c r="I386">
        <v>220.81</v>
      </c>
      <c r="J386">
        <v>0</v>
      </c>
      <c r="K386">
        <v>441.62</v>
      </c>
    </row>
    <row r="387" spans="1:11" x14ac:dyDescent="0.35">
      <c r="A387" t="s">
        <v>668</v>
      </c>
      <c r="B387" s="1">
        <v>45596</v>
      </c>
      <c r="C387" t="s">
        <v>33</v>
      </c>
      <c r="D387" t="s">
        <v>19</v>
      </c>
      <c r="E387" t="s">
        <v>20</v>
      </c>
      <c r="F387" t="s">
        <v>53</v>
      </c>
      <c r="G387" t="s">
        <v>54</v>
      </c>
      <c r="H387">
        <v>1</v>
      </c>
      <c r="I387">
        <v>85.71</v>
      </c>
      <c r="J387">
        <v>0.15</v>
      </c>
      <c r="K387">
        <v>72.849999999999994</v>
      </c>
    </row>
    <row r="388" spans="1:11" x14ac:dyDescent="0.35">
      <c r="A388" t="s">
        <v>669</v>
      </c>
      <c r="B388" s="1">
        <v>45598</v>
      </c>
      <c r="C388" t="s">
        <v>90</v>
      </c>
      <c r="D388" t="s">
        <v>25</v>
      </c>
      <c r="E388" t="s">
        <v>480</v>
      </c>
      <c r="F388" t="s">
        <v>44</v>
      </c>
      <c r="G388" t="s">
        <v>45</v>
      </c>
      <c r="H388">
        <v>2</v>
      </c>
      <c r="I388">
        <v>21.79</v>
      </c>
      <c r="J388">
        <v>0.15</v>
      </c>
      <c r="K388">
        <v>37.04</v>
      </c>
    </row>
    <row r="389" spans="1:11" x14ac:dyDescent="0.35">
      <c r="A389" t="s">
        <v>670</v>
      </c>
      <c r="B389" s="1">
        <v>45417</v>
      </c>
      <c r="C389" t="s">
        <v>41</v>
      </c>
      <c r="D389" t="s">
        <v>13</v>
      </c>
      <c r="E389" t="s">
        <v>468</v>
      </c>
      <c r="F389" t="s">
        <v>53</v>
      </c>
      <c r="G389" t="s">
        <v>54</v>
      </c>
      <c r="H389">
        <v>3</v>
      </c>
      <c r="I389">
        <v>200.33</v>
      </c>
      <c r="J389">
        <v>0.15</v>
      </c>
      <c r="K389">
        <v>510.84</v>
      </c>
    </row>
    <row r="390" spans="1:11" x14ac:dyDescent="0.35">
      <c r="A390" t="s">
        <v>671</v>
      </c>
      <c r="B390" s="1">
        <v>45474</v>
      </c>
      <c r="C390" t="s">
        <v>38</v>
      </c>
      <c r="D390" t="s">
        <v>19</v>
      </c>
      <c r="E390" t="s">
        <v>457</v>
      </c>
      <c r="F390" t="s">
        <v>15</v>
      </c>
      <c r="G390" t="s">
        <v>74</v>
      </c>
      <c r="H390">
        <v>6</v>
      </c>
      <c r="I390">
        <v>208.25</v>
      </c>
      <c r="J390">
        <v>0</v>
      </c>
      <c r="K390">
        <v>1249.5</v>
      </c>
    </row>
    <row r="391" spans="1:11" x14ac:dyDescent="0.35">
      <c r="A391" t="s">
        <v>672</v>
      </c>
      <c r="B391" s="1">
        <v>45643</v>
      </c>
      <c r="C391" t="s">
        <v>41</v>
      </c>
      <c r="D391" t="s">
        <v>19</v>
      </c>
      <c r="E391" t="s">
        <v>96</v>
      </c>
      <c r="F391" t="s">
        <v>44</v>
      </c>
      <c r="G391" t="s">
        <v>94</v>
      </c>
      <c r="H391">
        <v>6</v>
      </c>
      <c r="I391">
        <v>40.89</v>
      </c>
      <c r="J391">
        <v>0.05</v>
      </c>
      <c r="K391">
        <v>233.07</v>
      </c>
    </row>
    <row r="392" spans="1:11" x14ac:dyDescent="0.35">
      <c r="A392" t="s">
        <v>673</v>
      </c>
      <c r="B392" s="2">
        <v>45298</v>
      </c>
      <c r="C392" t="s">
        <v>33</v>
      </c>
      <c r="D392" t="s">
        <v>19</v>
      </c>
      <c r="E392" t="s">
        <v>674</v>
      </c>
      <c r="F392" t="s">
        <v>21</v>
      </c>
      <c r="G392" t="s">
        <v>129</v>
      </c>
      <c r="H392">
        <v>8</v>
      </c>
      <c r="I392">
        <v>126.92</v>
      </c>
      <c r="J392">
        <v>0.1</v>
      </c>
      <c r="K392">
        <v>913.82</v>
      </c>
    </row>
    <row r="393" spans="1:11" x14ac:dyDescent="0.35">
      <c r="A393" t="s">
        <v>675</v>
      </c>
      <c r="B393" s="1">
        <v>45565</v>
      </c>
      <c r="C393" t="s">
        <v>72</v>
      </c>
      <c r="D393" t="s">
        <v>19</v>
      </c>
      <c r="E393" t="s">
        <v>150</v>
      </c>
      <c r="F393" t="s">
        <v>53</v>
      </c>
      <c r="G393" t="s">
        <v>59</v>
      </c>
      <c r="H393">
        <v>1</v>
      </c>
      <c r="I393">
        <v>150.51</v>
      </c>
      <c r="J393">
        <v>0.15</v>
      </c>
      <c r="K393">
        <v>127.93</v>
      </c>
    </row>
    <row r="394" spans="1:11" x14ac:dyDescent="0.35">
      <c r="A394" t="s">
        <v>676</v>
      </c>
      <c r="B394" t="s">
        <v>677</v>
      </c>
      <c r="C394" t="s">
        <v>18</v>
      </c>
      <c r="D394" t="s">
        <v>13</v>
      </c>
      <c r="E394" t="s">
        <v>133</v>
      </c>
      <c r="F394" t="s">
        <v>53</v>
      </c>
      <c r="G394" t="s">
        <v>125</v>
      </c>
      <c r="H394">
        <v>5</v>
      </c>
      <c r="I394">
        <v>121.66</v>
      </c>
      <c r="J394">
        <v>0</v>
      </c>
      <c r="K394">
        <v>608.29999999999995</v>
      </c>
    </row>
    <row r="395" spans="1:11" x14ac:dyDescent="0.35">
      <c r="A395" t="s">
        <v>678</v>
      </c>
      <c r="B395" s="1">
        <v>45416</v>
      </c>
      <c r="C395" t="s">
        <v>18</v>
      </c>
      <c r="D395" t="s">
        <v>25</v>
      </c>
      <c r="E395" t="s">
        <v>679</v>
      </c>
      <c r="F395" t="s">
        <v>35</v>
      </c>
      <c r="G395" t="s">
        <v>67</v>
      </c>
      <c r="H395">
        <v>2</v>
      </c>
      <c r="I395">
        <v>73.88</v>
      </c>
      <c r="J395">
        <v>0</v>
      </c>
      <c r="K395">
        <v>147.76</v>
      </c>
    </row>
    <row r="396" spans="1:11" x14ac:dyDescent="0.35">
      <c r="A396" t="s">
        <v>680</v>
      </c>
      <c r="B396" s="1">
        <v>45536</v>
      </c>
      <c r="C396" t="s">
        <v>18</v>
      </c>
      <c r="D396" t="s">
        <v>42</v>
      </c>
      <c r="E396" t="s">
        <v>489</v>
      </c>
      <c r="F396" t="s">
        <v>44</v>
      </c>
      <c r="G396" t="s">
        <v>107</v>
      </c>
      <c r="H396">
        <v>7</v>
      </c>
      <c r="I396">
        <v>128.11000000000001</v>
      </c>
      <c r="J396">
        <v>0.15</v>
      </c>
      <c r="K396">
        <v>762.25</v>
      </c>
    </row>
    <row r="397" spans="1:11" x14ac:dyDescent="0.35">
      <c r="A397" t="s">
        <v>681</v>
      </c>
      <c r="B397" s="1">
        <v>45570</v>
      </c>
      <c r="C397" t="s">
        <v>24</v>
      </c>
      <c r="D397" t="s">
        <v>42</v>
      </c>
      <c r="E397" t="s">
        <v>106</v>
      </c>
      <c r="F397" t="s">
        <v>21</v>
      </c>
      <c r="G397" t="s">
        <v>22</v>
      </c>
      <c r="H397">
        <v>4</v>
      </c>
      <c r="I397">
        <v>118.74</v>
      </c>
      <c r="J397">
        <v>0</v>
      </c>
      <c r="K397">
        <v>474.96</v>
      </c>
    </row>
    <row r="398" spans="1:11" x14ac:dyDescent="0.35">
      <c r="A398" t="s">
        <v>682</v>
      </c>
      <c r="B398" s="2">
        <v>45551</v>
      </c>
      <c r="C398" t="s">
        <v>102</v>
      </c>
      <c r="D398" t="s">
        <v>42</v>
      </c>
      <c r="E398" t="s">
        <v>683</v>
      </c>
      <c r="F398" t="s">
        <v>44</v>
      </c>
      <c r="G398" t="s">
        <v>94</v>
      </c>
      <c r="H398">
        <v>10</v>
      </c>
      <c r="I398">
        <v>210.36</v>
      </c>
      <c r="J398">
        <v>0</v>
      </c>
      <c r="K398">
        <v>2103.6</v>
      </c>
    </row>
    <row r="399" spans="1:11" x14ac:dyDescent="0.35">
      <c r="A399" t="s">
        <v>684</v>
      </c>
      <c r="B399" s="1">
        <v>45521</v>
      </c>
      <c r="C399" t="s">
        <v>33</v>
      </c>
      <c r="D399" t="s">
        <v>42</v>
      </c>
      <c r="E399" t="s">
        <v>462</v>
      </c>
      <c r="F399" t="s">
        <v>53</v>
      </c>
      <c r="G399" t="s">
        <v>59</v>
      </c>
      <c r="H399">
        <v>1</v>
      </c>
      <c r="I399">
        <v>226.94</v>
      </c>
      <c r="J399">
        <v>0</v>
      </c>
      <c r="K399">
        <v>226.94</v>
      </c>
    </row>
    <row r="400" spans="1:11" x14ac:dyDescent="0.35">
      <c r="A400" t="s">
        <v>685</v>
      </c>
      <c r="B400" s="1">
        <v>45418</v>
      </c>
      <c r="C400" t="s">
        <v>38</v>
      </c>
      <c r="D400" t="s">
        <v>19</v>
      </c>
      <c r="E400" t="s">
        <v>311</v>
      </c>
      <c r="F400" t="s">
        <v>44</v>
      </c>
      <c r="G400" t="s">
        <v>50</v>
      </c>
      <c r="H400">
        <v>3</v>
      </c>
      <c r="I400">
        <v>25.1</v>
      </c>
      <c r="J400">
        <v>0.05</v>
      </c>
      <c r="K400">
        <v>71.540000000000006</v>
      </c>
    </row>
    <row r="401" spans="1:11" x14ac:dyDescent="0.35">
      <c r="A401" t="s">
        <v>686</v>
      </c>
      <c r="B401" s="1">
        <v>45425</v>
      </c>
      <c r="C401" t="s">
        <v>56</v>
      </c>
      <c r="D401" t="s">
        <v>19</v>
      </c>
      <c r="E401" t="s">
        <v>146</v>
      </c>
      <c r="F401" t="s">
        <v>35</v>
      </c>
      <c r="G401" t="s">
        <v>177</v>
      </c>
      <c r="H401">
        <v>8</v>
      </c>
      <c r="I401">
        <v>130.63999999999999</v>
      </c>
      <c r="J401">
        <v>0.05</v>
      </c>
      <c r="K401">
        <v>992.86</v>
      </c>
    </row>
    <row r="402" spans="1:11" x14ac:dyDescent="0.35">
      <c r="A402" t="s">
        <v>687</v>
      </c>
      <c r="B402" s="1">
        <v>45294</v>
      </c>
      <c r="C402" t="s">
        <v>18</v>
      </c>
      <c r="D402" t="s">
        <v>25</v>
      </c>
      <c r="E402" t="s">
        <v>595</v>
      </c>
      <c r="F402" t="s">
        <v>21</v>
      </c>
      <c r="G402" t="s">
        <v>167</v>
      </c>
      <c r="H402">
        <v>8</v>
      </c>
      <c r="I402">
        <v>31.38</v>
      </c>
      <c r="J402">
        <v>0</v>
      </c>
      <c r="K402">
        <v>251.04</v>
      </c>
    </row>
    <row r="403" spans="1:11" x14ac:dyDescent="0.35">
      <c r="A403" t="s">
        <v>688</v>
      </c>
      <c r="B403" t="s">
        <v>689</v>
      </c>
      <c r="C403" t="s">
        <v>18</v>
      </c>
      <c r="D403" t="s">
        <v>13</v>
      </c>
      <c r="E403" t="s">
        <v>39</v>
      </c>
      <c r="F403" t="s">
        <v>15</v>
      </c>
      <c r="G403" t="s">
        <v>16</v>
      </c>
      <c r="H403">
        <v>4</v>
      </c>
      <c r="I403">
        <v>217.74</v>
      </c>
      <c r="J403">
        <v>0</v>
      </c>
      <c r="K403">
        <v>870.96</v>
      </c>
    </row>
    <row r="404" spans="1:11" x14ac:dyDescent="0.35">
      <c r="A404" t="s">
        <v>690</v>
      </c>
      <c r="B404" s="2">
        <v>45346</v>
      </c>
      <c r="C404" t="s">
        <v>65</v>
      </c>
      <c r="D404" t="s">
        <v>13</v>
      </c>
      <c r="E404" t="s">
        <v>480</v>
      </c>
      <c r="F404" t="s">
        <v>53</v>
      </c>
      <c r="G404" t="s">
        <v>125</v>
      </c>
      <c r="H404">
        <v>1</v>
      </c>
      <c r="I404">
        <v>51.95</v>
      </c>
      <c r="J404">
        <v>0.1</v>
      </c>
      <c r="K404">
        <v>46.76</v>
      </c>
    </row>
    <row r="405" spans="1:11" x14ac:dyDescent="0.35">
      <c r="A405" t="s">
        <v>691</v>
      </c>
      <c r="B405" s="1">
        <v>45339</v>
      </c>
      <c r="C405" t="s">
        <v>48</v>
      </c>
      <c r="D405" t="s">
        <v>13</v>
      </c>
      <c r="E405" t="s">
        <v>66</v>
      </c>
      <c r="F405" t="s">
        <v>15</v>
      </c>
      <c r="G405" t="s">
        <v>74</v>
      </c>
      <c r="H405">
        <v>12</v>
      </c>
      <c r="I405">
        <v>145.29</v>
      </c>
      <c r="J405">
        <v>0</v>
      </c>
      <c r="K405">
        <v>1743.48</v>
      </c>
    </row>
    <row r="406" spans="1:11" x14ac:dyDescent="0.35">
      <c r="A406" t="s">
        <v>692</v>
      </c>
      <c r="B406" s="1">
        <v>45418</v>
      </c>
      <c r="C406" t="s">
        <v>12</v>
      </c>
      <c r="D406" t="s">
        <v>19</v>
      </c>
      <c r="E406" t="s">
        <v>693</v>
      </c>
      <c r="F406" t="s">
        <v>35</v>
      </c>
      <c r="G406" t="s">
        <v>36</v>
      </c>
      <c r="H406">
        <v>6</v>
      </c>
      <c r="I406">
        <v>121.03</v>
      </c>
      <c r="J406">
        <v>0</v>
      </c>
      <c r="K406">
        <v>726.18</v>
      </c>
    </row>
    <row r="407" spans="1:11" x14ac:dyDescent="0.35">
      <c r="A407" t="s">
        <v>694</v>
      </c>
      <c r="B407" s="1">
        <v>45575</v>
      </c>
      <c r="C407" t="s">
        <v>72</v>
      </c>
      <c r="D407" t="s">
        <v>25</v>
      </c>
      <c r="E407" t="s">
        <v>683</v>
      </c>
      <c r="F407" t="s">
        <v>21</v>
      </c>
      <c r="G407" t="s">
        <v>167</v>
      </c>
      <c r="H407">
        <v>1</v>
      </c>
      <c r="I407">
        <v>149.16999999999999</v>
      </c>
      <c r="J407">
        <v>0</v>
      </c>
      <c r="K407">
        <v>149.16999999999999</v>
      </c>
    </row>
    <row r="408" spans="1:11" x14ac:dyDescent="0.35">
      <c r="A408" t="s">
        <v>695</v>
      </c>
      <c r="B408" s="1">
        <v>45377</v>
      </c>
      <c r="C408" t="s">
        <v>48</v>
      </c>
      <c r="D408" t="s">
        <v>57</v>
      </c>
      <c r="E408" t="s">
        <v>696</v>
      </c>
      <c r="F408" t="s">
        <v>21</v>
      </c>
      <c r="G408" t="s">
        <v>70</v>
      </c>
      <c r="H408">
        <v>12</v>
      </c>
      <c r="I408">
        <v>113.56</v>
      </c>
      <c r="J408">
        <v>0</v>
      </c>
      <c r="K408">
        <v>1362.72</v>
      </c>
    </row>
    <row r="409" spans="1:11" x14ac:dyDescent="0.35">
      <c r="A409" t="s">
        <v>697</v>
      </c>
      <c r="B409" s="1">
        <v>45595</v>
      </c>
      <c r="C409" t="s">
        <v>18</v>
      </c>
      <c r="D409" t="s">
        <v>13</v>
      </c>
      <c r="E409" t="s">
        <v>176</v>
      </c>
      <c r="F409" t="s">
        <v>21</v>
      </c>
      <c r="G409" t="s">
        <v>129</v>
      </c>
      <c r="H409">
        <v>1</v>
      </c>
      <c r="I409">
        <v>93.43</v>
      </c>
      <c r="J409">
        <v>0.15</v>
      </c>
      <c r="K409">
        <v>79.42</v>
      </c>
    </row>
    <row r="410" spans="1:11" x14ac:dyDescent="0.35">
      <c r="A410" t="s">
        <v>698</v>
      </c>
      <c r="B410" s="2">
        <v>45531</v>
      </c>
      <c r="C410" t="s">
        <v>18</v>
      </c>
      <c r="D410" t="s">
        <v>25</v>
      </c>
      <c r="E410" t="s">
        <v>400</v>
      </c>
      <c r="F410" t="s">
        <v>21</v>
      </c>
      <c r="G410" t="s">
        <v>167</v>
      </c>
      <c r="H410">
        <v>4</v>
      </c>
      <c r="I410">
        <v>181.1</v>
      </c>
      <c r="J410">
        <v>0.05</v>
      </c>
      <c r="K410">
        <v>688.18</v>
      </c>
    </row>
    <row r="411" spans="1:11" x14ac:dyDescent="0.35">
      <c r="A411" t="s">
        <v>699</v>
      </c>
      <c r="B411" t="s">
        <v>601</v>
      </c>
      <c r="C411" t="s">
        <v>38</v>
      </c>
      <c r="D411" t="s">
        <v>13</v>
      </c>
      <c r="E411" t="s">
        <v>288</v>
      </c>
      <c r="F411" t="s">
        <v>44</v>
      </c>
      <c r="G411" t="s">
        <v>107</v>
      </c>
      <c r="H411">
        <v>12</v>
      </c>
      <c r="I411">
        <v>237.26</v>
      </c>
      <c r="J411">
        <v>0.15</v>
      </c>
      <c r="K411">
        <v>2420.0500000000002</v>
      </c>
    </row>
    <row r="412" spans="1:11" x14ac:dyDescent="0.35">
      <c r="A412" t="s">
        <v>700</v>
      </c>
      <c r="B412" s="1">
        <v>45326</v>
      </c>
      <c r="C412" t="s">
        <v>90</v>
      </c>
      <c r="D412" t="s">
        <v>13</v>
      </c>
      <c r="E412" t="s">
        <v>517</v>
      </c>
      <c r="F412" t="s">
        <v>44</v>
      </c>
      <c r="G412" t="s">
        <v>45</v>
      </c>
      <c r="H412">
        <v>6</v>
      </c>
      <c r="I412">
        <v>239.51</v>
      </c>
      <c r="J412">
        <v>0.05</v>
      </c>
      <c r="K412">
        <v>1365.21</v>
      </c>
    </row>
    <row r="413" spans="1:11" x14ac:dyDescent="0.35">
      <c r="A413" t="s">
        <v>701</v>
      </c>
      <c r="B413" s="1">
        <v>45298</v>
      </c>
      <c r="C413" t="s">
        <v>38</v>
      </c>
      <c r="D413" t="s">
        <v>13</v>
      </c>
      <c r="E413" t="s">
        <v>266</v>
      </c>
      <c r="F413" t="s">
        <v>15</v>
      </c>
      <c r="G413" t="s">
        <v>27</v>
      </c>
      <c r="H413">
        <v>7</v>
      </c>
      <c r="I413">
        <v>207.25</v>
      </c>
      <c r="J413">
        <v>0</v>
      </c>
      <c r="K413">
        <v>1450.75</v>
      </c>
    </row>
    <row r="414" spans="1:11" x14ac:dyDescent="0.35">
      <c r="A414" t="s">
        <v>702</v>
      </c>
      <c r="B414" s="2">
        <v>45465</v>
      </c>
      <c r="C414" t="s">
        <v>24</v>
      </c>
      <c r="D414" t="s">
        <v>57</v>
      </c>
      <c r="E414" t="s">
        <v>309</v>
      </c>
      <c r="F414" t="s">
        <v>35</v>
      </c>
      <c r="G414" t="s">
        <v>67</v>
      </c>
      <c r="H414">
        <v>7</v>
      </c>
      <c r="I414">
        <v>177.6</v>
      </c>
      <c r="J414">
        <v>0.15</v>
      </c>
      <c r="K414">
        <v>1056.72</v>
      </c>
    </row>
    <row r="415" spans="1:11" x14ac:dyDescent="0.35">
      <c r="A415" t="s">
        <v>703</v>
      </c>
      <c r="B415" s="1">
        <v>45528</v>
      </c>
      <c r="C415" t="s">
        <v>102</v>
      </c>
      <c r="D415" t="s">
        <v>13</v>
      </c>
      <c r="E415" t="s">
        <v>313</v>
      </c>
      <c r="F415" t="s">
        <v>21</v>
      </c>
      <c r="G415" t="s">
        <v>70</v>
      </c>
      <c r="H415">
        <v>6</v>
      </c>
      <c r="I415">
        <v>201.9</v>
      </c>
      <c r="J415">
        <v>0</v>
      </c>
      <c r="K415">
        <v>1211.4000000000001</v>
      </c>
    </row>
    <row r="416" spans="1:11" x14ac:dyDescent="0.35">
      <c r="A416" t="s">
        <v>704</v>
      </c>
      <c r="B416" t="s">
        <v>705</v>
      </c>
      <c r="C416" t="s">
        <v>12</v>
      </c>
      <c r="D416" t="s">
        <v>19</v>
      </c>
      <c r="E416" t="s">
        <v>360</v>
      </c>
      <c r="F416" t="s">
        <v>21</v>
      </c>
      <c r="G416" t="s">
        <v>129</v>
      </c>
      <c r="H416">
        <v>4</v>
      </c>
      <c r="I416">
        <v>10.8</v>
      </c>
      <c r="J416">
        <v>0.05</v>
      </c>
      <c r="K416">
        <v>41.04</v>
      </c>
    </row>
    <row r="417" spans="1:11" x14ac:dyDescent="0.35">
      <c r="A417" t="s">
        <v>706</v>
      </c>
      <c r="B417" t="s">
        <v>707</v>
      </c>
      <c r="C417" t="s">
        <v>90</v>
      </c>
      <c r="D417" t="s">
        <v>13</v>
      </c>
      <c r="E417" t="s">
        <v>124</v>
      </c>
      <c r="F417" t="s">
        <v>15</v>
      </c>
      <c r="G417" t="s">
        <v>74</v>
      </c>
      <c r="H417">
        <v>11</v>
      </c>
      <c r="I417">
        <v>127.33</v>
      </c>
      <c r="J417">
        <v>0.15</v>
      </c>
      <c r="K417">
        <v>1190.54</v>
      </c>
    </row>
    <row r="418" spans="1:11" x14ac:dyDescent="0.35">
      <c r="A418" t="s">
        <v>708</v>
      </c>
      <c r="B418" s="1">
        <v>45395</v>
      </c>
      <c r="C418" t="s">
        <v>56</v>
      </c>
      <c r="D418" t="s">
        <v>42</v>
      </c>
      <c r="E418" t="s">
        <v>219</v>
      </c>
      <c r="F418" t="s">
        <v>44</v>
      </c>
      <c r="G418" t="s">
        <v>86</v>
      </c>
      <c r="H418">
        <v>11</v>
      </c>
      <c r="I418">
        <v>69.75</v>
      </c>
      <c r="J418">
        <v>0.1</v>
      </c>
      <c r="K418">
        <v>690.52</v>
      </c>
    </row>
    <row r="419" spans="1:11" x14ac:dyDescent="0.35">
      <c r="A419" t="s">
        <v>709</v>
      </c>
      <c r="B419" s="1">
        <v>45332</v>
      </c>
      <c r="C419" t="s">
        <v>79</v>
      </c>
      <c r="D419" t="s">
        <v>13</v>
      </c>
      <c r="E419" t="s">
        <v>185</v>
      </c>
      <c r="F419" t="s">
        <v>15</v>
      </c>
      <c r="G419" t="s">
        <v>147</v>
      </c>
      <c r="H419">
        <v>2</v>
      </c>
      <c r="I419">
        <v>218.55</v>
      </c>
      <c r="J419">
        <v>0.05</v>
      </c>
      <c r="K419">
        <v>415.25</v>
      </c>
    </row>
    <row r="420" spans="1:11" x14ac:dyDescent="0.35">
      <c r="A420" t="s">
        <v>710</v>
      </c>
      <c r="B420" s="2">
        <v>45496</v>
      </c>
      <c r="C420" t="s">
        <v>24</v>
      </c>
      <c r="D420" t="s">
        <v>42</v>
      </c>
      <c r="E420" t="s">
        <v>711</v>
      </c>
      <c r="F420" t="s">
        <v>15</v>
      </c>
      <c r="G420" t="s">
        <v>147</v>
      </c>
      <c r="H420">
        <v>7</v>
      </c>
      <c r="I420">
        <v>71.599999999999994</v>
      </c>
      <c r="J420">
        <v>0.15</v>
      </c>
      <c r="K420">
        <v>426.02</v>
      </c>
    </row>
    <row r="421" spans="1:11" x14ac:dyDescent="0.35">
      <c r="A421" t="s">
        <v>712</v>
      </c>
      <c r="B421" s="1">
        <v>45493</v>
      </c>
      <c r="C421" t="s">
        <v>79</v>
      </c>
      <c r="D421" t="s">
        <v>57</v>
      </c>
      <c r="E421" t="s">
        <v>412</v>
      </c>
      <c r="F421" t="s">
        <v>53</v>
      </c>
      <c r="G421" t="s">
        <v>59</v>
      </c>
      <c r="H421">
        <v>2</v>
      </c>
      <c r="I421">
        <v>149.63</v>
      </c>
      <c r="J421">
        <v>0</v>
      </c>
      <c r="K421">
        <v>299.26</v>
      </c>
    </row>
    <row r="422" spans="1:11" x14ac:dyDescent="0.35">
      <c r="A422" t="s">
        <v>713</v>
      </c>
      <c r="B422" s="1">
        <v>45449</v>
      </c>
      <c r="C422" t="s">
        <v>41</v>
      </c>
      <c r="D422" t="s">
        <v>42</v>
      </c>
      <c r="E422" t="s">
        <v>480</v>
      </c>
      <c r="F422" t="s">
        <v>21</v>
      </c>
      <c r="G422" t="s">
        <v>129</v>
      </c>
      <c r="H422">
        <v>8</v>
      </c>
      <c r="I422">
        <v>183.89</v>
      </c>
      <c r="J422">
        <v>0</v>
      </c>
      <c r="K422">
        <v>1471.12</v>
      </c>
    </row>
    <row r="423" spans="1:11" x14ac:dyDescent="0.35">
      <c r="A423" t="s">
        <v>714</v>
      </c>
      <c r="B423" t="s">
        <v>192</v>
      </c>
      <c r="C423" t="s">
        <v>102</v>
      </c>
      <c r="D423" t="s">
        <v>13</v>
      </c>
      <c r="E423" t="s">
        <v>404</v>
      </c>
      <c r="F423" t="s">
        <v>15</v>
      </c>
      <c r="G423" t="s">
        <v>74</v>
      </c>
      <c r="H423">
        <v>9</v>
      </c>
      <c r="I423">
        <v>208.74</v>
      </c>
      <c r="J423">
        <v>0.1</v>
      </c>
      <c r="K423">
        <v>1690.79</v>
      </c>
    </row>
    <row r="424" spans="1:11" x14ac:dyDescent="0.35">
      <c r="A424" t="s">
        <v>715</v>
      </c>
      <c r="B424" s="1">
        <v>45550</v>
      </c>
      <c r="C424" t="s">
        <v>90</v>
      </c>
      <c r="D424" t="s">
        <v>42</v>
      </c>
      <c r="E424" t="s">
        <v>716</v>
      </c>
      <c r="F424" t="s">
        <v>35</v>
      </c>
      <c r="G424" t="s">
        <v>67</v>
      </c>
      <c r="H424">
        <v>9</v>
      </c>
      <c r="I424">
        <v>137.9</v>
      </c>
      <c r="J424">
        <v>0.1</v>
      </c>
      <c r="K424">
        <v>1116.99</v>
      </c>
    </row>
    <row r="425" spans="1:11" x14ac:dyDescent="0.35">
      <c r="A425" t="s">
        <v>717</v>
      </c>
      <c r="B425" t="s">
        <v>718</v>
      </c>
      <c r="C425" t="s">
        <v>102</v>
      </c>
      <c r="D425" t="s">
        <v>19</v>
      </c>
      <c r="E425" t="s">
        <v>139</v>
      </c>
      <c r="F425" t="s">
        <v>53</v>
      </c>
      <c r="G425" t="s">
        <v>63</v>
      </c>
      <c r="H425">
        <v>3</v>
      </c>
      <c r="I425">
        <v>217.7</v>
      </c>
      <c r="J425">
        <v>0</v>
      </c>
      <c r="K425">
        <v>653.1</v>
      </c>
    </row>
    <row r="426" spans="1:11" x14ac:dyDescent="0.35">
      <c r="A426" t="s">
        <v>719</v>
      </c>
      <c r="B426" s="1">
        <v>45483</v>
      </c>
      <c r="C426" t="s">
        <v>33</v>
      </c>
      <c r="D426" t="s">
        <v>13</v>
      </c>
      <c r="E426" t="s">
        <v>720</v>
      </c>
      <c r="F426" t="s">
        <v>35</v>
      </c>
      <c r="G426" t="s">
        <v>36</v>
      </c>
      <c r="H426">
        <v>10</v>
      </c>
      <c r="I426">
        <v>87.1</v>
      </c>
      <c r="J426">
        <v>0.05</v>
      </c>
      <c r="K426">
        <v>827.45</v>
      </c>
    </row>
    <row r="427" spans="1:11" x14ac:dyDescent="0.35">
      <c r="A427" t="s">
        <v>721</v>
      </c>
      <c r="B427" t="s">
        <v>722</v>
      </c>
      <c r="C427" t="s">
        <v>56</v>
      </c>
      <c r="D427" t="s">
        <v>13</v>
      </c>
      <c r="E427" t="s">
        <v>229</v>
      </c>
      <c r="F427" t="s">
        <v>21</v>
      </c>
      <c r="G427" t="s">
        <v>167</v>
      </c>
      <c r="H427">
        <v>6</v>
      </c>
      <c r="I427">
        <v>129.54</v>
      </c>
      <c r="J427">
        <v>0.1</v>
      </c>
      <c r="K427">
        <v>699.52</v>
      </c>
    </row>
    <row r="428" spans="1:11" x14ac:dyDescent="0.35">
      <c r="A428" t="s">
        <v>723</v>
      </c>
      <c r="B428" t="s">
        <v>724</v>
      </c>
      <c r="C428" t="s">
        <v>38</v>
      </c>
      <c r="D428" t="s">
        <v>42</v>
      </c>
      <c r="E428" t="s">
        <v>122</v>
      </c>
      <c r="F428" t="s">
        <v>15</v>
      </c>
      <c r="G428" t="s">
        <v>147</v>
      </c>
      <c r="H428">
        <v>4</v>
      </c>
      <c r="I428">
        <v>244.46</v>
      </c>
      <c r="J428">
        <v>0</v>
      </c>
      <c r="K428">
        <v>977.84</v>
      </c>
    </row>
    <row r="429" spans="1:11" x14ac:dyDescent="0.35">
      <c r="A429" t="s">
        <v>725</v>
      </c>
      <c r="B429" s="1">
        <v>45617</v>
      </c>
      <c r="C429" t="s">
        <v>12</v>
      </c>
      <c r="D429" t="s">
        <v>13</v>
      </c>
      <c r="E429" t="s">
        <v>448</v>
      </c>
      <c r="F429" t="s">
        <v>44</v>
      </c>
      <c r="G429" t="s">
        <v>50</v>
      </c>
      <c r="H429">
        <v>3</v>
      </c>
      <c r="I429">
        <v>156.62</v>
      </c>
      <c r="J429">
        <v>0.1</v>
      </c>
      <c r="K429">
        <v>422.87</v>
      </c>
    </row>
    <row r="430" spans="1:11" x14ac:dyDescent="0.35">
      <c r="A430" t="s">
        <v>726</v>
      </c>
      <c r="B430" t="s">
        <v>593</v>
      </c>
      <c r="C430" t="s">
        <v>72</v>
      </c>
      <c r="D430" t="s">
        <v>42</v>
      </c>
      <c r="E430" t="s">
        <v>34</v>
      </c>
      <c r="F430" t="s">
        <v>21</v>
      </c>
      <c r="G430" t="s">
        <v>70</v>
      </c>
      <c r="H430">
        <v>6</v>
      </c>
      <c r="I430">
        <v>104.22</v>
      </c>
      <c r="J430">
        <v>0</v>
      </c>
      <c r="K430">
        <v>625.32000000000005</v>
      </c>
    </row>
    <row r="431" spans="1:11" x14ac:dyDescent="0.35">
      <c r="A431" t="s">
        <v>727</v>
      </c>
      <c r="B431" s="1">
        <v>45577</v>
      </c>
      <c r="C431" t="s">
        <v>12</v>
      </c>
      <c r="D431" t="s">
        <v>57</v>
      </c>
      <c r="E431" t="s">
        <v>166</v>
      </c>
      <c r="F431" t="s">
        <v>53</v>
      </c>
      <c r="G431" t="s">
        <v>260</v>
      </c>
      <c r="H431">
        <v>10</v>
      </c>
      <c r="I431">
        <v>207.35</v>
      </c>
      <c r="J431">
        <v>0.1</v>
      </c>
      <c r="K431">
        <v>1866.15</v>
      </c>
    </row>
    <row r="432" spans="1:11" x14ac:dyDescent="0.35">
      <c r="A432" t="s">
        <v>728</v>
      </c>
      <c r="B432" s="1">
        <v>45651</v>
      </c>
      <c r="C432" t="s">
        <v>102</v>
      </c>
      <c r="D432" t="s">
        <v>25</v>
      </c>
      <c r="E432" t="s">
        <v>250</v>
      </c>
      <c r="F432" t="s">
        <v>15</v>
      </c>
      <c r="G432" t="s">
        <v>74</v>
      </c>
      <c r="H432">
        <v>2</v>
      </c>
      <c r="I432">
        <v>209.37</v>
      </c>
      <c r="J432">
        <v>0.05</v>
      </c>
      <c r="K432">
        <v>397.8</v>
      </c>
    </row>
    <row r="433" spans="1:11" x14ac:dyDescent="0.35">
      <c r="A433" t="s">
        <v>729</v>
      </c>
      <c r="B433" s="1">
        <v>45507</v>
      </c>
      <c r="C433" t="s">
        <v>79</v>
      </c>
      <c r="D433" t="s">
        <v>25</v>
      </c>
      <c r="E433" t="s">
        <v>517</v>
      </c>
      <c r="F433" t="s">
        <v>35</v>
      </c>
      <c r="G433" t="s">
        <v>67</v>
      </c>
      <c r="H433">
        <v>7</v>
      </c>
      <c r="I433">
        <v>209.6</v>
      </c>
      <c r="J433">
        <v>0.05</v>
      </c>
      <c r="K433">
        <v>1393.84</v>
      </c>
    </row>
    <row r="434" spans="1:11" x14ac:dyDescent="0.35">
      <c r="A434" t="s">
        <v>730</v>
      </c>
      <c r="B434" s="1">
        <v>45452</v>
      </c>
      <c r="C434" t="s">
        <v>38</v>
      </c>
      <c r="D434" t="s">
        <v>13</v>
      </c>
      <c r="E434" t="s">
        <v>731</v>
      </c>
      <c r="F434" t="s">
        <v>15</v>
      </c>
      <c r="G434" t="s">
        <v>111</v>
      </c>
      <c r="H434">
        <v>2</v>
      </c>
      <c r="I434">
        <v>63.45</v>
      </c>
      <c r="J434">
        <v>0</v>
      </c>
      <c r="K434">
        <v>126.9</v>
      </c>
    </row>
    <row r="435" spans="1:11" x14ac:dyDescent="0.35">
      <c r="A435" t="s">
        <v>732</v>
      </c>
      <c r="B435" s="1">
        <v>45572</v>
      </c>
      <c r="C435" t="s">
        <v>72</v>
      </c>
      <c r="D435" t="s">
        <v>25</v>
      </c>
      <c r="E435" t="s">
        <v>510</v>
      </c>
      <c r="F435" t="s">
        <v>44</v>
      </c>
      <c r="G435" t="s">
        <v>94</v>
      </c>
      <c r="H435">
        <v>10</v>
      </c>
      <c r="I435">
        <v>157.12</v>
      </c>
      <c r="J435">
        <v>0</v>
      </c>
      <c r="K435">
        <v>1571.2</v>
      </c>
    </row>
    <row r="436" spans="1:11" x14ac:dyDescent="0.35">
      <c r="A436" t="s">
        <v>733</v>
      </c>
      <c r="B436" s="1">
        <v>45312</v>
      </c>
      <c r="C436" t="s">
        <v>48</v>
      </c>
      <c r="D436" t="s">
        <v>25</v>
      </c>
      <c r="E436" t="s">
        <v>510</v>
      </c>
      <c r="F436" t="s">
        <v>53</v>
      </c>
      <c r="G436" t="s">
        <v>104</v>
      </c>
      <c r="H436">
        <v>10</v>
      </c>
      <c r="I436">
        <v>107.71</v>
      </c>
      <c r="J436">
        <v>0.1</v>
      </c>
      <c r="K436">
        <v>969.39</v>
      </c>
    </row>
    <row r="437" spans="1:11" x14ac:dyDescent="0.35">
      <c r="A437" t="s">
        <v>734</v>
      </c>
      <c r="B437" s="1">
        <v>45452</v>
      </c>
      <c r="C437" t="s">
        <v>56</v>
      </c>
      <c r="D437" t="s">
        <v>42</v>
      </c>
      <c r="E437" t="s">
        <v>348</v>
      </c>
      <c r="F437" t="s">
        <v>35</v>
      </c>
      <c r="G437" t="s">
        <v>177</v>
      </c>
      <c r="H437">
        <v>3</v>
      </c>
      <c r="I437">
        <v>96.7</v>
      </c>
      <c r="J437">
        <v>0.15</v>
      </c>
      <c r="K437">
        <v>246.59</v>
      </c>
    </row>
    <row r="438" spans="1:11" x14ac:dyDescent="0.35">
      <c r="A438" t="s">
        <v>735</v>
      </c>
      <c r="B438" s="1">
        <v>45292</v>
      </c>
      <c r="C438" t="s">
        <v>33</v>
      </c>
      <c r="D438" t="s">
        <v>13</v>
      </c>
      <c r="E438" t="s">
        <v>212</v>
      </c>
      <c r="F438" t="s">
        <v>44</v>
      </c>
      <c r="G438" t="s">
        <v>86</v>
      </c>
      <c r="H438">
        <v>8</v>
      </c>
      <c r="I438">
        <v>117.89</v>
      </c>
      <c r="J438">
        <v>0.15</v>
      </c>
      <c r="K438">
        <v>801.65</v>
      </c>
    </row>
    <row r="439" spans="1:11" x14ac:dyDescent="0.35">
      <c r="A439" t="s">
        <v>736</v>
      </c>
      <c r="B439" s="2">
        <v>45491</v>
      </c>
      <c r="C439" t="s">
        <v>41</v>
      </c>
      <c r="D439" t="s">
        <v>25</v>
      </c>
      <c r="E439" t="s">
        <v>506</v>
      </c>
      <c r="F439" t="s">
        <v>21</v>
      </c>
      <c r="G439" t="s">
        <v>194</v>
      </c>
      <c r="H439">
        <v>4</v>
      </c>
      <c r="I439">
        <v>153.77000000000001</v>
      </c>
      <c r="J439">
        <v>0</v>
      </c>
      <c r="K439">
        <v>615.08000000000004</v>
      </c>
    </row>
    <row r="440" spans="1:11" x14ac:dyDescent="0.35">
      <c r="A440" t="s">
        <v>737</v>
      </c>
      <c r="B440" s="1">
        <v>45349</v>
      </c>
      <c r="C440" t="s">
        <v>38</v>
      </c>
      <c r="D440" t="s">
        <v>42</v>
      </c>
      <c r="E440" t="s">
        <v>106</v>
      </c>
      <c r="F440" t="s">
        <v>21</v>
      </c>
      <c r="G440" t="s">
        <v>129</v>
      </c>
      <c r="H440">
        <v>10</v>
      </c>
      <c r="I440">
        <v>132.29</v>
      </c>
      <c r="J440">
        <v>0</v>
      </c>
      <c r="K440">
        <v>1322.9</v>
      </c>
    </row>
    <row r="441" spans="1:11" x14ac:dyDescent="0.35">
      <c r="A441" t="s">
        <v>738</v>
      </c>
      <c r="B441" t="s">
        <v>327</v>
      </c>
      <c r="C441" t="s">
        <v>33</v>
      </c>
      <c r="D441" t="s">
        <v>25</v>
      </c>
      <c r="E441" t="s">
        <v>642</v>
      </c>
      <c r="F441" t="s">
        <v>53</v>
      </c>
      <c r="G441" t="s">
        <v>59</v>
      </c>
      <c r="H441">
        <v>2</v>
      </c>
      <c r="I441">
        <v>107.61</v>
      </c>
      <c r="J441">
        <v>0.1</v>
      </c>
      <c r="K441">
        <v>193.7</v>
      </c>
    </row>
    <row r="442" spans="1:11" x14ac:dyDescent="0.35">
      <c r="A442" t="s">
        <v>739</v>
      </c>
      <c r="B442" t="s">
        <v>740</v>
      </c>
      <c r="C442" t="s">
        <v>41</v>
      </c>
      <c r="D442" t="s">
        <v>13</v>
      </c>
      <c r="E442" t="s">
        <v>26</v>
      </c>
      <c r="F442" t="s">
        <v>44</v>
      </c>
      <c r="G442" t="s">
        <v>94</v>
      </c>
      <c r="H442">
        <v>6</v>
      </c>
      <c r="I442">
        <v>33.64</v>
      </c>
      <c r="J442">
        <v>0.1</v>
      </c>
      <c r="K442">
        <v>181.66</v>
      </c>
    </row>
    <row r="443" spans="1:11" x14ac:dyDescent="0.35">
      <c r="A443" t="s">
        <v>741</v>
      </c>
      <c r="B443" s="1">
        <v>45621</v>
      </c>
      <c r="C443" t="s">
        <v>41</v>
      </c>
      <c r="D443" t="s">
        <v>25</v>
      </c>
      <c r="E443" t="s">
        <v>332</v>
      </c>
      <c r="F443" t="s">
        <v>35</v>
      </c>
      <c r="G443" t="s">
        <v>67</v>
      </c>
      <c r="H443">
        <v>3</v>
      </c>
      <c r="I443">
        <v>56.82</v>
      </c>
      <c r="J443">
        <v>0</v>
      </c>
      <c r="K443">
        <v>170.46</v>
      </c>
    </row>
    <row r="444" spans="1:11" x14ac:dyDescent="0.35">
      <c r="A444" t="s">
        <v>742</v>
      </c>
      <c r="B444" s="1">
        <v>45545</v>
      </c>
      <c r="C444" t="s">
        <v>38</v>
      </c>
      <c r="D444" t="s">
        <v>25</v>
      </c>
      <c r="E444" t="s">
        <v>282</v>
      </c>
      <c r="F444" t="s">
        <v>15</v>
      </c>
      <c r="G444" t="s">
        <v>147</v>
      </c>
      <c r="H444">
        <v>10</v>
      </c>
      <c r="I444">
        <v>157.36000000000001</v>
      </c>
      <c r="J444">
        <v>0.05</v>
      </c>
      <c r="K444">
        <v>1494.92</v>
      </c>
    </row>
    <row r="445" spans="1:11" x14ac:dyDescent="0.35">
      <c r="A445" t="s">
        <v>743</v>
      </c>
      <c r="B445" s="1">
        <v>45524</v>
      </c>
      <c r="C445" t="s">
        <v>24</v>
      </c>
      <c r="D445" t="s">
        <v>13</v>
      </c>
      <c r="E445" t="s">
        <v>52</v>
      </c>
      <c r="F445" t="s">
        <v>35</v>
      </c>
      <c r="G445" t="s">
        <v>134</v>
      </c>
      <c r="H445">
        <v>10</v>
      </c>
      <c r="I445">
        <v>142.24</v>
      </c>
      <c r="J445">
        <v>0.1</v>
      </c>
      <c r="K445">
        <v>1280.1600000000001</v>
      </c>
    </row>
    <row r="446" spans="1:11" x14ac:dyDescent="0.35">
      <c r="A446" t="s">
        <v>744</v>
      </c>
      <c r="B446" s="2">
        <v>45561</v>
      </c>
      <c r="C446" t="s">
        <v>12</v>
      </c>
      <c r="E446" t="s">
        <v>66</v>
      </c>
      <c r="F446" t="s">
        <v>44</v>
      </c>
      <c r="G446" t="s">
        <v>86</v>
      </c>
      <c r="H446">
        <v>11</v>
      </c>
      <c r="I446">
        <v>190.45</v>
      </c>
      <c r="J446">
        <v>0</v>
      </c>
      <c r="K446">
        <v>2094.9499999999998</v>
      </c>
    </row>
    <row r="447" spans="1:11" x14ac:dyDescent="0.35">
      <c r="A447" t="s">
        <v>745</v>
      </c>
      <c r="B447" s="2">
        <v>45532</v>
      </c>
      <c r="C447" t="s">
        <v>48</v>
      </c>
      <c r="D447" t="s">
        <v>25</v>
      </c>
      <c r="E447" t="s">
        <v>150</v>
      </c>
      <c r="F447" t="s">
        <v>53</v>
      </c>
      <c r="G447" t="s">
        <v>260</v>
      </c>
      <c r="H447">
        <v>7</v>
      </c>
      <c r="I447">
        <v>22.24</v>
      </c>
      <c r="J447">
        <v>0</v>
      </c>
      <c r="K447">
        <v>155.68</v>
      </c>
    </row>
    <row r="448" spans="1:11" x14ac:dyDescent="0.35">
      <c r="A448" t="s">
        <v>746</v>
      </c>
      <c r="B448" s="1">
        <v>45587</v>
      </c>
      <c r="C448" t="s">
        <v>90</v>
      </c>
      <c r="D448" t="s">
        <v>42</v>
      </c>
      <c r="E448" t="s">
        <v>457</v>
      </c>
      <c r="F448" t="s">
        <v>21</v>
      </c>
      <c r="G448" t="s">
        <v>167</v>
      </c>
      <c r="H448">
        <v>5</v>
      </c>
      <c r="I448">
        <v>140.55000000000001</v>
      </c>
      <c r="J448">
        <v>0.15</v>
      </c>
      <c r="K448">
        <v>597.34</v>
      </c>
    </row>
    <row r="449" spans="1:11" x14ac:dyDescent="0.35">
      <c r="A449" t="s">
        <v>747</v>
      </c>
      <c r="B449" s="1">
        <v>45294</v>
      </c>
      <c r="C449" t="s">
        <v>90</v>
      </c>
      <c r="D449" t="s">
        <v>25</v>
      </c>
      <c r="E449" t="s">
        <v>351</v>
      </c>
      <c r="F449" t="s">
        <v>35</v>
      </c>
      <c r="G449" t="s">
        <v>36</v>
      </c>
      <c r="H449">
        <v>11</v>
      </c>
      <c r="I449">
        <v>53.75</v>
      </c>
      <c r="J449">
        <v>0</v>
      </c>
      <c r="K449">
        <v>591.25</v>
      </c>
    </row>
    <row r="450" spans="1:11" x14ac:dyDescent="0.35">
      <c r="A450" t="s">
        <v>748</v>
      </c>
      <c r="B450" s="1">
        <v>45608</v>
      </c>
      <c r="C450" t="s">
        <v>48</v>
      </c>
      <c r="D450" t="s">
        <v>13</v>
      </c>
      <c r="E450" t="s">
        <v>385</v>
      </c>
      <c r="F450" t="s">
        <v>21</v>
      </c>
      <c r="G450" t="s">
        <v>70</v>
      </c>
      <c r="H450">
        <v>11</v>
      </c>
      <c r="I450">
        <v>130.18</v>
      </c>
      <c r="J450">
        <v>0.15</v>
      </c>
      <c r="K450">
        <v>1217.18</v>
      </c>
    </row>
    <row r="451" spans="1:11" x14ac:dyDescent="0.35">
      <c r="A451" t="s">
        <v>749</v>
      </c>
      <c r="B451" s="1">
        <v>45461</v>
      </c>
      <c r="C451" t="s">
        <v>90</v>
      </c>
      <c r="D451" t="s">
        <v>19</v>
      </c>
      <c r="E451" t="s">
        <v>508</v>
      </c>
      <c r="F451" t="s">
        <v>44</v>
      </c>
      <c r="G451" t="s">
        <v>94</v>
      </c>
      <c r="H451">
        <v>10</v>
      </c>
      <c r="I451">
        <v>245.08</v>
      </c>
      <c r="J451">
        <v>0</v>
      </c>
      <c r="K451">
        <v>2450.8000000000002</v>
      </c>
    </row>
    <row r="452" spans="1:11" x14ac:dyDescent="0.35">
      <c r="A452" t="s">
        <v>750</v>
      </c>
      <c r="B452" s="2">
        <v>45592</v>
      </c>
      <c r="C452" t="s">
        <v>56</v>
      </c>
      <c r="D452" t="s">
        <v>19</v>
      </c>
      <c r="E452" t="s">
        <v>751</v>
      </c>
      <c r="F452" t="s">
        <v>44</v>
      </c>
      <c r="G452" t="s">
        <v>50</v>
      </c>
      <c r="H452">
        <v>3</v>
      </c>
      <c r="I452">
        <v>106.43</v>
      </c>
      <c r="J452">
        <v>0</v>
      </c>
      <c r="K452">
        <v>319.29000000000002</v>
      </c>
    </row>
    <row r="453" spans="1:11" x14ac:dyDescent="0.35">
      <c r="A453" t="s">
        <v>752</v>
      </c>
      <c r="B453" s="2">
        <v>45308</v>
      </c>
      <c r="C453" t="s">
        <v>48</v>
      </c>
      <c r="D453" t="s">
        <v>19</v>
      </c>
      <c r="E453" t="s">
        <v>171</v>
      </c>
      <c r="F453" t="s">
        <v>44</v>
      </c>
      <c r="G453" t="s">
        <v>94</v>
      </c>
      <c r="H453">
        <v>8</v>
      </c>
      <c r="I453">
        <v>74.22</v>
      </c>
      <c r="J453">
        <v>0</v>
      </c>
      <c r="K453">
        <v>593.76</v>
      </c>
    </row>
    <row r="454" spans="1:11" x14ac:dyDescent="0.35">
      <c r="A454" t="s">
        <v>753</v>
      </c>
      <c r="B454" s="1">
        <v>45339</v>
      </c>
      <c r="C454" t="s">
        <v>79</v>
      </c>
      <c r="D454" t="s">
        <v>13</v>
      </c>
      <c r="E454" t="s">
        <v>88</v>
      </c>
      <c r="F454" t="s">
        <v>21</v>
      </c>
      <c r="G454" t="s">
        <v>70</v>
      </c>
      <c r="H454">
        <v>11</v>
      </c>
      <c r="I454">
        <v>132.72999999999999</v>
      </c>
      <c r="J454">
        <v>0</v>
      </c>
      <c r="K454">
        <v>1460.03</v>
      </c>
    </row>
    <row r="455" spans="1:11" x14ac:dyDescent="0.35">
      <c r="A455" t="s">
        <v>754</v>
      </c>
      <c r="B455" s="1">
        <v>45555</v>
      </c>
      <c r="C455" t="s">
        <v>48</v>
      </c>
      <c r="D455" t="s">
        <v>25</v>
      </c>
      <c r="E455" t="s">
        <v>304</v>
      </c>
      <c r="F455" t="s">
        <v>53</v>
      </c>
      <c r="G455" t="s">
        <v>59</v>
      </c>
      <c r="H455">
        <v>5</v>
      </c>
      <c r="I455">
        <v>191.32</v>
      </c>
      <c r="J455">
        <v>0.15</v>
      </c>
      <c r="K455">
        <v>813.11</v>
      </c>
    </row>
    <row r="456" spans="1:11" x14ac:dyDescent="0.35">
      <c r="A456" t="s">
        <v>755</v>
      </c>
      <c r="B456" s="2">
        <v>45392</v>
      </c>
      <c r="C456" t="s">
        <v>90</v>
      </c>
      <c r="D456" t="s">
        <v>25</v>
      </c>
      <c r="E456" t="s">
        <v>155</v>
      </c>
      <c r="F456" t="s">
        <v>21</v>
      </c>
      <c r="G456" t="s">
        <v>129</v>
      </c>
      <c r="H456">
        <v>1</v>
      </c>
      <c r="I456">
        <v>248.58</v>
      </c>
      <c r="J456">
        <v>0.15</v>
      </c>
      <c r="K456">
        <v>211.29</v>
      </c>
    </row>
    <row r="457" spans="1:11" x14ac:dyDescent="0.35">
      <c r="A457" t="s">
        <v>756</v>
      </c>
      <c r="B457" s="1">
        <v>45555</v>
      </c>
      <c r="C457" t="s">
        <v>18</v>
      </c>
      <c r="D457" t="s">
        <v>42</v>
      </c>
      <c r="E457" t="s">
        <v>241</v>
      </c>
      <c r="F457" t="s">
        <v>35</v>
      </c>
      <c r="G457" t="s">
        <v>83</v>
      </c>
      <c r="H457">
        <v>10</v>
      </c>
      <c r="I457">
        <v>104.34</v>
      </c>
      <c r="J457">
        <v>0</v>
      </c>
      <c r="K457">
        <v>1043.4000000000001</v>
      </c>
    </row>
    <row r="458" spans="1:11" x14ac:dyDescent="0.35">
      <c r="A458" t="s">
        <v>757</v>
      </c>
      <c r="B458" t="s">
        <v>758</v>
      </c>
      <c r="C458" t="s">
        <v>38</v>
      </c>
      <c r="D458" t="s">
        <v>13</v>
      </c>
      <c r="E458" t="s">
        <v>608</v>
      </c>
      <c r="F458" t="s">
        <v>15</v>
      </c>
      <c r="G458" t="s">
        <v>111</v>
      </c>
      <c r="H458">
        <v>8</v>
      </c>
      <c r="I458">
        <v>204.52</v>
      </c>
      <c r="J458">
        <v>0</v>
      </c>
      <c r="K458">
        <v>1636.16</v>
      </c>
    </row>
    <row r="459" spans="1:11" x14ac:dyDescent="0.35">
      <c r="A459" t="s">
        <v>759</v>
      </c>
      <c r="B459" s="1">
        <v>45362</v>
      </c>
      <c r="C459" t="s">
        <v>56</v>
      </c>
      <c r="D459" t="s">
        <v>19</v>
      </c>
      <c r="E459" t="s">
        <v>311</v>
      </c>
      <c r="F459" t="s">
        <v>44</v>
      </c>
      <c r="G459" t="s">
        <v>45</v>
      </c>
      <c r="H459">
        <v>5</v>
      </c>
      <c r="I459">
        <v>118.27</v>
      </c>
      <c r="J459">
        <v>0</v>
      </c>
      <c r="K459">
        <v>591.35</v>
      </c>
    </row>
    <row r="460" spans="1:11" x14ac:dyDescent="0.35">
      <c r="A460" t="s">
        <v>760</v>
      </c>
      <c r="B460" s="1">
        <v>45626</v>
      </c>
      <c r="C460" t="s">
        <v>24</v>
      </c>
      <c r="D460" t="s">
        <v>19</v>
      </c>
      <c r="E460" t="s">
        <v>586</v>
      </c>
      <c r="F460" t="s">
        <v>53</v>
      </c>
      <c r="G460" t="s">
        <v>63</v>
      </c>
      <c r="H460">
        <v>8</v>
      </c>
      <c r="I460">
        <v>74.88</v>
      </c>
      <c r="J460">
        <v>0</v>
      </c>
      <c r="K460">
        <v>599.04</v>
      </c>
    </row>
    <row r="461" spans="1:11" x14ac:dyDescent="0.35">
      <c r="A461" t="s">
        <v>761</v>
      </c>
      <c r="B461" s="1">
        <v>45605</v>
      </c>
      <c r="C461" t="s">
        <v>90</v>
      </c>
      <c r="D461" t="s">
        <v>19</v>
      </c>
      <c r="E461" t="s">
        <v>315</v>
      </c>
      <c r="F461" t="s">
        <v>15</v>
      </c>
      <c r="G461" t="s">
        <v>111</v>
      </c>
      <c r="H461">
        <v>7</v>
      </c>
      <c r="I461">
        <v>247.99</v>
      </c>
      <c r="J461">
        <v>0</v>
      </c>
      <c r="K461">
        <v>1735.93</v>
      </c>
    </row>
    <row r="462" spans="1:11" x14ac:dyDescent="0.35">
      <c r="A462" t="s">
        <v>762</v>
      </c>
      <c r="B462" s="1">
        <v>45412</v>
      </c>
      <c r="C462" t="s">
        <v>79</v>
      </c>
      <c r="D462" t="s">
        <v>19</v>
      </c>
      <c r="E462" t="s">
        <v>49</v>
      </c>
      <c r="F462" t="s">
        <v>21</v>
      </c>
      <c r="G462" t="s">
        <v>22</v>
      </c>
      <c r="H462">
        <v>9</v>
      </c>
      <c r="I462">
        <v>87.28</v>
      </c>
      <c r="J462">
        <v>0</v>
      </c>
      <c r="K462">
        <v>785.52</v>
      </c>
    </row>
    <row r="463" spans="1:11" x14ac:dyDescent="0.35">
      <c r="A463" t="s">
        <v>763</v>
      </c>
      <c r="B463" s="1">
        <v>45324</v>
      </c>
      <c r="C463" t="s">
        <v>72</v>
      </c>
      <c r="D463" t="s">
        <v>13</v>
      </c>
      <c r="E463" t="s">
        <v>415</v>
      </c>
      <c r="F463" t="s">
        <v>21</v>
      </c>
      <c r="G463" t="s">
        <v>70</v>
      </c>
      <c r="H463">
        <v>3</v>
      </c>
      <c r="I463">
        <v>54.04</v>
      </c>
      <c r="J463">
        <v>0.15</v>
      </c>
      <c r="K463">
        <v>137.80000000000001</v>
      </c>
    </row>
    <row r="464" spans="1:11" x14ac:dyDescent="0.35">
      <c r="A464" t="s">
        <v>764</v>
      </c>
      <c r="B464" s="1">
        <v>45336</v>
      </c>
      <c r="C464" t="s">
        <v>33</v>
      </c>
      <c r="D464" t="s">
        <v>25</v>
      </c>
      <c r="E464" t="s">
        <v>85</v>
      </c>
      <c r="F464" t="s">
        <v>21</v>
      </c>
      <c r="G464" t="s">
        <v>22</v>
      </c>
      <c r="H464">
        <v>5</v>
      </c>
      <c r="I464">
        <v>45.48</v>
      </c>
      <c r="J464">
        <v>0</v>
      </c>
      <c r="K464">
        <v>227.4</v>
      </c>
    </row>
    <row r="465" spans="1:11" x14ac:dyDescent="0.35">
      <c r="A465" t="s">
        <v>765</v>
      </c>
      <c r="B465" s="1">
        <v>45590</v>
      </c>
      <c r="C465" t="s">
        <v>56</v>
      </c>
      <c r="D465" t="s">
        <v>19</v>
      </c>
      <c r="E465" t="s">
        <v>370</v>
      </c>
      <c r="F465" t="s">
        <v>21</v>
      </c>
      <c r="G465" t="s">
        <v>194</v>
      </c>
      <c r="H465">
        <v>6</v>
      </c>
      <c r="I465">
        <v>69.08</v>
      </c>
      <c r="J465">
        <v>0.15</v>
      </c>
      <c r="K465">
        <v>352.31</v>
      </c>
    </row>
    <row r="466" spans="1:11" x14ac:dyDescent="0.35">
      <c r="A466" t="s">
        <v>766</v>
      </c>
      <c r="B466" s="1">
        <v>45391</v>
      </c>
      <c r="C466" t="s">
        <v>24</v>
      </c>
      <c r="D466" t="s">
        <v>57</v>
      </c>
      <c r="E466" t="s">
        <v>542</v>
      </c>
      <c r="F466" t="s">
        <v>21</v>
      </c>
      <c r="G466" t="s">
        <v>167</v>
      </c>
      <c r="H466">
        <v>6</v>
      </c>
      <c r="I466">
        <v>124.04</v>
      </c>
      <c r="J466">
        <v>0.1</v>
      </c>
      <c r="K466">
        <v>669.82</v>
      </c>
    </row>
    <row r="467" spans="1:11" x14ac:dyDescent="0.35">
      <c r="A467" t="s">
        <v>767</v>
      </c>
      <c r="B467" t="s">
        <v>667</v>
      </c>
      <c r="C467" t="s">
        <v>29</v>
      </c>
      <c r="D467" t="s">
        <v>42</v>
      </c>
      <c r="E467" t="s">
        <v>233</v>
      </c>
      <c r="F467" t="s">
        <v>15</v>
      </c>
      <c r="G467" t="s">
        <v>27</v>
      </c>
      <c r="H467">
        <v>6</v>
      </c>
      <c r="I467">
        <v>96.45</v>
      </c>
      <c r="J467">
        <v>0.15</v>
      </c>
      <c r="K467">
        <v>491.9</v>
      </c>
    </row>
    <row r="468" spans="1:11" x14ac:dyDescent="0.35">
      <c r="A468" t="s">
        <v>768</v>
      </c>
      <c r="B468" s="1">
        <v>45619</v>
      </c>
      <c r="C468" t="s">
        <v>48</v>
      </c>
      <c r="D468" t="s">
        <v>25</v>
      </c>
      <c r="E468" t="s">
        <v>769</v>
      </c>
      <c r="F468" t="s">
        <v>44</v>
      </c>
      <c r="G468" t="s">
        <v>94</v>
      </c>
      <c r="H468">
        <v>5</v>
      </c>
      <c r="I468">
        <v>58.47</v>
      </c>
      <c r="J468">
        <v>0</v>
      </c>
      <c r="K468">
        <v>292.35000000000002</v>
      </c>
    </row>
    <row r="469" spans="1:11" x14ac:dyDescent="0.35">
      <c r="A469" t="s">
        <v>770</v>
      </c>
      <c r="B469" s="2">
        <v>45504</v>
      </c>
      <c r="C469" t="s">
        <v>24</v>
      </c>
      <c r="D469" t="s">
        <v>25</v>
      </c>
      <c r="E469" t="s">
        <v>771</v>
      </c>
      <c r="F469" t="s">
        <v>53</v>
      </c>
      <c r="G469" t="s">
        <v>104</v>
      </c>
      <c r="H469">
        <v>11</v>
      </c>
      <c r="I469">
        <v>25.25</v>
      </c>
      <c r="J469">
        <v>0.1</v>
      </c>
      <c r="K469">
        <v>249.97</v>
      </c>
    </row>
    <row r="470" spans="1:11" x14ac:dyDescent="0.35">
      <c r="A470" t="s">
        <v>772</v>
      </c>
      <c r="B470" t="s">
        <v>773</v>
      </c>
      <c r="C470" t="s">
        <v>102</v>
      </c>
      <c r="D470" t="s">
        <v>13</v>
      </c>
      <c r="E470" t="s">
        <v>80</v>
      </c>
      <c r="F470" t="s">
        <v>44</v>
      </c>
      <c r="G470" t="s">
        <v>94</v>
      </c>
      <c r="H470">
        <v>8</v>
      </c>
      <c r="I470">
        <v>149.75</v>
      </c>
      <c r="J470">
        <v>0.15</v>
      </c>
      <c r="K470">
        <v>1018.3</v>
      </c>
    </row>
    <row r="471" spans="1:11" x14ac:dyDescent="0.35">
      <c r="A471" t="s">
        <v>774</v>
      </c>
      <c r="B471" s="1">
        <v>45475</v>
      </c>
      <c r="C471" t="s">
        <v>24</v>
      </c>
      <c r="D471" t="s">
        <v>57</v>
      </c>
      <c r="F471" t="s">
        <v>53</v>
      </c>
      <c r="G471" t="s">
        <v>54</v>
      </c>
      <c r="H471">
        <v>3</v>
      </c>
      <c r="I471">
        <v>128.94</v>
      </c>
      <c r="J471">
        <v>0</v>
      </c>
      <c r="K471">
        <v>386.82</v>
      </c>
    </row>
    <row r="472" spans="1:11" x14ac:dyDescent="0.35">
      <c r="A472" t="s">
        <v>775</v>
      </c>
      <c r="B472" t="s">
        <v>776</v>
      </c>
      <c r="C472" t="s">
        <v>56</v>
      </c>
      <c r="D472" t="s">
        <v>57</v>
      </c>
      <c r="E472" t="s">
        <v>160</v>
      </c>
      <c r="F472" t="s">
        <v>35</v>
      </c>
      <c r="G472" t="s">
        <v>83</v>
      </c>
      <c r="H472">
        <v>3</v>
      </c>
      <c r="I472">
        <v>166.1</v>
      </c>
      <c r="J472">
        <v>0.05</v>
      </c>
      <c r="K472">
        <v>473.38</v>
      </c>
    </row>
    <row r="473" spans="1:11" x14ac:dyDescent="0.35">
      <c r="A473" t="s">
        <v>777</v>
      </c>
      <c r="B473" s="1">
        <v>45475</v>
      </c>
      <c r="C473" t="s">
        <v>24</v>
      </c>
      <c r="D473" t="s">
        <v>19</v>
      </c>
      <c r="E473" t="s">
        <v>43</v>
      </c>
      <c r="F473" t="s">
        <v>15</v>
      </c>
      <c r="G473" t="s">
        <v>16</v>
      </c>
      <c r="H473">
        <v>4</v>
      </c>
      <c r="I473">
        <v>91.33</v>
      </c>
      <c r="J473">
        <v>0</v>
      </c>
      <c r="K473">
        <v>365.32</v>
      </c>
    </row>
    <row r="474" spans="1:11" x14ac:dyDescent="0.35">
      <c r="A474" t="s">
        <v>778</v>
      </c>
      <c r="B474" s="2">
        <v>45431</v>
      </c>
      <c r="C474" t="s">
        <v>48</v>
      </c>
      <c r="D474" t="s">
        <v>42</v>
      </c>
      <c r="E474" t="s">
        <v>171</v>
      </c>
      <c r="F474" t="s">
        <v>53</v>
      </c>
      <c r="G474" t="s">
        <v>63</v>
      </c>
      <c r="H474">
        <v>1</v>
      </c>
      <c r="I474">
        <v>51.01</v>
      </c>
      <c r="J474">
        <v>0</v>
      </c>
      <c r="K474">
        <v>51.01</v>
      </c>
    </row>
    <row r="475" spans="1:11" x14ac:dyDescent="0.35">
      <c r="A475" t="s">
        <v>779</v>
      </c>
      <c r="B475" t="s">
        <v>780</v>
      </c>
      <c r="C475" t="s">
        <v>65</v>
      </c>
      <c r="D475" t="s">
        <v>57</v>
      </c>
      <c r="E475" t="s">
        <v>468</v>
      </c>
      <c r="F475" t="s">
        <v>21</v>
      </c>
      <c r="G475" t="s">
        <v>70</v>
      </c>
      <c r="H475">
        <v>8</v>
      </c>
      <c r="I475">
        <v>34.49</v>
      </c>
      <c r="J475">
        <v>0.15</v>
      </c>
      <c r="K475">
        <v>234.53</v>
      </c>
    </row>
    <row r="476" spans="1:11" x14ac:dyDescent="0.35">
      <c r="A476" t="s">
        <v>781</v>
      </c>
      <c r="B476" s="1">
        <v>45436</v>
      </c>
      <c r="C476" t="s">
        <v>18</v>
      </c>
      <c r="D476" t="s">
        <v>25</v>
      </c>
      <c r="E476" t="s">
        <v>526</v>
      </c>
      <c r="F476" t="s">
        <v>44</v>
      </c>
      <c r="G476" t="s">
        <v>50</v>
      </c>
      <c r="H476">
        <v>6</v>
      </c>
      <c r="I476">
        <v>105.4</v>
      </c>
      <c r="J476">
        <v>0</v>
      </c>
      <c r="K476">
        <v>632.4</v>
      </c>
    </row>
    <row r="477" spans="1:11" x14ac:dyDescent="0.35">
      <c r="A477" t="s">
        <v>782</v>
      </c>
      <c r="B477" s="1">
        <v>45360</v>
      </c>
      <c r="C477" t="s">
        <v>29</v>
      </c>
      <c r="D477" t="s">
        <v>57</v>
      </c>
      <c r="E477" t="s">
        <v>693</v>
      </c>
      <c r="F477" t="s">
        <v>44</v>
      </c>
      <c r="G477" t="s">
        <v>50</v>
      </c>
      <c r="H477">
        <v>12</v>
      </c>
      <c r="I477">
        <v>50.91</v>
      </c>
      <c r="J477">
        <v>0</v>
      </c>
      <c r="K477">
        <v>610.91999999999996</v>
      </c>
    </row>
    <row r="478" spans="1:11" x14ac:dyDescent="0.35">
      <c r="A478" t="s">
        <v>783</v>
      </c>
      <c r="B478" t="s">
        <v>784</v>
      </c>
      <c r="C478" t="s">
        <v>24</v>
      </c>
      <c r="D478" t="s">
        <v>13</v>
      </c>
      <c r="E478" t="s">
        <v>39</v>
      </c>
      <c r="F478" t="s">
        <v>44</v>
      </c>
      <c r="G478" t="s">
        <v>86</v>
      </c>
      <c r="H478">
        <v>2</v>
      </c>
      <c r="I478">
        <v>80.39</v>
      </c>
      <c r="J478">
        <v>0</v>
      </c>
      <c r="K478">
        <v>160.78</v>
      </c>
    </row>
    <row r="479" spans="1:11" x14ac:dyDescent="0.35">
      <c r="A479" t="s">
        <v>785</v>
      </c>
      <c r="B479" s="1">
        <v>45536</v>
      </c>
      <c r="C479" t="s">
        <v>79</v>
      </c>
      <c r="D479" t="s">
        <v>19</v>
      </c>
      <c r="E479" t="s">
        <v>171</v>
      </c>
      <c r="F479" t="s">
        <v>44</v>
      </c>
      <c r="G479" t="s">
        <v>45</v>
      </c>
      <c r="H479">
        <v>1</v>
      </c>
      <c r="I479">
        <v>35.81</v>
      </c>
      <c r="J479">
        <v>0</v>
      </c>
      <c r="K479">
        <v>35.81</v>
      </c>
    </row>
    <row r="480" spans="1:11" x14ac:dyDescent="0.35">
      <c r="A480" t="s">
        <v>786</v>
      </c>
      <c r="B480" t="s">
        <v>724</v>
      </c>
      <c r="C480" t="s">
        <v>65</v>
      </c>
      <c r="D480" t="s">
        <v>19</v>
      </c>
      <c r="E480" t="s">
        <v>679</v>
      </c>
      <c r="F480" t="s">
        <v>44</v>
      </c>
      <c r="G480" t="s">
        <v>50</v>
      </c>
      <c r="H480">
        <v>2</v>
      </c>
      <c r="I480">
        <v>43.64</v>
      </c>
      <c r="J480">
        <v>0.15</v>
      </c>
      <c r="K480">
        <v>74.19</v>
      </c>
    </row>
    <row r="481" spans="1:11" x14ac:dyDescent="0.35">
      <c r="A481" t="s">
        <v>787</v>
      </c>
      <c r="B481" t="s">
        <v>375</v>
      </c>
      <c r="C481" t="s">
        <v>56</v>
      </c>
      <c r="D481" t="s">
        <v>42</v>
      </c>
      <c r="E481" t="s">
        <v>189</v>
      </c>
      <c r="F481" t="s">
        <v>53</v>
      </c>
      <c r="G481" t="s">
        <v>63</v>
      </c>
      <c r="H481">
        <v>4</v>
      </c>
      <c r="I481">
        <v>246.62</v>
      </c>
      <c r="J481">
        <v>0.15</v>
      </c>
      <c r="K481">
        <v>838.51</v>
      </c>
    </row>
    <row r="482" spans="1:11" x14ac:dyDescent="0.35">
      <c r="A482" t="s">
        <v>788</v>
      </c>
      <c r="B482" s="1">
        <v>45363</v>
      </c>
      <c r="C482" t="s">
        <v>102</v>
      </c>
      <c r="D482" t="s">
        <v>57</v>
      </c>
      <c r="E482" t="s">
        <v>166</v>
      </c>
      <c r="F482" t="s">
        <v>21</v>
      </c>
      <c r="G482" t="s">
        <v>129</v>
      </c>
      <c r="H482">
        <v>11</v>
      </c>
      <c r="I482">
        <v>98.46</v>
      </c>
      <c r="J482">
        <v>0</v>
      </c>
      <c r="K482">
        <v>1083.06</v>
      </c>
    </row>
    <row r="483" spans="1:11" x14ac:dyDescent="0.35">
      <c r="A483" t="s">
        <v>789</v>
      </c>
      <c r="B483" s="2">
        <v>45401</v>
      </c>
      <c r="C483" t="s">
        <v>29</v>
      </c>
      <c r="D483" t="s">
        <v>25</v>
      </c>
      <c r="E483" t="s">
        <v>137</v>
      </c>
      <c r="F483" t="s">
        <v>21</v>
      </c>
      <c r="G483" t="s">
        <v>194</v>
      </c>
      <c r="H483">
        <v>4</v>
      </c>
      <c r="I483">
        <v>110.38</v>
      </c>
      <c r="J483">
        <v>0</v>
      </c>
      <c r="K483">
        <v>441.52</v>
      </c>
    </row>
    <row r="484" spans="1:11" x14ac:dyDescent="0.35">
      <c r="A484" t="s">
        <v>790</v>
      </c>
      <c r="B484" s="1">
        <v>45470</v>
      </c>
      <c r="C484" t="s">
        <v>72</v>
      </c>
      <c r="D484" t="s">
        <v>13</v>
      </c>
      <c r="E484" t="s">
        <v>243</v>
      </c>
      <c r="F484" t="s">
        <v>53</v>
      </c>
      <c r="G484" t="s">
        <v>260</v>
      </c>
      <c r="H484">
        <v>12</v>
      </c>
      <c r="I484">
        <v>114.47</v>
      </c>
      <c r="J484">
        <v>0.05</v>
      </c>
      <c r="K484">
        <v>1304.96</v>
      </c>
    </row>
    <row r="485" spans="1:11" x14ac:dyDescent="0.35">
      <c r="A485" t="s">
        <v>791</v>
      </c>
      <c r="B485" s="1">
        <v>45399</v>
      </c>
      <c r="C485" t="s">
        <v>90</v>
      </c>
      <c r="D485" t="s">
        <v>13</v>
      </c>
      <c r="E485" t="s">
        <v>246</v>
      </c>
      <c r="F485" t="s">
        <v>44</v>
      </c>
      <c r="G485" t="s">
        <v>94</v>
      </c>
      <c r="H485">
        <v>11</v>
      </c>
      <c r="I485">
        <v>173.22</v>
      </c>
      <c r="J485">
        <v>0</v>
      </c>
      <c r="K485">
        <v>1905.42</v>
      </c>
    </row>
    <row r="486" spans="1:11" x14ac:dyDescent="0.35">
      <c r="A486" t="s">
        <v>792</v>
      </c>
      <c r="B486" s="1">
        <v>45302</v>
      </c>
      <c r="C486" t="s">
        <v>90</v>
      </c>
      <c r="D486" t="s">
        <v>42</v>
      </c>
      <c r="E486" t="s">
        <v>659</v>
      </c>
      <c r="F486" t="s">
        <v>53</v>
      </c>
      <c r="G486" t="s">
        <v>59</v>
      </c>
      <c r="H486">
        <v>2</v>
      </c>
      <c r="I486">
        <v>143.94999999999999</v>
      </c>
      <c r="J486">
        <v>0</v>
      </c>
      <c r="K486">
        <v>287.89999999999998</v>
      </c>
    </row>
    <row r="487" spans="1:11" x14ac:dyDescent="0.35">
      <c r="A487" t="s">
        <v>793</v>
      </c>
      <c r="B487" s="1">
        <v>45385</v>
      </c>
      <c r="C487" t="s">
        <v>38</v>
      </c>
      <c r="E487" t="s">
        <v>474</v>
      </c>
      <c r="F487" t="s">
        <v>53</v>
      </c>
      <c r="G487" t="s">
        <v>63</v>
      </c>
      <c r="H487">
        <v>1</v>
      </c>
      <c r="I487">
        <v>40.020000000000003</v>
      </c>
      <c r="J487">
        <v>0</v>
      </c>
      <c r="K487">
        <v>40.020000000000003</v>
      </c>
    </row>
    <row r="488" spans="1:11" x14ac:dyDescent="0.35">
      <c r="A488" t="s">
        <v>794</v>
      </c>
      <c r="B488" s="1">
        <v>45469</v>
      </c>
      <c r="C488" t="s">
        <v>41</v>
      </c>
      <c r="D488" t="s">
        <v>13</v>
      </c>
      <c r="E488" t="s">
        <v>193</v>
      </c>
      <c r="F488" t="s">
        <v>35</v>
      </c>
      <c r="G488" t="s">
        <v>67</v>
      </c>
      <c r="H488">
        <v>2</v>
      </c>
      <c r="I488">
        <v>46.13</v>
      </c>
      <c r="J488">
        <v>0.15</v>
      </c>
      <c r="K488">
        <v>78.42</v>
      </c>
    </row>
    <row r="489" spans="1:11" x14ac:dyDescent="0.35">
      <c r="A489" t="s">
        <v>795</v>
      </c>
      <c r="B489" s="1">
        <v>45449</v>
      </c>
      <c r="C489" t="s">
        <v>38</v>
      </c>
      <c r="D489" t="s">
        <v>42</v>
      </c>
      <c r="E489" t="s">
        <v>683</v>
      </c>
      <c r="F489" t="s">
        <v>15</v>
      </c>
      <c r="G489" t="s">
        <v>27</v>
      </c>
      <c r="H489">
        <v>4</v>
      </c>
      <c r="I489">
        <v>55.27</v>
      </c>
      <c r="J489">
        <v>0.05</v>
      </c>
      <c r="K489">
        <v>210.03</v>
      </c>
    </row>
    <row r="490" spans="1:11" x14ac:dyDescent="0.35">
      <c r="A490" t="s">
        <v>796</v>
      </c>
      <c r="B490" s="1">
        <v>45621</v>
      </c>
      <c r="C490" t="s">
        <v>18</v>
      </c>
      <c r="D490" t="s">
        <v>57</v>
      </c>
      <c r="E490" t="s">
        <v>110</v>
      </c>
      <c r="F490" t="s">
        <v>35</v>
      </c>
      <c r="G490" t="s">
        <v>134</v>
      </c>
      <c r="H490">
        <v>11</v>
      </c>
      <c r="I490">
        <v>86.45</v>
      </c>
      <c r="J490">
        <v>0</v>
      </c>
      <c r="K490">
        <v>950.95</v>
      </c>
    </row>
    <row r="491" spans="1:11" x14ac:dyDescent="0.35">
      <c r="A491" t="s">
        <v>797</v>
      </c>
      <c r="B491" s="2">
        <v>45625</v>
      </c>
      <c r="C491" t="s">
        <v>38</v>
      </c>
      <c r="D491" t="s">
        <v>19</v>
      </c>
      <c r="E491" t="s">
        <v>288</v>
      </c>
      <c r="F491" t="s">
        <v>21</v>
      </c>
      <c r="G491" t="s">
        <v>129</v>
      </c>
      <c r="H491">
        <v>11</v>
      </c>
      <c r="I491">
        <v>130.75</v>
      </c>
      <c r="J491">
        <v>0</v>
      </c>
      <c r="K491">
        <v>1438.25</v>
      </c>
    </row>
    <row r="492" spans="1:11" x14ac:dyDescent="0.35">
      <c r="A492" t="s">
        <v>798</v>
      </c>
      <c r="B492" t="s">
        <v>277</v>
      </c>
      <c r="C492" t="s">
        <v>79</v>
      </c>
      <c r="D492" t="s">
        <v>57</v>
      </c>
      <c r="E492" t="s">
        <v>542</v>
      </c>
      <c r="F492" t="s">
        <v>21</v>
      </c>
      <c r="G492" t="s">
        <v>194</v>
      </c>
      <c r="H492">
        <v>2</v>
      </c>
      <c r="I492">
        <v>129.36000000000001</v>
      </c>
      <c r="J492">
        <v>0</v>
      </c>
      <c r="K492">
        <v>258.72000000000003</v>
      </c>
    </row>
    <row r="493" spans="1:11" x14ac:dyDescent="0.35">
      <c r="A493" t="s">
        <v>799</v>
      </c>
      <c r="B493" s="2">
        <v>45400</v>
      </c>
      <c r="C493" t="s">
        <v>29</v>
      </c>
      <c r="D493" t="s">
        <v>57</v>
      </c>
      <c r="E493" t="s">
        <v>150</v>
      </c>
      <c r="F493" t="s">
        <v>53</v>
      </c>
      <c r="G493" t="s">
        <v>59</v>
      </c>
      <c r="H493">
        <v>9</v>
      </c>
      <c r="I493">
        <v>235.32</v>
      </c>
      <c r="J493">
        <v>0</v>
      </c>
      <c r="K493">
        <v>2117.88</v>
      </c>
    </row>
    <row r="494" spans="1:11" x14ac:dyDescent="0.35">
      <c r="A494" t="s">
        <v>800</v>
      </c>
      <c r="B494" s="2">
        <v>45353</v>
      </c>
      <c r="C494" t="s">
        <v>90</v>
      </c>
      <c r="D494" t="s">
        <v>13</v>
      </c>
      <c r="E494" t="s">
        <v>460</v>
      </c>
      <c r="F494" t="s">
        <v>21</v>
      </c>
      <c r="G494" t="s">
        <v>129</v>
      </c>
      <c r="H494">
        <v>9</v>
      </c>
      <c r="I494">
        <v>69.53</v>
      </c>
      <c r="J494">
        <v>0.15</v>
      </c>
      <c r="K494">
        <v>531.9</v>
      </c>
    </row>
    <row r="495" spans="1:11" x14ac:dyDescent="0.35">
      <c r="A495" t="s">
        <v>801</v>
      </c>
      <c r="B495" s="2">
        <v>45450</v>
      </c>
      <c r="C495" t="s">
        <v>102</v>
      </c>
      <c r="D495" t="s">
        <v>13</v>
      </c>
      <c r="E495" t="s">
        <v>439</v>
      </c>
      <c r="F495" t="s">
        <v>53</v>
      </c>
      <c r="G495" t="s">
        <v>54</v>
      </c>
      <c r="H495">
        <v>11</v>
      </c>
      <c r="I495">
        <v>205.38</v>
      </c>
      <c r="J495">
        <v>0.05</v>
      </c>
      <c r="K495">
        <v>2146.2199999999998</v>
      </c>
    </row>
    <row r="496" spans="1:11" x14ac:dyDescent="0.35">
      <c r="A496" t="s">
        <v>802</v>
      </c>
      <c r="B496" s="2">
        <v>45301</v>
      </c>
      <c r="C496" t="s">
        <v>65</v>
      </c>
      <c r="D496" t="s">
        <v>42</v>
      </c>
      <c r="E496" t="s">
        <v>176</v>
      </c>
      <c r="F496" t="s">
        <v>53</v>
      </c>
      <c r="G496" t="s">
        <v>260</v>
      </c>
      <c r="H496">
        <v>11</v>
      </c>
      <c r="I496">
        <v>41.47</v>
      </c>
      <c r="J496">
        <v>0</v>
      </c>
      <c r="K496">
        <v>456.17</v>
      </c>
    </row>
    <row r="497" spans="1:11" x14ac:dyDescent="0.35">
      <c r="A497" t="s">
        <v>803</v>
      </c>
      <c r="B497" t="s">
        <v>804</v>
      </c>
      <c r="C497" t="s">
        <v>18</v>
      </c>
      <c r="D497" t="s">
        <v>13</v>
      </c>
      <c r="E497" t="s">
        <v>176</v>
      </c>
      <c r="F497" t="s">
        <v>53</v>
      </c>
      <c r="G497" t="s">
        <v>260</v>
      </c>
      <c r="H497">
        <v>2</v>
      </c>
      <c r="I497">
        <v>189.97</v>
      </c>
      <c r="J497">
        <v>0</v>
      </c>
      <c r="K497">
        <v>379.94</v>
      </c>
    </row>
    <row r="498" spans="1:11" x14ac:dyDescent="0.35">
      <c r="A498" t="s">
        <v>805</v>
      </c>
      <c r="B498" s="2">
        <v>45550</v>
      </c>
      <c r="C498" t="s">
        <v>24</v>
      </c>
      <c r="D498" t="s">
        <v>25</v>
      </c>
      <c r="E498" t="s">
        <v>429</v>
      </c>
      <c r="F498" t="s">
        <v>35</v>
      </c>
      <c r="G498" t="s">
        <v>67</v>
      </c>
      <c r="H498">
        <v>8</v>
      </c>
      <c r="I498">
        <v>105.24</v>
      </c>
      <c r="J498">
        <v>0.05</v>
      </c>
      <c r="K498">
        <v>799.82</v>
      </c>
    </row>
    <row r="499" spans="1:11" x14ac:dyDescent="0.35">
      <c r="A499" t="s">
        <v>806</v>
      </c>
      <c r="B499" s="2">
        <v>45376</v>
      </c>
      <c r="C499" t="s">
        <v>90</v>
      </c>
      <c r="D499" t="s">
        <v>13</v>
      </c>
      <c r="E499" t="s">
        <v>124</v>
      </c>
      <c r="F499" t="s">
        <v>35</v>
      </c>
      <c r="G499" t="s">
        <v>177</v>
      </c>
      <c r="H499">
        <v>7</v>
      </c>
      <c r="I499">
        <v>7.41</v>
      </c>
      <c r="J499">
        <v>0</v>
      </c>
      <c r="K499">
        <v>51.87</v>
      </c>
    </row>
    <row r="500" spans="1:11" x14ac:dyDescent="0.35">
      <c r="A500" t="s">
        <v>807</v>
      </c>
      <c r="B500" s="1">
        <v>45458</v>
      </c>
      <c r="C500" t="s">
        <v>24</v>
      </c>
      <c r="D500" t="s">
        <v>42</v>
      </c>
      <c r="E500" t="s">
        <v>286</v>
      </c>
      <c r="F500" t="s">
        <v>15</v>
      </c>
      <c r="G500" t="s">
        <v>147</v>
      </c>
      <c r="H500">
        <v>10</v>
      </c>
      <c r="I500">
        <v>160.82</v>
      </c>
      <c r="J500">
        <v>0</v>
      </c>
      <c r="K500">
        <v>1608.2</v>
      </c>
    </row>
    <row r="501" spans="1:11" x14ac:dyDescent="0.35">
      <c r="A501" t="s">
        <v>808</v>
      </c>
      <c r="B501" s="1">
        <v>45303</v>
      </c>
      <c r="C501" t="s">
        <v>56</v>
      </c>
      <c r="D501" t="s">
        <v>57</v>
      </c>
      <c r="E501" t="s">
        <v>642</v>
      </c>
      <c r="F501" t="s">
        <v>44</v>
      </c>
      <c r="G501" t="s">
        <v>45</v>
      </c>
      <c r="H501">
        <v>4</v>
      </c>
      <c r="I501">
        <v>110.37</v>
      </c>
      <c r="J501">
        <v>0.05</v>
      </c>
      <c r="K501">
        <v>419.41</v>
      </c>
    </row>
    <row r="502" spans="1:11" x14ac:dyDescent="0.35">
      <c r="A502" t="s">
        <v>809</v>
      </c>
      <c r="B502" s="1">
        <v>45564</v>
      </c>
      <c r="C502" t="s">
        <v>102</v>
      </c>
      <c r="D502" t="s">
        <v>42</v>
      </c>
      <c r="E502" t="s">
        <v>810</v>
      </c>
      <c r="F502" t="s">
        <v>21</v>
      </c>
      <c r="G502" t="s">
        <v>194</v>
      </c>
      <c r="H502">
        <v>6</v>
      </c>
      <c r="I502">
        <v>118</v>
      </c>
      <c r="J502">
        <v>0.15</v>
      </c>
      <c r="K502">
        <v>601.79999999999995</v>
      </c>
    </row>
    <row r="503" spans="1:11" x14ac:dyDescent="0.35">
      <c r="A503" t="s">
        <v>811</v>
      </c>
      <c r="B503" s="1">
        <v>45611</v>
      </c>
      <c r="C503" t="s">
        <v>56</v>
      </c>
      <c r="D503" t="s">
        <v>25</v>
      </c>
      <c r="E503" t="s">
        <v>477</v>
      </c>
      <c r="F503" t="s">
        <v>44</v>
      </c>
      <c r="G503" t="s">
        <v>94</v>
      </c>
      <c r="H503">
        <v>10</v>
      </c>
      <c r="I503">
        <v>232.14</v>
      </c>
      <c r="J503">
        <v>0.1</v>
      </c>
      <c r="K503">
        <v>2089.2600000000002</v>
      </c>
    </row>
    <row r="504" spans="1:11" x14ac:dyDescent="0.35">
      <c r="A504" t="s">
        <v>812</v>
      </c>
      <c r="B504" s="2">
        <v>45649</v>
      </c>
      <c r="C504" t="s">
        <v>102</v>
      </c>
      <c r="D504" t="s">
        <v>57</v>
      </c>
      <c r="E504" t="s">
        <v>82</v>
      </c>
      <c r="F504" t="s">
        <v>44</v>
      </c>
      <c r="G504" t="s">
        <v>86</v>
      </c>
      <c r="H504">
        <v>11</v>
      </c>
      <c r="I504">
        <v>97.52</v>
      </c>
      <c r="J504">
        <v>0.1</v>
      </c>
      <c r="K504">
        <v>965.45</v>
      </c>
    </row>
    <row r="505" spans="1:11" x14ac:dyDescent="0.35">
      <c r="A505" t="s">
        <v>813</v>
      </c>
      <c r="B505" t="s">
        <v>192</v>
      </c>
      <c r="C505" t="s">
        <v>90</v>
      </c>
      <c r="D505" t="s">
        <v>57</v>
      </c>
      <c r="E505" t="s">
        <v>394</v>
      </c>
      <c r="F505" t="s">
        <v>21</v>
      </c>
      <c r="G505" t="s">
        <v>22</v>
      </c>
      <c r="H505">
        <v>0</v>
      </c>
      <c r="I505">
        <v>149.99</v>
      </c>
      <c r="J505">
        <v>0</v>
      </c>
      <c r="K505">
        <v>1499.9</v>
      </c>
    </row>
    <row r="506" spans="1:11" x14ac:dyDescent="0.35">
      <c r="A506" t="s">
        <v>814</v>
      </c>
      <c r="B506" s="2">
        <v>45620</v>
      </c>
      <c r="C506" t="s">
        <v>72</v>
      </c>
      <c r="D506" t="s">
        <v>13</v>
      </c>
      <c r="E506" t="s">
        <v>139</v>
      </c>
      <c r="F506" t="s">
        <v>35</v>
      </c>
      <c r="G506" t="s">
        <v>177</v>
      </c>
      <c r="H506">
        <v>12</v>
      </c>
      <c r="I506">
        <v>215.74</v>
      </c>
      <c r="J506">
        <v>0.1</v>
      </c>
      <c r="K506">
        <v>2329.9899999999998</v>
      </c>
    </row>
    <row r="507" spans="1:11" x14ac:dyDescent="0.35">
      <c r="A507" t="s">
        <v>815</v>
      </c>
      <c r="B507" s="1">
        <v>45571</v>
      </c>
      <c r="C507" t="s">
        <v>24</v>
      </c>
      <c r="D507" t="s">
        <v>25</v>
      </c>
      <c r="E507" t="s">
        <v>445</v>
      </c>
      <c r="F507" t="s">
        <v>15</v>
      </c>
      <c r="G507" t="s">
        <v>27</v>
      </c>
      <c r="H507">
        <v>4</v>
      </c>
      <c r="I507">
        <v>197.54</v>
      </c>
      <c r="J507">
        <v>0</v>
      </c>
      <c r="K507">
        <v>790.16</v>
      </c>
    </row>
    <row r="508" spans="1:11" x14ac:dyDescent="0.35">
      <c r="A508" t="s">
        <v>816</v>
      </c>
      <c r="B508" s="2">
        <v>45621</v>
      </c>
      <c r="C508" t="s">
        <v>41</v>
      </c>
      <c r="D508" t="s">
        <v>19</v>
      </c>
      <c r="E508" t="s">
        <v>508</v>
      </c>
      <c r="F508" t="s">
        <v>35</v>
      </c>
      <c r="G508" t="s">
        <v>83</v>
      </c>
      <c r="H508">
        <v>6</v>
      </c>
      <c r="I508">
        <v>197.52</v>
      </c>
      <c r="J508">
        <v>0.15</v>
      </c>
      <c r="K508">
        <v>1007.35</v>
      </c>
    </row>
    <row r="509" spans="1:11" x14ac:dyDescent="0.35">
      <c r="A509" t="s">
        <v>817</v>
      </c>
      <c r="B509" s="1">
        <v>45557</v>
      </c>
      <c r="C509" t="s">
        <v>102</v>
      </c>
      <c r="D509" t="s">
        <v>19</v>
      </c>
      <c r="E509" t="s">
        <v>20</v>
      </c>
      <c r="F509" t="s">
        <v>15</v>
      </c>
      <c r="G509" t="s">
        <v>74</v>
      </c>
      <c r="H509">
        <v>12</v>
      </c>
      <c r="I509">
        <v>201.28</v>
      </c>
      <c r="J509">
        <v>0.05</v>
      </c>
      <c r="K509">
        <v>2294.59</v>
      </c>
    </row>
    <row r="510" spans="1:11" x14ac:dyDescent="0.35">
      <c r="A510" t="s">
        <v>818</v>
      </c>
      <c r="B510" s="2">
        <v>45358</v>
      </c>
      <c r="C510" t="s">
        <v>102</v>
      </c>
      <c r="D510" t="s">
        <v>25</v>
      </c>
      <c r="E510" t="s">
        <v>155</v>
      </c>
      <c r="F510" t="s">
        <v>15</v>
      </c>
      <c r="G510" t="s">
        <v>147</v>
      </c>
      <c r="H510">
        <v>11</v>
      </c>
      <c r="I510">
        <v>198.13</v>
      </c>
      <c r="J510">
        <v>0</v>
      </c>
      <c r="K510">
        <v>2179.4299999999998</v>
      </c>
    </row>
    <row r="511" spans="1:11" x14ac:dyDescent="0.35">
      <c r="A511" t="s">
        <v>819</v>
      </c>
      <c r="B511" s="2">
        <v>45626</v>
      </c>
      <c r="C511" t="s">
        <v>33</v>
      </c>
      <c r="D511" t="s">
        <v>42</v>
      </c>
      <c r="E511" t="s">
        <v>155</v>
      </c>
      <c r="F511" t="s">
        <v>44</v>
      </c>
      <c r="G511" t="s">
        <v>107</v>
      </c>
      <c r="H511">
        <v>5</v>
      </c>
      <c r="I511">
        <v>196.04</v>
      </c>
      <c r="J511">
        <v>0</v>
      </c>
      <c r="K511">
        <v>980.2</v>
      </c>
    </row>
    <row r="512" spans="1:11" x14ac:dyDescent="0.35">
      <c r="A512" t="s">
        <v>820</v>
      </c>
      <c r="B512" s="1">
        <v>45391</v>
      </c>
      <c r="C512" t="s">
        <v>102</v>
      </c>
      <c r="D512" t="s">
        <v>19</v>
      </c>
      <c r="E512" t="s">
        <v>404</v>
      </c>
      <c r="F512" t="s">
        <v>15</v>
      </c>
      <c r="G512" t="s">
        <v>74</v>
      </c>
      <c r="H512">
        <v>3</v>
      </c>
      <c r="I512">
        <v>225.14</v>
      </c>
      <c r="J512">
        <v>0.1</v>
      </c>
      <c r="K512">
        <v>607.88</v>
      </c>
    </row>
    <row r="513" spans="1:11" x14ac:dyDescent="0.35">
      <c r="A513" t="s">
        <v>821</v>
      </c>
      <c r="B513" s="2">
        <v>45460</v>
      </c>
      <c r="C513" t="s">
        <v>56</v>
      </c>
      <c r="D513" t="s">
        <v>19</v>
      </c>
      <c r="E513" t="s">
        <v>521</v>
      </c>
      <c r="F513" t="s">
        <v>53</v>
      </c>
      <c r="G513" t="s">
        <v>125</v>
      </c>
      <c r="H513">
        <v>12</v>
      </c>
      <c r="I513">
        <v>202.43</v>
      </c>
      <c r="J513">
        <v>0</v>
      </c>
      <c r="K513">
        <v>2429.16</v>
      </c>
    </row>
    <row r="514" spans="1:11" x14ac:dyDescent="0.35">
      <c r="A514" t="s">
        <v>822</v>
      </c>
      <c r="B514" s="1">
        <v>45294</v>
      </c>
      <c r="C514" t="s">
        <v>33</v>
      </c>
      <c r="D514" t="s">
        <v>57</v>
      </c>
      <c r="E514" t="s">
        <v>131</v>
      </c>
      <c r="F514" t="s">
        <v>53</v>
      </c>
      <c r="G514" t="s">
        <v>54</v>
      </c>
      <c r="H514">
        <v>11</v>
      </c>
      <c r="I514">
        <v>233.42</v>
      </c>
      <c r="J514">
        <v>0.1</v>
      </c>
      <c r="K514">
        <v>2310.86</v>
      </c>
    </row>
    <row r="515" spans="1:11" x14ac:dyDescent="0.35">
      <c r="A515" t="s">
        <v>823</v>
      </c>
      <c r="B515" s="1">
        <v>45618</v>
      </c>
      <c r="C515" t="s">
        <v>24</v>
      </c>
      <c r="D515" t="s">
        <v>42</v>
      </c>
      <c r="E515" t="s">
        <v>420</v>
      </c>
      <c r="F515" t="s">
        <v>35</v>
      </c>
      <c r="G515" t="s">
        <v>134</v>
      </c>
      <c r="H515">
        <v>4</v>
      </c>
      <c r="I515">
        <v>31.54</v>
      </c>
      <c r="J515">
        <v>0.05</v>
      </c>
      <c r="K515">
        <v>119.85</v>
      </c>
    </row>
    <row r="516" spans="1:11" x14ac:dyDescent="0.35">
      <c r="A516" t="s">
        <v>824</v>
      </c>
      <c r="B516" s="1">
        <v>45599</v>
      </c>
      <c r="C516" t="s">
        <v>29</v>
      </c>
      <c r="D516" t="s">
        <v>13</v>
      </c>
      <c r="E516" t="s">
        <v>825</v>
      </c>
      <c r="F516" t="s">
        <v>35</v>
      </c>
      <c r="G516" t="s">
        <v>36</v>
      </c>
      <c r="H516">
        <v>4</v>
      </c>
      <c r="I516">
        <v>149.84</v>
      </c>
      <c r="J516">
        <v>0.1</v>
      </c>
      <c r="K516">
        <v>539.41999999999996</v>
      </c>
    </row>
    <row r="517" spans="1:11" x14ac:dyDescent="0.35">
      <c r="A517" t="s">
        <v>826</v>
      </c>
      <c r="B517" s="1">
        <v>45451</v>
      </c>
      <c r="C517" t="s">
        <v>90</v>
      </c>
      <c r="D517" t="s">
        <v>42</v>
      </c>
      <c r="E517" t="s">
        <v>468</v>
      </c>
      <c r="F517" t="s">
        <v>15</v>
      </c>
      <c r="G517" t="s">
        <v>27</v>
      </c>
      <c r="H517">
        <v>2</v>
      </c>
      <c r="I517">
        <v>90.09</v>
      </c>
      <c r="J517">
        <v>0.15</v>
      </c>
      <c r="K517">
        <v>153.15</v>
      </c>
    </row>
    <row r="518" spans="1:11" x14ac:dyDescent="0.35">
      <c r="A518" t="s">
        <v>827</v>
      </c>
      <c r="B518" s="1">
        <v>45355</v>
      </c>
      <c r="C518" t="s">
        <v>24</v>
      </c>
      <c r="D518" t="s">
        <v>25</v>
      </c>
      <c r="E518" t="s">
        <v>201</v>
      </c>
      <c r="F518" t="s">
        <v>35</v>
      </c>
      <c r="G518" t="s">
        <v>134</v>
      </c>
      <c r="H518">
        <v>3</v>
      </c>
      <c r="I518">
        <v>25.55</v>
      </c>
      <c r="J518">
        <v>0</v>
      </c>
      <c r="K518">
        <v>76.650000000000006</v>
      </c>
    </row>
    <row r="519" spans="1:11" x14ac:dyDescent="0.35">
      <c r="A519" t="s">
        <v>828</v>
      </c>
      <c r="B519" s="1">
        <v>45611</v>
      </c>
      <c r="C519" t="s">
        <v>56</v>
      </c>
      <c r="D519" t="s">
        <v>13</v>
      </c>
      <c r="E519" t="s">
        <v>243</v>
      </c>
      <c r="F519" t="s">
        <v>53</v>
      </c>
      <c r="G519" t="s">
        <v>59</v>
      </c>
      <c r="H519">
        <v>10</v>
      </c>
      <c r="I519">
        <v>180.84</v>
      </c>
      <c r="J519">
        <v>0</v>
      </c>
      <c r="K519">
        <v>1808.4</v>
      </c>
    </row>
    <row r="520" spans="1:11" x14ac:dyDescent="0.35">
      <c r="A520" t="s">
        <v>829</v>
      </c>
      <c r="B520" s="2">
        <v>45598</v>
      </c>
      <c r="C520" t="s">
        <v>33</v>
      </c>
      <c r="D520" t="s">
        <v>42</v>
      </c>
      <c r="E520" t="s">
        <v>368</v>
      </c>
      <c r="F520" t="s">
        <v>35</v>
      </c>
      <c r="G520" t="s">
        <v>134</v>
      </c>
      <c r="H520">
        <v>10</v>
      </c>
      <c r="I520">
        <v>192.82</v>
      </c>
      <c r="J520">
        <v>0.05</v>
      </c>
      <c r="K520">
        <v>1831.79</v>
      </c>
    </row>
    <row r="521" spans="1:11" x14ac:dyDescent="0.35">
      <c r="A521" t="s">
        <v>830</v>
      </c>
      <c r="B521" t="s">
        <v>375</v>
      </c>
      <c r="C521" t="s">
        <v>56</v>
      </c>
      <c r="D521" t="s">
        <v>25</v>
      </c>
      <c r="E521" t="s">
        <v>656</v>
      </c>
      <c r="F521" t="s">
        <v>21</v>
      </c>
      <c r="G521" t="s">
        <v>167</v>
      </c>
      <c r="H521">
        <v>5</v>
      </c>
      <c r="I521">
        <v>230.21</v>
      </c>
      <c r="J521">
        <v>0</v>
      </c>
      <c r="K521">
        <v>1151.05</v>
      </c>
    </row>
    <row r="522" spans="1:11" x14ac:dyDescent="0.35">
      <c r="A522" t="s">
        <v>831</v>
      </c>
      <c r="B522" s="1">
        <v>45581</v>
      </c>
      <c r="C522" t="s">
        <v>18</v>
      </c>
      <c r="D522" t="s">
        <v>19</v>
      </c>
      <c r="E522" t="s">
        <v>296</v>
      </c>
      <c r="F522" t="s">
        <v>15</v>
      </c>
      <c r="G522" t="s">
        <v>111</v>
      </c>
      <c r="H522">
        <v>1</v>
      </c>
      <c r="I522">
        <v>221.4</v>
      </c>
      <c r="J522">
        <v>0.15</v>
      </c>
      <c r="K522">
        <v>188.19</v>
      </c>
    </row>
    <row r="523" spans="1:11" x14ac:dyDescent="0.35">
      <c r="A523" t="s">
        <v>832</v>
      </c>
      <c r="B523" s="1">
        <v>45306</v>
      </c>
      <c r="C523" t="s">
        <v>48</v>
      </c>
      <c r="D523" t="s">
        <v>19</v>
      </c>
      <c r="E523" t="s">
        <v>833</v>
      </c>
      <c r="F523" t="s">
        <v>44</v>
      </c>
      <c r="G523" t="s">
        <v>45</v>
      </c>
      <c r="H523">
        <v>12</v>
      </c>
      <c r="I523">
        <v>59.48</v>
      </c>
      <c r="J523">
        <v>0</v>
      </c>
      <c r="K523">
        <v>713.76</v>
      </c>
    </row>
    <row r="524" spans="1:11" x14ac:dyDescent="0.35">
      <c r="A524" t="s">
        <v>834</v>
      </c>
      <c r="B524" s="1">
        <v>45622</v>
      </c>
      <c r="C524" t="s">
        <v>102</v>
      </c>
      <c r="D524" t="s">
        <v>57</v>
      </c>
      <c r="E524" t="s">
        <v>835</v>
      </c>
      <c r="F524" t="s">
        <v>53</v>
      </c>
      <c r="G524" t="s">
        <v>260</v>
      </c>
      <c r="H524">
        <v>9</v>
      </c>
      <c r="I524">
        <v>155.68</v>
      </c>
      <c r="J524">
        <v>0.05</v>
      </c>
      <c r="K524">
        <v>1331.06</v>
      </c>
    </row>
    <row r="525" spans="1:11" x14ac:dyDescent="0.35">
      <c r="A525" t="s">
        <v>836</v>
      </c>
      <c r="B525" s="1">
        <v>45563</v>
      </c>
      <c r="C525" t="s">
        <v>41</v>
      </c>
      <c r="D525" t="s">
        <v>13</v>
      </c>
      <c r="E525" t="s">
        <v>180</v>
      </c>
      <c r="F525" t="s">
        <v>35</v>
      </c>
      <c r="G525" t="s">
        <v>83</v>
      </c>
      <c r="H525">
        <v>6</v>
      </c>
      <c r="I525">
        <v>79.489999999999995</v>
      </c>
      <c r="J525">
        <v>0.05</v>
      </c>
      <c r="K525">
        <v>453.09</v>
      </c>
    </row>
    <row r="526" spans="1:11" x14ac:dyDescent="0.35">
      <c r="A526" t="s">
        <v>837</v>
      </c>
      <c r="B526" s="2">
        <v>45422</v>
      </c>
      <c r="C526" t="s">
        <v>90</v>
      </c>
      <c r="D526" t="s">
        <v>42</v>
      </c>
      <c r="E526" t="s">
        <v>521</v>
      </c>
      <c r="F526" t="s">
        <v>15</v>
      </c>
      <c r="G526" t="s">
        <v>74</v>
      </c>
      <c r="H526">
        <v>2</v>
      </c>
      <c r="I526">
        <v>5.36</v>
      </c>
      <c r="J526">
        <v>0.05</v>
      </c>
      <c r="K526">
        <v>10.18</v>
      </c>
    </row>
    <row r="527" spans="1:11" x14ac:dyDescent="0.35">
      <c r="A527" t="s">
        <v>838</v>
      </c>
      <c r="B527" s="1">
        <v>45577</v>
      </c>
      <c r="C527" t="s">
        <v>18</v>
      </c>
      <c r="D527" t="s">
        <v>13</v>
      </c>
      <c r="E527" t="s">
        <v>221</v>
      </c>
      <c r="F527" t="s">
        <v>15</v>
      </c>
      <c r="G527" t="s">
        <v>16</v>
      </c>
      <c r="H527">
        <v>6</v>
      </c>
      <c r="I527">
        <v>186.47</v>
      </c>
      <c r="J527">
        <v>0</v>
      </c>
      <c r="K527">
        <v>1118.82</v>
      </c>
    </row>
    <row r="528" spans="1:11" x14ac:dyDescent="0.35">
      <c r="A528" t="s">
        <v>839</v>
      </c>
      <c r="B528" s="1">
        <v>45337</v>
      </c>
      <c r="C528" t="s">
        <v>79</v>
      </c>
      <c r="D528" t="s">
        <v>57</v>
      </c>
      <c r="E528" t="s">
        <v>503</v>
      </c>
      <c r="F528" t="s">
        <v>15</v>
      </c>
      <c r="G528" t="s">
        <v>111</v>
      </c>
      <c r="H528">
        <v>7</v>
      </c>
      <c r="I528">
        <v>155.97999999999999</v>
      </c>
      <c r="J528">
        <v>0</v>
      </c>
      <c r="K528">
        <v>1091.8599999999999</v>
      </c>
    </row>
    <row r="529" spans="1:11" x14ac:dyDescent="0.35">
      <c r="A529" t="s">
        <v>840</v>
      </c>
      <c r="B529" s="1">
        <v>45420</v>
      </c>
      <c r="C529" t="s">
        <v>38</v>
      </c>
      <c r="D529" t="s">
        <v>19</v>
      </c>
      <c r="E529" t="s">
        <v>339</v>
      </c>
      <c r="F529" t="s">
        <v>15</v>
      </c>
      <c r="G529" t="s">
        <v>74</v>
      </c>
      <c r="H529">
        <v>11</v>
      </c>
      <c r="I529">
        <v>96.1</v>
      </c>
      <c r="J529">
        <v>0</v>
      </c>
      <c r="K529">
        <v>1057.0999999999999</v>
      </c>
    </row>
    <row r="530" spans="1:11" x14ac:dyDescent="0.35">
      <c r="A530" t="s">
        <v>841</v>
      </c>
      <c r="B530" s="1">
        <v>45454</v>
      </c>
      <c r="C530" t="s">
        <v>41</v>
      </c>
      <c r="D530" t="s">
        <v>19</v>
      </c>
      <c r="E530" t="s">
        <v>842</v>
      </c>
      <c r="F530" t="s">
        <v>15</v>
      </c>
      <c r="G530" t="s">
        <v>27</v>
      </c>
      <c r="H530">
        <v>4</v>
      </c>
      <c r="I530">
        <v>49.74</v>
      </c>
      <c r="J530">
        <v>0.1</v>
      </c>
      <c r="K530">
        <v>179.06</v>
      </c>
    </row>
    <row r="531" spans="1:11" x14ac:dyDescent="0.35">
      <c r="A531" t="s">
        <v>843</v>
      </c>
      <c r="B531" s="2">
        <v>45341</v>
      </c>
      <c r="C531" t="s">
        <v>65</v>
      </c>
      <c r="D531" t="s">
        <v>42</v>
      </c>
      <c r="E531" t="s">
        <v>381</v>
      </c>
      <c r="F531" t="s">
        <v>44</v>
      </c>
      <c r="G531" t="s">
        <v>86</v>
      </c>
      <c r="H531">
        <v>10</v>
      </c>
      <c r="I531">
        <v>62.11</v>
      </c>
      <c r="J531">
        <v>0.15</v>
      </c>
      <c r="K531">
        <v>527.94000000000005</v>
      </c>
    </row>
    <row r="532" spans="1:11" x14ac:dyDescent="0.35">
      <c r="A532" t="s">
        <v>844</v>
      </c>
      <c r="B532" s="2">
        <v>45414</v>
      </c>
      <c r="C532" t="s">
        <v>38</v>
      </c>
      <c r="D532" t="s">
        <v>25</v>
      </c>
      <c r="E532" t="s">
        <v>321</v>
      </c>
      <c r="F532" t="s">
        <v>53</v>
      </c>
      <c r="G532" t="s">
        <v>59</v>
      </c>
      <c r="H532">
        <v>2</v>
      </c>
      <c r="I532">
        <v>111.66</v>
      </c>
      <c r="J532">
        <v>0.15</v>
      </c>
      <c r="K532">
        <v>189.82</v>
      </c>
    </row>
    <row r="533" spans="1:11" x14ac:dyDescent="0.35">
      <c r="A533" t="s">
        <v>845</v>
      </c>
      <c r="B533" s="2">
        <v>45308</v>
      </c>
      <c r="C533" t="s">
        <v>102</v>
      </c>
      <c r="D533" t="s">
        <v>13</v>
      </c>
      <c r="E533" t="s">
        <v>185</v>
      </c>
      <c r="F533" t="s">
        <v>35</v>
      </c>
      <c r="G533" t="s">
        <v>67</v>
      </c>
      <c r="H533">
        <v>1</v>
      </c>
      <c r="I533">
        <v>192.31</v>
      </c>
      <c r="J533">
        <v>0</v>
      </c>
      <c r="K533">
        <v>192.31</v>
      </c>
    </row>
    <row r="534" spans="1:11" x14ac:dyDescent="0.35">
      <c r="A534" t="s">
        <v>846</v>
      </c>
      <c r="B534" s="2">
        <v>45631</v>
      </c>
      <c r="C534" t="s">
        <v>79</v>
      </c>
      <c r="D534" t="s">
        <v>25</v>
      </c>
      <c r="E534" t="s">
        <v>847</v>
      </c>
      <c r="F534" t="s">
        <v>53</v>
      </c>
      <c r="G534" t="s">
        <v>125</v>
      </c>
      <c r="H534">
        <v>3</v>
      </c>
      <c r="I534">
        <v>213.79</v>
      </c>
      <c r="J534">
        <v>0.15</v>
      </c>
      <c r="K534">
        <v>545.16</v>
      </c>
    </row>
    <row r="535" spans="1:11" x14ac:dyDescent="0.35">
      <c r="A535" t="s">
        <v>848</v>
      </c>
      <c r="B535" s="1">
        <v>45623</v>
      </c>
      <c r="C535" t="s">
        <v>65</v>
      </c>
      <c r="D535" t="s">
        <v>25</v>
      </c>
      <c r="E535" t="s">
        <v>825</v>
      </c>
      <c r="F535" t="s">
        <v>21</v>
      </c>
      <c r="G535" t="s">
        <v>194</v>
      </c>
      <c r="H535">
        <v>11</v>
      </c>
      <c r="I535">
        <v>19.03</v>
      </c>
      <c r="J535">
        <v>0.15</v>
      </c>
      <c r="K535">
        <v>177.93</v>
      </c>
    </row>
    <row r="536" spans="1:11" x14ac:dyDescent="0.35">
      <c r="A536" t="s">
        <v>849</v>
      </c>
      <c r="B536" s="1">
        <v>45302</v>
      </c>
      <c r="C536" t="s">
        <v>12</v>
      </c>
      <c r="D536" t="s">
        <v>13</v>
      </c>
      <c r="E536" t="s">
        <v>460</v>
      </c>
      <c r="F536" t="s">
        <v>15</v>
      </c>
      <c r="G536" t="s">
        <v>74</v>
      </c>
      <c r="H536">
        <v>12</v>
      </c>
      <c r="I536">
        <v>171.74</v>
      </c>
      <c r="J536">
        <v>0</v>
      </c>
      <c r="K536">
        <v>2060.88</v>
      </c>
    </row>
    <row r="537" spans="1:11" x14ac:dyDescent="0.35">
      <c r="A537" t="s">
        <v>850</v>
      </c>
      <c r="B537" s="1">
        <v>45572</v>
      </c>
      <c r="C537" t="s">
        <v>41</v>
      </c>
      <c r="D537" t="s">
        <v>13</v>
      </c>
      <c r="E537" t="s">
        <v>343</v>
      </c>
      <c r="F537" t="s">
        <v>15</v>
      </c>
      <c r="G537" t="s">
        <v>147</v>
      </c>
      <c r="H537">
        <v>8</v>
      </c>
      <c r="I537">
        <v>63.1</v>
      </c>
      <c r="J537">
        <v>0.1</v>
      </c>
      <c r="K537">
        <v>454.32</v>
      </c>
    </row>
    <row r="538" spans="1:11" x14ac:dyDescent="0.35">
      <c r="A538" t="s">
        <v>851</v>
      </c>
      <c r="B538" s="1">
        <v>45419</v>
      </c>
      <c r="C538" t="s">
        <v>56</v>
      </c>
      <c r="D538" t="s">
        <v>57</v>
      </c>
      <c r="E538" t="s">
        <v>259</v>
      </c>
      <c r="F538" t="s">
        <v>21</v>
      </c>
      <c r="G538" t="s">
        <v>167</v>
      </c>
      <c r="H538">
        <v>10</v>
      </c>
      <c r="I538">
        <v>35.549999999999997</v>
      </c>
      <c r="J538">
        <v>0</v>
      </c>
      <c r="K538">
        <v>355.5</v>
      </c>
    </row>
    <row r="539" spans="1:11" x14ac:dyDescent="0.35">
      <c r="A539" t="s">
        <v>852</v>
      </c>
      <c r="B539" s="2">
        <v>45404</v>
      </c>
      <c r="C539" t="s">
        <v>65</v>
      </c>
      <c r="D539" t="s">
        <v>57</v>
      </c>
      <c r="E539" t="s">
        <v>62</v>
      </c>
      <c r="F539" t="s">
        <v>44</v>
      </c>
      <c r="G539" t="s">
        <v>107</v>
      </c>
      <c r="H539">
        <v>9</v>
      </c>
      <c r="I539">
        <v>63.3</v>
      </c>
      <c r="J539">
        <v>0.15</v>
      </c>
      <c r="K539">
        <v>484.24</v>
      </c>
    </row>
    <row r="540" spans="1:11" x14ac:dyDescent="0.35">
      <c r="A540" t="s">
        <v>853</v>
      </c>
      <c r="B540" s="1">
        <v>45448</v>
      </c>
      <c r="C540" t="s">
        <v>90</v>
      </c>
      <c r="D540" t="s">
        <v>42</v>
      </c>
      <c r="E540" t="s">
        <v>542</v>
      </c>
      <c r="F540" t="s">
        <v>35</v>
      </c>
      <c r="G540" t="s">
        <v>177</v>
      </c>
      <c r="H540">
        <v>12</v>
      </c>
      <c r="I540">
        <v>154.36000000000001</v>
      </c>
      <c r="J540">
        <v>0</v>
      </c>
      <c r="K540">
        <v>1852.32</v>
      </c>
    </row>
    <row r="541" spans="1:11" x14ac:dyDescent="0.35">
      <c r="A541" t="s">
        <v>854</v>
      </c>
      <c r="B541" s="1">
        <v>45330</v>
      </c>
      <c r="C541" t="s">
        <v>48</v>
      </c>
      <c r="D541" t="s">
        <v>13</v>
      </c>
      <c r="E541" t="s">
        <v>284</v>
      </c>
      <c r="F541" t="s">
        <v>21</v>
      </c>
      <c r="G541" t="s">
        <v>70</v>
      </c>
      <c r="H541">
        <v>3</v>
      </c>
      <c r="I541">
        <v>105.09</v>
      </c>
      <c r="J541">
        <v>0</v>
      </c>
      <c r="K541">
        <v>315.27</v>
      </c>
    </row>
    <row r="542" spans="1:11" x14ac:dyDescent="0.35">
      <c r="A542" t="s">
        <v>855</v>
      </c>
      <c r="B542" s="2">
        <v>45479</v>
      </c>
      <c r="C542" t="s">
        <v>102</v>
      </c>
      <c r="D542" t="s">
        <v>19</v>
      </c>
      <c r="E542" t="s">
        <v>217</v>
      </c>
      <c r="F542" t="s">
        <v>53</v>
      </c>
      <c r="G542" t="s">
        <v>63</v>
      </c>
      <c r="H542">
        <v>6</v>
      </c>
      <c r="I542">
        <v>104.76</v>
      </c>
      <c r="J542">
        <v>0</v>
      </c>
      <c r="K542">
        <v>628.55999999999995</v>
      </c>
    </row>
    <row r="543" spans="1:11" x14ac:dyDescent="0.35">
      <c r="A543" t="s">
        <v>856</v>
      </c>
      <c r="B543" s="1">
        <v>45591</v>
      </c>
      <c r="C543" t="s">
        <v>38</v>
      </c>
      <c r="D543" t="s">
        <v>19</v>
      </c>
      <c r="E543" t="s">
        <v>321</v>
      </c>
      <c r="F543" t="s">
        <v>15</v>
      </c>
      <c r="G543" t="s">
        <v>16</v>
      </c>
      <c r="H543">
        <v>2</v>
      </c>
      <c r="I543">
        <v>118.62</v>
      </c>
      <c r="J543">
        <v>0.05</v>
      </c>
      <c r="K543">
        <v>225.38</v>
      </c>
    </row>
    <row r="544" spans="1:11" x14ac:dyDescent="0.35">
      <c r="A544" t="s">
        <v>857</v>
      </c>
      <c r="B544" s="1">
        <v>45650</v>
      </c>
      <c r="C544" t="s">
        <v>79</v>
      </c>
      <c r="D544" t="s">
        <v>25</v>
      </c>
      <c r="E544" t="s">
        <v>858</v>
      </c>
      <c r="F544" t="s">
        <v>35</v>
      </c>
      <c r="G544" t="s">
        <v>177</v>
      </c>
      <c r="H544">
        <v>5</v>
      </c>
      <c r="I544">
        <v>193.43</v>
      </c>
      <c r="J544">
        <v>0</v>
      </c>
      <c r="K544">
        <v>967.15</v>
      </c>
    </row>
    <row r="545" spans="1:11" x14ac:dyDescent="0.35">
      <c r="A545" t="s">
        <v>859</v>
      </c>
      <c r="B545" s="2">
        <v>45567</v>
      </c>
      <c r="C545" t="s">
        <v>65</v>
      </c>
      <c r="D545" t="s">
        <v>13</v>
      </c>
      <c r="E545" t="s">
        <v>642</v>
      </c>
      <c r="F545" t="s">
        <v>21</v>
      </c>
      <c r="G545" t="s">
        <v>129</v>
      </c>
      <c r="H545">
        <v>2</v>
      </c>
      <c r="I545">
        <v>163.41</v>
      </c>
      <c r="J545">
        <v>0.15</v>
      </c>
      <c r="K545">
        <v>277.8</v>
      </c>
    </row>
    <row r="546" spans="1:11" x14ac:dyDescent="0.35">
      <c r="A546" t="s">
        <v>860</v>
      </c>
      <c r="B546" s="1">
        <v>45391</v>
      </c>
      <c r="C546" t="s">
        <v>90</v>
      </c>
      <c r="D546" t="s">
        <v>19</v>
      </c>
      <c r="E546" t="s">
        <v>282</v>
      </c>
      <c r="F546" t="s">
        <v>53</v>
      </c>
      <c r="G546" t="s">
        <v>54</v>
      </c>
      <c r="H546">
        <v>3</v>
      </c>
      <c r="I546">
        <v>230.89</v>
      </c>
      <c r="J546">
        <v>0</v>
      </c>
      <c r="K546">
        <v>692.67</v>
      </c>
    </row>
    <row r="547" spans="1:11" x14ac:dyDescent="0.35">
      <c r="A547" t="s">
        <v>861</v>
      </c>
      <c r="B547" s="1">
        <v>45506</v>
      </c>
      <c r="C547" t="s">
        <v>65</v>
      </c>
      <c r="D547" t="s">
        <v>13</v>
      </c>
      <c r="E547" t="s">
        <v>166</v>
      </c>
      <c r="F547" t="s">
        <v>15</v>
      </c>
      <c r="G547" t="s">
        <v>111</v>
      </c>
      <c r="H547">
        <v>5</v>
      </c>
      <c r="I547">
        <v>29.97</v>
      </c>
      <c r="J547">
        <v>0.15</v>
      </c>
      <c r="K547">
        <v>127.37</v>
      </c>
    </row>
    <row r="548" spans="1:11" x14ac:dyDescent="0.35">
      <c r="A548" t="s">
        <v>862</v>
      </c>
      <c r="B548" s="1">
        <v>45321</v>
      </c>
      <c r="C548" t="s">
        <v>29</v>
      </c>
      <c r="D548" t="s">
        <v>19</v>
      </c>
      <c r="E548" t="s">
        <v>343</v>
      </c>
      <c r="F548" t="s">
        <v>21</v>
      </c>
      <c r="G548" t="s">
        <v>194</v>
      </c>
      <c r="H548">
        <v>4</v>
      </c>
      <c r="I548">
        <v>206.86</v>
      </c>
      <c r="J548">
        <v>0.15</v>
      </c>
      <c r="K548">
        <v>703.32</v>
      </c>
    </row>
    <row r="549" spans="1:11" x14ac:dyDescent="0.35">
      <c r="A549" t="s">
        <v>863</v>
      </c>
      <c r="B549" s="1">
        <v>45370</v>
      </c>
      <c r="C549" t="s">
        <v>41</v>
      </c>
      <c r="D549" t="s">
        <v>57</v>
      </c>
      <c r="E549" t="s">
        <v>250</v>
      </c>
      <c r="F549" t="s">
        <v>21</v>
      </c>
      <c r="G549" t="s">
        <v>22</v>
      </c>
      <c r="H549">
        <v>5</v>
      </c>
      <c r="I549">
        <v>215.57</v>
      </c>
      <c r="J549">
        <v>0</v>
      </c>
      <c r="K549">
        <v>1077.8499999999999</v>
      </c>
    </row>
    <row r="550" spans="1:11" x14ac:dyDescent="0.35">
      <c r="A550" t="s">
        <v>864</v>
      </c>
      <c r="B550" s="1">
        <v>45597</v>
      </c>
      <c r="C550" t="s">
        <v>41</v>
      </c>
      <c r="D550" t="s">
        <v>13</v>
      </c>
      <c r="E550" t="s">
        <v>865</v>
      </c>
      <c r="F550" t="s">
        <v>15</v>
      </c>
      <c r="G550" t="s">
        <v>16</v>
      </c>
      <c r="H550">
        <v>7</v>
      </c>
      <c r="I550">
        <v>64.87</v>
      </c>
      <c r="J550">
        <v>0</v>
      </c>
      <c r="K550">
        <v>454.09</v>
      </c>
    </row>
    <row r="551" spans="1:11" x14ac:dyDescent="0.35">
      <c r="A551" t="s">
        <v>866</v>
      </c>
      <c r="B551" s="1">
        <v>45547</v>
      </c>
      <c r="C551" t="s">
        <v>90</v>
      </c>
      <c r="D551" t="s">
        <v>42</v>
      </c>
      <c r="E551" t="s">
        <v>867</v>
      </c>
      <c r="F551" t="s">
        <v>21</v>
      </c>
      <c r="G551" t="s">
        <v>129</v>
      </c>
      <c r="H551">
        <v>2</v>
      </c>
      <c r="I551">
        <v>126.86</v>
      </c>
      <c r="J551">
        <v>0.05</v>
      </c>
      <c r="K551">
        <v>241.03</v>
      </c>
    </row>
    <row r="552" spans="1:11" x14ac:dyDescent="0.35">
      <c r="A552" t="s">
        <v>868</v>
      </c>
      <c r="B552" s="1">
        <v>45351</v>
      </c>
      <c r="C552" t="s">
        <v>79</v>
      </c>
      <c r="D552" t="s">
        <v>19</v>
      </c>
      <c r="E552" t="s">
        <v>288</v>
      </c>
      <c r="F552" t="s">
        <v>44</v>
      </c>
      <c r="G552" t="s">
        <v>50</v>
      </c>
      <c r="H552">
        <v>2</v>
      </c>
      <c r="I552">
        <v>26.48</v>
      </c>
      <c r="J552">
        <v>0</v>
      </c>
      <c r="K552">
        <v>52.96</v>
      </c>
    </row>
    <row r="553" spans="1:11" x14ac:dyDescent="0.35">
      <c r="A553" t="s">
        <v>869</v>
      </c>
      <c r="B553" s="1">
        <v>45328</v>
      </c>
      <c r="C553" t="s">
        <v>18</v>
      </c>
      <c r="D553" t="s">
        <v>57</v>
      </c>
      <c r="E553" t="s">
        <v>166</v>
      </c>
      <c r="F553" t="s">
        <v>35</v>
      </c>
      <c r="G553" t="s">
        <v>36</v>
      </c>
      <c r="H553">
        <v>3</v>
      </c>
      <c r="I553">
        <v>140.44999999999999</v>
      </c>
      <c r="J553">
        <v>0</v>
      </c>
      <c r="K553">
        <v>421.35</v>
      </c>
    </row>
    <row r="554" spans="1:11" x14ac:dyDescent="0.35">
      <c r="A554" t="s">
        <v>870</v>
      </c>
      <c r="B554" s="2">
        <v>45451</v>
      </c>
      <c r="C554" t="s">
        <v>79</v>
      </c>
      <c r="D554" t="s">
        <v>57</v>
      </c>
      <c r="E554" t="s">
        <v>590</v>
      </c>
      <c r="F554" t="s">
        <v>15</v>
      </c>
      <c r="G554" t="s">
        <v>27</v>
      </c>
      <c r="H554">
        <v>9</v>
      </c>
      <c r="I554">
        <v>38.229999999999997</v>
      </c>
      <c r="J554">
        <v>0.1</v>
      </c>
      <c r="K554">
        <v>309.66000000000003</v>
      </c>
    </row>
    <row r="555" spans="1:11" x14ac:dyDescent="0.35">
      <c r="A555" t="s">
        <v>871</v>
      </c>
      <c r="B555" s="1">
        <v>45503</v>
      </c>
      <c r="C555" t="s">
        <v>65</v>
      </c>
      <c r="D555" t="s">
        <v>42</v>
      </c>
      <c r="E555" t="s">
        <v>526</v>
      </c>
      <c r="F555" t="s">
        <v>21</v>
      </c>
      <c r="G555" t="s">
        <v>70</v>
      </c>
      <c r="H555">
        <v>3</v>
      </c>
      <c r="I555">
        <v>115.47</v>
      </c>
      <c r="J555">
        <v>0.05</v>
      </c>
      <c r="K555">
        <v>329.09</v>
      </c>
    </row>
    <row r="556" spans="1:11" x14ac:dyDescent="0.35">
      <c r="A556" t="s">
        <v>872</v>
      </c>
      <c r="B556" s="1">
        <v>45323</v>
      </c>
      <c r="C556" t="s">
        <v>90</v>
      </c>
      <c r="D556" t="s">
        <v>25</v>
      </c>
      <c r="E556" t="s">
        <v>590</v>
      </c>
      <c r="F556" t="s">
        <v>44</v>
      </c>
      <c r="G556" t="s">
        <v>45</v>
      </c>
      <c r="H556">
        <v>6</v>
      </c>
      <c r="I556">
        <v>248.34</v>
      </c>
      <c r="J556">
        <v>0.05</v>
      </c>
      <c r="K556">
        <v>1415.54</v>
      </c>
    </row>
    <row r="557" spans="1:11" x14ac:dyDescent="0.35">
      <c r="A557" t="s">
        <v>873</v>
      </c>
      <c r="B557" s="1">
        <v>45602</v>
      </c>
      <c r="C557" t="s">
        <v>65</v>
      </c>
      <c r="D557" t="s">
        <v>13</v>
      </c>
      <c r="E557" t="s">
        <v>506</v>
      </c>
      <c r="F557" t="s">
        <v>21</v>
      </c>
      <c r="G557" t="s">
        <v>70</v>
      </c>
      <c r="H557">
        <v>10</v>
      </c>
      <c r="I557">
        <v>48.47</v>
      </c>
      <c r="J557">
        <v>0.1</v>
      </c>
      <c r="K557">
        <v>436.23</v>
      </c>
    </row>
    <row r="558" spans="1:11" x14ac:dyDescent="0.35">
      <c r="A558" t="s">
        <v>874</v>
      </c>
      <c r="B558" t="s">
        <v>875</v>
      </c>
      <c r="C558" t="s">
        <v>65</v>
      </c>
      <c r="D558" t="s">
        <v>13</v>
      </c>
      <c r="E558" t="s">
        <v>620</v>
      </c>
      <c r="F558" t="s">
        <v>15</v>
      </c>
      <c r="G558" t="s">
        <v>16</v>
      </c>
      <c r="H558">
        <v>9</v>
      </c>
      <c r="I558">
        <v>159.53</v>
      </c>
      <c r="J558">
        <v>0</v>
      </c>
      <c r="K558">
        <v>1435.77</v>
      </c>
    </row>
    <row r="559" spans="1:11" x14ac:dyDescent="0.35">
      <c r="A559" t="s">
        <v>876</v>
      </c>
      <c r="B559" s="1">
        <v>45333</v>
      </c>
      <c r="C559" t="s">
        <v>48</v>
      </c>
      <c r="F559" t="s">
        <v>35</v>
      </c>
      <c r="G559" t="s">
        <v>36</v>
      </c>
      <c r="H559">
        <v>3</v>
      </c>
      <c r="I559">
        <v>20.239999999999998</v>
      </c>
      <c r="J559">
        <v>0.05</v>
      </c>
      <c r="K559">
        <v>57.68</v>
      </c>
    </row>
    <row r="560" spans="1:11" x14ac:dyDescent="0.35">
      <c r="A560" t="s">
        <v>877</v>
      </c>
      <c r="B560" s="1">
        <v>45566</v>
      </c>
      <c r="C560" t="s">
        <v>29</v>
      </c>
      <c r="D560" t="s">
        <v>13</v>
      </c>
      <c r="E560" t="s">
        <v>407</v>
      </c>
      <c r="F560" t="s">
        <v>44</v>
      </c>
      <c r="G560" t="s">
        <v>107</v>
      </c>
      <c r="H560">
        <v>12</v>
      </c>
      <c r="I560">
        <v>229.22</v>
      </c>
      <c r="J560">
        <v>0.1</v>
      </c>
      <c r="K560">
        <v>2475.58</v>
      </c>
    </row>
    <row r="561" spans="1:11" x14ac:dyDescent="0.35">
      <c r="A561" t="s">
        <v>878</v>
      </c>
      <c r="B561" s="2">
        <v>45561</v>
      </c>
      <c r="C561" t="s">
        <v>33</v>
      </c>
      <c r="D561" t="s">
        <v>42</v>
      </c>
      <c r="E561" t="s">
        <v>484</v>
      </c>
      <c r="F561" t="s">
        <v>53</v>
      </c>
      <c r="G561" t="s">
        <v>260</v>
      </c>
      <c r="H561">
        <v>2</v>
      </c>
      <c r="I561">
        <v>181.71</v>
      </c>
      <c r="J561">
        <v>0.1</v>
      </c>
      <c r="K561">
        <v>327.08</v>
      </c>
    </row>
    <row r="562" spans="1:11" x14ac:dyDescent="0.35">
      <c r="A562" t="s">
        <v>879</v>
      </c>
      <c r="B562" s="1">
        <v>45352</v>
      </c>
      <c r="C562" t="s">
        <v>90</v>
      </c>
      <c r="D562" t="s">
        <v>13</v>
      </c>
      <c r="E562" t="s">
        <v>468</v>
      </c>
      <c r="F562" t="s">
        <v>21</v>
      </c>
      <c r="G562" t="s">
        <v>194</v>
      </c>
      <c r="H562">
        <v>4</v>
      </c>
      <c r="I562">
        <v>161.46</v>
      </c>
      <c r="J562">
        <v>0.1</v>
      </c>
      <c r="K562">
        <v>581.26</v>
      </c>
    </row>
    <row r="563" spans="1:11" x14ac:dyDescent="0.35">
      <c r="A563" t="s">
        <v>880</v>
      </c>
      <c r="B563" s="1">
        <v>45476</v>
      </c>
      <c r="C563" t="s">
        <v>12</v>
      </c>
      <c r="D563" t="s">
        <v>25</v>
      </c>
      <c r="E563" t="s">
        <v>881</v>
      </c>
      <c r="F563" t="s">
        <v>15</v>
      </c>
      <c r="G563" t="s">
        <v>74</v>
      </c>
      <c r="H563">
        <v>11</v>
      </c>
      <c r="I563">
        <v>243.9</v>
      </c>
      <c r="J563">
        <v>0</v>
      </c>
      <c r="K563">
        <v>2682.9</v>
      </c>
    </row>
    <row r="564" spans="1:11" x14ac:dyDescent="0.35">
      <c r="A564" t="s">
        <v>882</v>
      </c>
      <c r="B564" s="1">
        <v>45504</v>
      </c>
      <c r="C564" t="s">
        <v>79</v>
      </c>
      <c r="D564" t="s">
        <v>57</v>
      </c>
      <c r="E564" t="s">
        <v>542</v>
      </c>
      <c r="F564" t="s">
        <v>35</v>
      </c>
      <c r="G564" t="s">
        <v>134</v>
      </c>
      <c r="H564">
        <v>11</v>
      </c>
      <c r="I564">
        <v>221.16</v>
      </c>
      <c r="J564">
        <v>0</v>
      </c>
      <c r="K564">
        <v>2432.7600000000002</v>
      </c>
    </row>
    <row r="565" spans="1:11" x14ac:dyDescent="0.35">
      <c r="A565" t="s">
        <v>883</v>
      </c>
      <c r="B565" s="1">
        <v>45611</v>
      </c>
      <c r="C565" t="s">
        <v>33</v>
      </c>
      <c r="D565" t="s">
        <v>19</v>
      </c>
      <c r="E565" t="s">
        <v>884</v>
      </c>
      <c r="F565" t="s">
        <v>44</v>
      </c>
      <c r="G565" t="s">
        <v>86</v>
      </c>
      <c r="H565">
        <v>4</v>
      </c>
      <c r="I565">
        <v>74.63</v>
      </c>
      <c r="J565">
        <v>0</v>
      </c>
      <c r="K565">
        <v>298.52</v>
      </c>
    </row>
    <row r="566" spans="1:11" x14ac:dyDescent="0.35">
      <c r="A566" t="s">
        <v>885</v>
      </c>
      <c r="B566" s="1">
        <v>45532</v>
      </c>
      <c r="C566" t="s">
        <v>65</v>
      </c>
      <c r="D566" t="s">
        <v>57</v>
      </c>
      <c r="E566" t="s">
        <v>212</v>
      </c>
      <c r="F566" t="s">
        <v>21</v>
      </c>
      <c r="G566" t="s">
        <v>70</v>
      </c>
      <c r="H566">
        <v>10</v>
      </c>
      <c r="I566">
        <v>97.64</v>
      </c>
      <c r="J566">
        <v>0</v>
      </c>
      <c r="K566">
        <v>976.4</v>
      </c>
    </row>
    <row r="567" spans="1:11" x14ac:dyDescent="0.35">
      <c r="A567" t="s">
        <v>886</v>
      </c>
      <c r="B567" s="1">
        <v>45569</v>
      </c>
      <c r="C567" t="s">
        <v>65</v>
      </c>
      <c r="D567" t="s">
        <v>42</v>
      </c>
      <c r="E567" t="s">
        <v>492</v>
      </c>
      <c r="F567" t="s">
        <v>35</v>
      </c>
      <c r="G567" t="s">
        <v>36</v>
      </c>
      <c r="H567">
        <v>10</v>
      </c>
      <c r="I567">
        <v>69.75</v>
      </c>
      <c r="J567">
        <v>0.1</v>
      </c>
      <c r="K567">
        <v>627.75</v>
      </c>
    </row>
    <row r="568" spans="1:11" x14ac:dyDescent="0.35">
      <c r="A568" t="s">
        <v>887</v>
      </c>
      <c r="B568" s="2">
        <v>45339</v>
      </c>
      <c r="C568" t="s">
        <v>38</v>
      </c>
      <c r="D568" t="s">
        <v>13</v>
      </c>
      <c r="E568" t="s">
        <v>171</v>
      </c>
      <c r="F568" t="s">
        <v>44</v>
      </c>
      <c r="G568" t="s">
        <v>86</v>
      </c>
      <c r="H568">
        <v>5</v>
      </c>
      <c r="I568">
        <v>28.83</v>
      </c>
      <c r="J568">
        <v>0.15</v>
      </c>
      <c r="K568">
        <v>122.53</v>
      </c>
    </row>
    <row r="569" spans="1:11" x14ac:dyDescent="0.35">
      <c r="A569" t="s">
        <v>888</v>
      </c>
      <c r="B569" t="s">
        <v>889</v>
      </c>
      <c r="C569" t="s">
        <v>24</v>
      </c>
      <c r="D569" t="s">
        <v>42</v>
      </c>
      <c r="E569" t="s">
        <v>189</v>
      </c>
      <c r="F569" t="s">
        <v>21</v>
      </c>
      <c r="G569" t="s">
        <v>194</v>
      </c>
      <c r="H569">
        <v>10</v>
      </c>
      <c r="I569">
        <v>208.44</v>
      </c>
      <c r="J569">
        <v>0</v>
      </c>
      <c r="K569">
        <v>2084.4</v>
      </c>
    </row>
    <row r="570" spans="1:11" x14ac:dyDescent="0.35">
      <c r="A570" t="s">
        <v>890</v>
      </c>
      <c r="B570" s="1">
        <v>45403</v>
      </c>
      <c r="C570" t="s">
        <v>79</v>
      </c>
      <c r="D570" t="s">
        <v>57</v>
      </c>
      <c r="E570" t="s">
        <v>93</v>
      </c>
      <c r="F570" t="s">
        <v>15</v>
      </c>
      <c r="G570" t="s">
        <v>27</v>
      </c>
      <c r="H570">
        <v>6</v>
      </c>
      <c r="I570">
        <v>16.100000000000001</v>
      </c>
      <c r="J570">
        <v>0.15</v>
      </c>
      <c r="K570">
        <v>82.11</v>
      </c>
    </row>
    <row r="571" spans="1:11" x14ac:dyDescent="0.35">
      <c r="A571" t="s">
        <v>891</v>
      </c>
      <c r="B571" s="1">
        <v>45295</v>
      </c>
      <c r="C571" t="s">
        <v>29</v>
      </c>
      <c r="D571" t="s">
        <v>19</v>
      </c>
      <c r="E571" t="s">
        <v>590</v>
      </c>
      <c r="F571" t="s">
        <v>44</v>
      </c>
      <c r="G571" t="s">
        <v>86</v>
      </c>
      <c r="H571">
        <v>4</v>
      </c>
      <c r="I571">
        <v>246.18</v>
      </c>
      <c r="J571">
        <v>0</v>
      </c>
      <c r="K571">
        <v>984.72</v>
      </c>
    </row>
    <row r="572" spans="1:11" x14ac:dyDescent="0.35">
      <c r="A572" t="s">
        <v>892</v>
      </c>
      <c r="B572" t="s">
        <v>533</v>
      </c>
      <c r="C572" t="s">
        <v>65</v>
      </c>
      <c r="D572" t="s">
        <v>42</v>
      </c>
      <c r="E572" t="s">
        <v>82</v>
      </c>
      <c r="F572" t="s">
        <v>35</v>
      </c>
      <c r="G572" t="s">
        <v>36</v>
      </c>
      <c r="H572">
        <v>11</v>
      </c>
      <c r="I572">
        <v>181.2</v>
      </c>
      <c r="J572">
        <v>0.05</v>
      </c>
      <c r="K572">
        <v>1893.54</v>
      </c>
    </row>
    <row r="573" spans="1:11" x14ac:dyDescent="0.35">
      <c r="A573" t="s">
        <v>893</v>
      </c>
      <c r="B573" t="s">
        <v>894</v>
      </c>
      <c r="C573" t="s">
        <v>56</v>
      </c>
      <c r="D573" t="s">
        <v>19</v>
      </c>
      <c r="E573" t="s">
        <v>115</v>
      </c>
      <c r="F573" t="s">
        <v>35</v>
      </c>
      <c r="G573" t="s">
        <v>177</v>
      </c>
      <c r="H573">
        <v>8</v>
      </c>
      <c r="I573">
        <v>181.48</v>
      </c>
      <c r="J573">
        <v>0</v>
      </c>
      <c r="K573">
        <v>1451.84</v>
      </c>
    </row>
    <row r="574" spans="1:11" x14ac:dyDescent="0.35">
      <c r="A574" t="s">
        <v>895</v>
      </c>
      <c r="B574" s="1">
        <v>45441</v>
      </c>
      <c r="C574" t="s">
        <v>102</v>
      </c>
      <c r="D574" t="s">
        <v>13</v>
      </c>
      <c r="E574" t="s">
        <v>142</v>
      </c>
      <c r="F574" t="s">
        <v>21</v>
      </c>
      <c r="G574" t="s">
        <v>167</v>
      </c>
      <c r="H574">
        <v>9</v>
      </c>
      <c r="I574">
        <v>72.34</v>
      </c>
      <c r="J574">
        <v>0</v>
      </c>
      <c r="K574">
        <v>651.05999999999995</v>
      </c>
    </row>
    <row r="575" spans="1:11" x14ac:dyDescent="0.35">
      <c r="A575" t="s">
        <v>896</v>
      </c>
      <c r="B575" s="1">
        <v>45344</v>
      </c>
      <c r="C575" t="s">
        <v>12</v>
      </c>
      <c r="D575" t="s">
        <v>19</v>
      </c>
      <c r="E575" t="s">
        <v>88</v>
      </c>
      <c r="F575" t="s">
        <v>44</v>
      </c>
      <c r="G575" t="s">
        <v>107</v>
      </c>
      <c r="H575">
        <v>5</v>
      </c>
      <c r="I575">
        <v>85.34</v>
      </c>
      <c r="J575">
        <v>0</v>
      </c>
      <c r="K575">
        <v>426.7</v>
      </c>
    </row>
    <row r="576" spans="1:11" x14ac:dyDescent="0.35">
      <c r="A576" t="s">
        <v>897</v>
      </c>
      <c r="B576" s="2">
        <v>45612</v>
      </c>
      <c r="C576" t="s">
        <v>24</v>
      </c>
      <c r="D576" t="s">
        <v>57</v>
      </c>
      <c r="E576" t="s">
        <v>189</v>
      </c>
      <c r="F576" t="s">
        <v>53</v>
      </c>
      <c r="G576" t="s">
        <v>104</v>
      </c>
      <c r="H576">
        <v>2</v>
      </c>
      <c r="I576">
        <v>146.84</v>
      </c>
      <c r="J576">
        <v>0</v>
      </c>
      <c r="K576">
        <v>293.68</v>
      </c>
    </row>
    <row r="577" spans="1:11" x14ac:dyDescent="0.35">
      <c r="A577" t="s">
        <v>898</v>
      </c>
      <c r="B577" s="1">
        <v>45356</v>
      </c>
      <c r="C577" t="s">
        <v>38</v>
      </c>
      <c r="D577" t="s">
        <v>19</v>
      </c>
      <c r="E577" t="s">
        <v>412</v>
      </c>
      <c r="F577" t="s">
        <v>44</v>
      </c>
      <c r="G577" t="s">
        <v>86</v>
      </c>
      <c r="H577">
        <v>7</v>
      </c>
      <c r="I577">
        <v>220.18</v>
      </c>
      <c r="J577">
        <v>0</v>
      </c>
      <c r="K577">
        <v>1541.26</v>
      </c>
    </row>
    <row r="578" spans="1:11" x14ac:dyDescent="0.35">
      <c r="A578" t="s">
        <v>899</v>
      </c>
      <c r="B578" s="2">
        <v>45560</v>
      </c>
      <c r="C578" t="s">
        <v>102</v>
      </c>
      <c r="D578" t="s">
        <v>13</v>
      </c>
      <c r="E578" t="s">
        <v>171</v>
      </c>
      <c r="F578" t="s">
        <v>15</v>
      </c>
      <c r="G578" t="s">
        <v>147</v>
      </c>
      <c r="H578">
        <v>6</v>
      </c>
      <c r="I578">
        <v>14.96</v>
      </c>
      <c r="J578">
        <v>0</v>
      </c>
      <c r="K578">
        <v>89.76</v>
      </c>
    </row>
    <row r="579" spans="1:11" x14ac:dyDescent="0.35">
      <c r="A579" t="s">
        <v>900</v>
      </c>
      <c r="B579" t="s">
        <v>557</v>
      </c>
      <c r="C579" t="s">
        <v>41</v>
      </c>
      <c r="D579" t="s">
        <v>42</v>
      </c>
      <c r="E579" t="s">
        <v>716</v>
      </c>
      <c r="F579" t="s">
        <v>21</v>
      </c>
      <c r="G579" t="s">
        <v>22</v>
      </c>
      <c r="H579">
        <v>1</v>
      </c>
      <c r="I579">
        <v>46.21</v>
      </c>
      <c r="J579">
        <v>0.05</v>
      </c>
      <c r="K579">
        <v>43.9</v>
      </c>
    </row>
    <row r="580" spans="1:11" x14ac:dyDescent="0.35">
      <c r="A580" t="s">
        <v>901</v>
      </c>
      <c r="B580" s="2">
        <v>45560</v>
      </c>
      <c r="C580" t="s">
        <v>41</v>
      </c>
      <c r="E580" t="s">
        <v>902</v>
      </c>
      <c r="F580" t="s">
        <v>15</v>
      </c>
      <c r="G580" t="s">
        <v>147</v>
      </c>
      <c r="H580">
        <v>7</v>
      </c>
      <c r="I580">
        <v>117.87</v>
      </c>
      <c r="J580">
        <v>0</v>
      </c>
      <c r="K580">
        <v>825.09</v>
      </c>
    </row>
    <row r="581" spans="1:11" x14ac:dyDescent="0.35">
      <c r="A581" t="s">
        <v>903</v>
      </c>
      <c r="B581" s="1">
        <v>45510</v>
      </c>
      <c r="C581" t="s">
        <v>48</v>
      </c>
      <c r="D581" t="s">
        <v>13</v>
      </c>
      <c r="E581" t="s">
        <v>282</v>
      </c>
      <c r="F581" t="s">
        <v>53</v>
      </c>
      <c r="G581" t="s">
        <v>63</v>
      </c>
      <c r="H581">
        <v>1</v>
      </c>
      <c r="I581">
        <v>188.15</v>
      </c>
      <c r="J581">
        <v>0.15</v>
      </c>
      <c r="K581">
        <v>159.93</v>
      </c>
    </row>
    <row r="582" spans="1:11" x14ac:dyDescent="0.35">
      <c r="A582" t="s">
        <v>904</v>
      </c>
      <c r="B582" s="2">
        <v>45383</v>
      </c>
      <c r="C582" t="s">
        <v>65</v>
      </c>
      <c r="E582" t="s">
        <v>212</v>
      </c>
      <c r="F582" t="s">
        <v>35</v>
      </c>
      <c r="G582" t="s">
        <v>36</v>
      </c>
      <c r="H582">
        <v>5</v>
      </c>
      <c r="I582">
        <v>156</v>
      </c>
      <c r="J582">
        <v>0</v>
      </c>
      <c r="K582">
        <v>780</v>
      </c>
    </row>
    <row r="583" spans="1:11" x14ac:dyDescent="0.35">
      <c r="A583" t="s">
        <v>905</v>
      </c>
      <c r="B583" s="2">
        <v>45358</v>
      </c>
      <c r="C583" t="s">
        <v>24</v>
      </c>
      <c r="D583" t="s">
        <v>19</v>
      </c>
      <c r="E583" t="s">
        <v>77</v>
      </c>
      <c r="F583" t="s">
        <v>15</v>
      </c>
      <c r="G583" t="s">
        <v>147</v>
      </c>
      <c r="H583">
        <v>2</v>
      </c>
      <c r="I583">
        <v>122.28</v>
      </c>
      <c r="J583">
        <v>0.15</v>
      </c>
      <c r="K583">
        <v>207.88</v>
      </c>
    </row>
    <row r="584" spans="1:11" x14ac:dyDescent="0.35">
      <c r="A584" t="s">
        <v>906</v>
      </c>
      <c r="B584" s="2">
        <v>45420</v>
      </c>
      <c r="C584" t="s">
        <v>79</v>
      </c>
      <c r="D584" t="s">
        <v>13</v>
      </c>
      <c r="E584" t="s">
        <v>480</v>
      </c>
      <c r="F584" t="s">
        <v>15</v>
      </c>
      <c r="G584" t="s">
        <v>111</v>
      </c>
      <c r="H584">
        <v>6</v>
      </c>
      <c r="I584">
        <v>27.84</v>
      </c>
      <c r="J584">
        <v>0</v>
      </c>
      <c r="K584">
        <v>167.04</v>
      </c>
    </row>
    <row r="585" spans="1:11" x14ac:dyDescent="0.35">
      <c r="A585" t="s">
        <v>907</v>
      </c>
      <c r="B585" s="2">
        <v>45314</v>
      </c>
      <c r="C585" t="s">
        <v>41</v>
      </c>
      <c r="D585" t="s">
        <v>25</v>
      </c>
      <c r="E585" t="s">
        <v>366</v>
      </c>
      <c r="F585" t="s">
        <v>53</v>
      </c>
      <c r="G585" t="s">
        <v>125</v>
      </c>
      <c r="H585">
        <v>6</v>
      </c>
      <c r="I585">
        <v>241.87</v>
      </c>
      <c r="J585">
        <v>0.05</v>
      </c>
      <c r="K585">
        <v>1378.66</v>
      </c>
    </row>
    <row r="586" spans="1:11" x14ac:dyDescent="0.35">
      <c r="A586" t="s">
        <v>908</v>
      </c>
      <c r="B586" t="s">
        <v>909</v>
      </c>
      <c r="C586" t="s">
        <v>24</v>
      </c>
      <c r="D586" t="s">
        <v>19</v>
      </c>
      <c r="E586" t="s">
        <v>339</v>
      </c>
      <c r="F586" t="s">
        <v>35</v>
      </c>
      <c r="G586" t="s">
        <v>36</v>
      </c>
      <c r="H586">
        <v>11</v>
      </c>
      <c r="I586">
        <v>122.08</v>
      </c>
      <c r="J586">
        <v>0</v>
      </c>
      <c r="K586">
        <v>1342.88</v>
      </c>
    </row>
    <row r="587" spans="1:11" x14ac:dyDescent="0.35">
      <c r="A587" t="s">
        <v>910</v>
      </c>
      <c r="B587" s="2">
        <v>45377</v>
      </c>
      <c r="C587" t="s">
        <v>48</v>
      </c>
      <c r="D587" t="s">
        <v>42</v>
      </c>
      <c r="E587" t="s">
        <v>152</v>
      </c>
      <c r="F587" t="s">
        <v>35</v>
      </c>
      <c r="G587" t="s">
        <v>36</v>
      </c>
      <c r="H587">
        <v>9</v>
      </c>
      <c r="I587">
        <v>113.14</v>
      </c>
      <c r="J587">
        <v>0.1</v>
      </c>
      <c r="K587">
        <v>916.43</v>
      </c>
    </row>
    <row r="588" spans="1:11" x14ac:dyDescent="0.35">
      <c r="A588" t="s">
        <v>911</v>
      </c>
      <c r="B588" s="1">
        <v>45456</v>
      </c>
      <c r="C588" t="s">
        <v>41</v>
      </c>
      <c r="D588" t="s">
        <v>19</v>
      </c>
      <c r="E588" t="s">
        <v>638</v>
      </c>
      <c r="F588" t="s">
        <v>35</v>
      </c>
      <c r="G588" t="s">
        <v>177</v>
      </c>
      <c r="H588">
        <v>2</v>
      </c>
      <c r="I588">
        <v>163.24</v>
      </c>
      <c r="J588">
        <v>0.15</v>
      </c>
      <c r="K588">
        <v>277.51</v>
      </c>
    </row>
    <row r="589" spans="1:11" x14ac:dyDescent="0.35">
      <c r="A589" t="s">
        <v>912</v>
      </c>
      <c r="B589" s="2">
        <v>45522</v>
      </c>
      <c r="C589" t="s">
        <v>33</v>
      </c>
      <c r="D589" t="s">
        <v>13</v>
      </c>
      <c r="E589" t="s">
        <v>674</v>
      </c>
      <c r="F589" t="s">
        <v>35</v>
      </c>
      <c r="G589" t="s">
        <v>177</v>
      </c>
      <c r="H589">
        <v>12</v>
      </c>
      <c r="I589">
        <v>100.26</v>
      </c>
      <c r="J589">
        <v>0</v>
      </c>
      <c r="K589">
        <v>1203.1199999999999</v>
      </c>
    </row>
    <row r="590" spans="1:11" x14ac:dyDescent="0.35">
      <c r="A590" t="s">
        <v>913</v>
      </c>
      <c r="B590" s="1">
        <v>45392</v>
      </c>
      <c r="C590" t="s">
        <v>65</v>
      </c>
      <c r="D590" t="s">
        <v>25</v>
      </c>
      <c r="E590" t="s">
        <v>542</v>
      </c>
      <c r="F590" t="s">
        <v>21</v>
      </c>
      <c r="G590" t="s">
        <v>167</v>
      </c>
      <c r="H590">
        <v>12</v>
      </c>
      <c r="I590">
        <v>162.03</v>
      </c>
      <c r="J590">
        <v>0</v>
      </c>
      <c r="K590">
        <v>1944.36</v>
      </c>
    </row>
    <row r="591" spans="1:11" x14ac:dyDescent="0.35">
      <c r="A591" t="s">
        <v>914</v>
      </c>
      <c r="B591" s="2">
        <v>45387</v>
      </c>
      <c r="C591" t="s">
        <v>102</v>
      </c>
      <c r="D591" t="s">
        <v>19</v>
      </c>
      <c r="E591" t="s">
        <v>164</v>
      </c>
      <c r="F591" t="s">
        <v>15</v>
      </c>
      <c r="G591" t="s">
        <v>147</v>
      </c>
      <c r="H591">
        <v>2</v>
      </c>
      <c r="I591">
        <v>91.86</v>
      </c>
      <c r="J591">
        <v>0.05</v>
      </c>
      <c r="K591">
        <v>174.53</v>
      </c>
    </row>
    <row r="592" spans="1:11" x14ac:dyDescent="0.35">
      <c r="A592" t="s">
        <v>915</v>
      </c>
      <c r="B592" s="2">
        <v>45454</v>
      </c>
      <c r="C592" t="s">
        <v>79</v>
      </c>
      <c r="D592" t="s">
        <v>57</v>
      </c>
      <c r="E592" t="s">
        <v>842</v>
      </c>
      <c r="F592" t="s">
        <v>44</v>
      </c>
      <c r="G592" t="s">
        <v>50</v>
      </c>
      <c r="H592">
        <v>2</v>
      </c>
      <c r="I592">
        <v>140.51</v>
      </c>
      <c r="J592">
        <v>0.05</v>
      </c>
      <c r="K592">
        <v>266.97000000000003</v>
      </c>
    </row>
    <row r="593" spans="1:11" x14ac:dyDescent="0.35">
      <c r="A593" t="s">
        <v>916</v>
      </c>
      <c r="B593" s="2">
        <v>45561</v>
      </c>
      <c r="C593" t="s">
        <v>65</v>
      </c>
      <c r="D593" t="s">
        <v>57</v>
      </c>
      <c r="E593" t="s">
        <v>77</v>
      </c>
      <c r="F593" t="s">
        <v>53</v>
      </c>
      <c r="G593" t="s">
        <v>125</v>
      </c>
      <c r="H593">
        <v>10</v>
      </c>
      <c r="I593">
        <v>5.17</v>
      </c>
      <c r="J593">
        <v>0</v>
      </c>
      <c r="K593">
        <v>51.7</v>
      </c>
    </row>
    <row r="594" spans="1:11" x14ac:dyDescent="0.35">
      <c r="A594" t="s">
        <v>917</v>
      </c>
      <c r="B594" s="1">
        <v>45394</v>
      </c>
      <c r="C594" t="s">
        <v>56</v>
      </c>
      <c r="D594" t="s">
        <v>19</v>
      </c>
      <c r="E594" t="s">
        <v>460</v>
      </c>
      <c r="F594" t="s">
        <v>53</v>
      </c>
      <c r="G594" t="s">
        <v>104</v>
      </c>
      <c r="H594">
        <v>5</v>
      </c>
      <c r="I594">
        <v>143.13</v>
      </c>
      <c r="J594">
        <v>0.15</v>
      </c>
      <c r="K594">
        <v>608.29999999999995</v>
      </c>
    </row>
    <row r="595" spans="1:11" x14ac:dyDescent="0.35">
      <c r="A595" t="s">
        <v>918</v>
      </c>
      <c r="B595" t="s">
        <v>319</v>
      </c>
      <c r="C595" t="s">
        <v>102</v>
      </c>
      <c r="D595" t="s">
        <v>13</v>
      </c>
      <c r="E595" t="s">
        <v>865</v>
      </c>
      <c r="F595" t="s">
        <v>53</v>
      </c>
      <c r="G595" t="s">
        <v>260</v>
      </c>
      <c r="H595">
        <v>2</v>
      </c>
      <c r="I595">
        <v>49.75</v>
      </c>
      <c r="J595">
        <v>0</v>
      </c>
      <c r="K595">
        <v>99.5</v>
      </c>
    </row>
    <row r="596" spans="1:11" x14ac:dyDescent="0.35">
      <c r="A596" t="s">
        <v>919</v>
      </c>
      <c r="B596" s="2">
        <v>45485</v>
      </c>
      <c r="C596" t="s">
        <v>24</v>
      </c>
      <c r="D596" t="s">
        <v>13</v>
      </c>
      <c r="E596" t="s">
        <v>470</v>
      </c>
      <c r="F596" t="s">
        <v>44</v>
      </c>
      <c r="G596" t="s">
        <v>50</v>
      </c>
      <c r="H596">
        <v>3</v>
      </c>
      <c r="I596">
        <v>15.76</v>
      </c>
      <c r="J596">
        <v>0</v>
      </c>
      <c r="K596">
        <v>47.28</v>
      </c>
    </row>
    <row r="597" spans="1:11" x14ac:dyDescent="0.35">
      <c r="A597" t="s">
        <v>920</v>
      </c>
      <c r="B597" s="1">
        <v>45458</v>
      </c>
      <c r="C597" t="s">
        <v>41</v>
      </c>
      <c r="D597" t="s">
        <v>19</v>
      </c>
      <c r="E597" t="s">
        <v>489</v>
      </c>
      <c r="F597" t="s">
        <v>53</v>
      </c>
      <c r="G597" t="s">
        <v>104</v>
      </c>
      <c r="H597">
        <v>11</v>
      </c>
      <c r="I597">
        <v>15.41</v>
      </c>
      <c r="J597">
        <v>0.15</v>
      </c>
      <c r="K597">
        <v>144.08000000000001</v>
      </c>
    </row>
    <row r="598" spans="1:11" x14ac:dyDescent="0.35">
      <c r="A598" t="s">
        <v>921</v>
      </c>
      <c r="B598" s="2">
        <v>45539</v>
      </c>
      <c r="C598" t="s">
        <v>56</v>
      </c>
      <c r="D598" t="s">
        <v>57</v>
      </c>
      <c r="E598" t="s">
        <v>199</v>
      </c>
      <c r="F598" t="s">
        <v>15</v>
      </c>
      <c r="G598" t="s">
        <v>16</v>
      </c>
      <c r="H598">
        <v>9</v>
      </c>
      <c r="I598">
        <v>133.32</v>
      </c>
      <c r="J598">
        <v>0</v>
      </c>
      <c r="K598">
        <v>1199.8800000000001</v>
      </c>
    </row>
    <row r="599" spans="1:11" x14ac:dyDescent="0.35">
      <c r="A599" t="s">
        <v>922</v>
      </c>
      <c r="B599" s="1">
        <v>45394</v>
      </c>
      <c r="C599" t="s">
        <v>24</v>
      </c>
      <c r="D599" t="s">
        <v>13</v>
      </c>
      <c r="E599" t="s">
        <v>93</v>
      </c>
      <c r="F599" t="s">
        <v>44</v>
      </c>
      <c r="G599" t="s">
        <v>45</v>
      </c>
      <c r="H599">
        <v>3</v>
      </c>
      <c r="I599">
        <v>202.22</v>
      </c>
      <c r="J599">
        <v>0.15</v>
      </c>
      <c r="K599">
        <v>515.66</v>
      </c>
    </row>
    <row r="600" spans="1:11" x14ac:dyDescent="0.35">
      <c r="A600" t="s">
        <v>923</v>
      </c>
      <c r="B600" s="1">
        <v>45324</v>
      </c>
      <c r="C600" t="s">
        <v>24</v>
      </c>
      <c r="D600" t="s">
        <v>13</v>
      </c>
      <c r="E600" t="s">
        <v>881</v>
      </c>
      <c r="F600" t="s">
        <v>21</v>
      </c>
      <c r="G600" t="s">
        <v>129</v>
      </c>
      <c r="H600">
        <v>10</v>
      </c>
      <c r="I600">
        <v>183.4</v>
      </c>
      <c r="J600">
        <v>0.05</v>
      </c>
      <c r="K600">
        <v>1742.3</v>
      </c>
    </row>
    <row r="601" spans="1:11" x14ac:dyDescent="0.35">
      <c r="A601" t="s">
        <v>924</v>
      </c>
      <c r="B601" s="1">
        <v>45583</v>
      </c>
      <c r="C601" t="s">
        <v>33</v>
      </c>
      <c r="D601" t="s">
        <v>19</v>
      </c>
      <c r="F601" t="s">
        <v>15</v>
      </c>
      <c r="G601" t="s">
        <v>74</v>
      </c>
      <c r="H601">
        <v>1</v>
      </c>
      <c r="I601">
        <v>139.99</v>
      </c>
      <c r="J601">
        <v>0.1</v>
      </c>
      <c r="K601">
        <v>125.99</v>
      </c>
    </row>
    <row r="602" spans="1:11" x14ac:dyDescent="0.35">
      <c r="A602" t="s">
        <v>925</v>
      </c>
      <c r="B602" s="2">
        <v>45608</v>
      </c>
      <c r="C602" t="s">
        <v>90</v>
      </c>
      <c r="D602" t="s">
        <v>42</v>
      </c>
      <c r="E602" t="s">
        <v>457</v>
      </c>
      <c r="F602" t="s">
        <v>21</v>
      </c>
      <c r="G602" t="s">
        <v>22</v>
      </c>
      <c r="H602">
        <v>1</v>
      </c>
      <c r="I602">
        <v>19.09</v>
      </c>
      <c r="J602">
        <v>0.1</v>
      </c>
      <c r="K602">
        <v>17.18</v>
      </c>
    </row>
    <row r="603" spans="1:11" x14ac:dyDescent="0.35">
      <c r="A603" t="s">
        <v>926</v>
      </c>
      <c r="B603" s="1">
        <v>45499</v>
      </c>
      <c r="C603" t="s">
        <v>90</v>
      </c>
      <c r="D603" t="s">
        <v>57</v>
      </c>
      <c r="E603" t="s">
        <v>586</v>
      </c>
      <c r="F603" t="s">
        <v>44</v>
      </c>
      <c r="G603" t="s">
        <v>50</v>
      </c>
      <c r="H603">
        <v>3</v>
      </c>
      <c r="I603">
        <v>241.72</v>
      </c>
      <c r="J603">
        <v>0.1</v>
      </c>
      <c r="K603">
        <v>652.64</v>
      </c>
    </row>
    <row r="604" spans="1:11" x14ac:dyDescent="0.35">
      <c r="A604" t="s">
        <v>927</v>
      </c>
      <c r="B604" s="1">
        <v>45613</v>
      </c>
      <c r="C604" t="s">
        <v>38</v>
      </c>
      <c r="D604" t="s">
        <v>13</v>
      </c>
      <c r="E604" t="s">
        <v>62</v>
      </c>
      <c r="F604" t="s">
        <v>35</v>
      </c>
      <c r="G604" t="s">
        <v>67</v>
      </c>
      <c r="H604">
        <v>2</v>
      </c>
      <c r="I604">
        <v>81.86</v>
      </c>
      <c r="J604">
        <v>0</v>
      </c>
      <c r="K604">
        <v>163.72</v>
      </c>
    </row>
    <row r="605" spans="1:11" x14ac:dyDescent="0.35">
      <c r="A605" t="s">
        <v>432</v>
      </c>
      <c r="B605" s="1">
        <v>45317</v>
      </c>
      <c r="C605" t="s">
        <v>33</v>
      </c>
      <c r="D605" t="s">
        <v>57</v>
      </c>
      <c r="E605" t="s">
        <v>433</v>
      </c>
      <c r="F605" t="s">
        <v>44</v>
      </c>
      <c r="G605" t="s">
        <v>45</v>
      </c>
      <c r="H605">
        <v>3</v>
      </c>
      <c r="I605">
        <v>107.15</v>
      </c>
      <c r="J605">
        <v>0</v>
      </c>
      <c r="K605">
        <v>321.45</v>
      </c>
    </row>
    <row r="606" spans="1:11" x14ac:dyDescent="0.35">
      <c r="A606" t="s">
        <v>928</v>
      </c>
      <c r="B606" s="1">
        <v>45417</v>
      </c>
      <c r="C606" t="s">
        <v>41</v>
      </c>
      <c r="D606" t="s">
        <v>57</v>
      </c>
      <c r="E606" t="s">
        <v>720</v>
      </c>
      <c r="F606" t="s">
        <v>21</v>
      </c>
      <c r="G606" t="s">
        <v>70</v>
      </c>
      <c r="H606">
        <v>7</v>
      </c>
      <c r="I606">
        <v>120.58</v>
      </c>
      <c r="J606">
        <v>0</v>
      </c>
      <c r="K606">
        <v>844.06</v>
      </c>
    </row>
    <row r="607" spans="1:11" x14ac:dyDescent="0.35">
      <c r="A607" t="s">
        <v>929</v>
      </c>
      <c r="B607" s="1">
        <v>45493</v>
      </c>
      <c r="C607" t="s">
        <v>41</v>
      </c>
      <c r="D607" t="s">
        <v>57</v>
      </c>
      <c r="E607" t="s">
        <v>259</v>
      </c>
      <c r="F607" t="s">
        <v>35</v>
      </c>
      <c r="G607" t="s">
        <v>83</v>
      </c>
      <c r="H607">
        <v>12</v>
      </c>
      <c r="I607">
        <v>167.93</v>
      </c>
      <c r="J607">
        <v>0.05</v>
      </c>
      <c r="K607">
        <v>1914.4</v>
      </c>
    </row>
    <row r="608" spans="1:11" x14ac:dyDescent="0.35">
      <c r="A608" t="s">
        <v>930</v>
      </c>
      <c r="B608" s="2">
        <v>45629</v>
      </c>
      <c r="C608" t="s">
        <v>18</v>
      </c>
      <c r="E608" t="s">
        <v>233</v>
      </c>
      <c r="F608" t="s">
        <v>44</v>
      </c>
      <c r="G608" t="s">
        <v>107</v>
      </c>
      <c r="H608">
        <v>2</v>
      </c>
      <c r="I608">
        <v>197.1</v>
      </c>
      <c r="J608">
        <v>0.15</v>
      </c>
      <c r="K608">
        <v>335.07</v>
      </c>
    </row>
    <row r="609" spans="1:11" x14ac:dyDescent="0.35">
      <c r="A609" t="s">
        <v>931</v>
      </c>
      <c r="B609" s="1">
        <v>45602</v>
      </c>
      <c r="C609" t="s">
        <v>56</v>
      </c>
      <c r="D609" t="s">
        <v>19</v>
      </c>
      <c r="E609" t="s">
        <v>223</v>
      </c>
      <c r="F609" t="s">
        <v>35</v>
      </c>
      <c r="G609" t="s">
        <v>67</v>
      </c>
      <c r="H609">
        <v>11</v>
      </c>
      <c r="I609">
        <v>231.51</v>
      </c>
      <c r="J609">
        <v>0</v>
      </c>
      <c r="K609">
        <v>2546.61</v>
      </c>
    </row>
    <row r="610" spans="1:11" x14ac:dyDescent="0.35">
      <c r="A610" t="s">
        <v>932</v>
      </c>
      <c r="B610" s="1">
        <v>45393</v>
      </c>
      <c r="C610" t="s">
        <v>33</v>
      </c>
      <c r="D610" t="s">
        <v>13</v>
      </c>
      <c r="E610" t="s">
        <v>334</v>
      </c>
      <c r="F610" t="s">
        <v>21</v>
      </c>
      <c r="G610" t="s">
        <v>129</v>
      </c>
      <c r="H610">
        <v>5</v>
      </c>
      <c r="I610">
        <v>149.99</v>
      </c>
      <c r="J610">
        <v>0</v>
      </c>
      <c r="K610">
        <v>749.95</v>
      </c>
    </row>
    <row r="611" spans="1:11" x14ac:dyDescent="0.35">
      <c r="A611" t="s">
        <v>933</v>
      </c>
      <c r="B611" s="1">
        <v>45391</v>
      </c>
      <c r="C611" t="s">
        <v>56</v>
      </c>
      <c r="D611" t="s">
        <v>13</v>
      </c>
      <c r="E611" t="s">
        <v>225</v>
      </c>
      <c r="F611" t="s">
        <v>35</v>
      </c>
      <c r="G611" t="s">
        <v>83</v>
      </c>
      <c r="H611">
        <v>11</v>
      </c>
      <c r="I611">
        <v>209.29</v>
      </c>
      <c r="J611">
        <v>0.05</v>
      </c>
      <c r="K611">
        <v>2187.08</v>
      </c>
    </row>
    <row r="612" spans="1:11" x14ac:dyDescent="0.35">
      <c r="A612" t="s">
        <v>934</v>
      </c>
      <c r="B612" s="1">
        <v>45549</v>
      </c>
      <c r="C612" t="s">
        <v>24</v>
      </c>
      <c r="D612" t="s">
        <v>42</v>
      </c>
      <c r="E612" t="s">
        <v>531</v>
      </c>
      <c r="F612" t="s">
        <v>44</v>
      </c>
      <c r="G612" t="s">
        <v>86</v>
      </c>
      <c r="H612">
        <v>12</v>
      </c>
      <c r="I612">
        <v>219.16</v>
      </c>
      <c r="J612">
        <v>0.05</v>
      </c>
      <c r="K612">
        <v>2498.42</v>
      </c>
    </row>
    <row r="613" spans="1:11" x14ac:dyDescent="0.35">
      <c r="A613" t="s">
        <v>935</v>
      </c>
      <c r="B613" s="2">
        <v>45652</v>
      </c>
      <c r="C613" t="s">
        <v>38</v>
      </c>
      <c r="D613" t="s">
        <v>25</v>
      </c>
      <c r="E613" t="s">
        <v>14</v>
      </c>
      <c r="F613" t="s">
        <v>35</v>
      </c>
      <c r="G613" t="s">
        <v>36</v>
      </c>
      <c r="H613">
        <v>7</v>
      </c>
      <c r="I613">
        <v>58.06</v>
      </c>
      <c r="J613">
        <v>0</v>
      </c>
      <c r="K613">
        <v>406.42</v>
      </c>
    </row>
    <row r="614" spans="1:11" x14ac:dyDescent="0.35">
      <c r="A614" t="s">
        <v>936</v>
      </c>
      <c r="B614" s="2">
        <v>45352</v>
      </c>
      <c r="C614" t="s">
        <v>72</v>
      </c>
      <c r="D614" t="s">
        <v>13</v>
      </c>
      <c r="E614" t="s">
        <v>257</v>
      </c>
      <c r="F614" t="s">
        <v>21</v>
      </c>
      <c r="G614" t="s">
        <v>70</v>
      </c>
      <c r="H614">
        <v>10</v>
      </c>
      <c r="I614">
        <v>153.55000000000001</v>
      </c>
      <c r="J614">
        <v>0</v>
      </c>
      <c r="K614">
        <v>1535.5</v>
      </c>
    </row>
    <row r="615" spans="1:11" x14ac:dyDescent="0.35">
      <c r="A615" t="s">
        <v>937</v>
      </c>
      <c r="B615" s="1">
        <v>45463</v>
      </c>
      <c r="C615" t="s">
        <v>48</v>
      </c>
      <c r="D615" t="s">
        <v>25</v>
      </c>
      <c r="E615" t="s">
        <v>282</v>
      </c>
      <c r="F615" t="s">
        <v>53</v>
      </c>
      <c r="G615" t="s">
        <v>260</v>
      </c>
      <c r="H615">
        <v>3</v>
      </c>
      <c r="I615">
        <v>63.68</v>
      </c>
      <c r="J615">
        <v>0.1</v>
      </c>
      <c r="K615">
        <v>171.94</v>
      </c>
    </row>
    <row r="616" spans="1:11" x14ac:dyDescent="0.35">
      <c r="A616" t="s">
        <v>938</v>
      </c>
      <c r="B616" t="s">
        <v>581</v>
      </c>
      <c r="C616" t="s">
        <v>65</v>
      </c>
      <c r="D616" t="s">
        <v>42</v>
      </c>
      <c r="E616" t="s">
        <v>193</v>
      </c>
      <c r="F616" t="s">
        <v>15</v>
      </c>
      <c r="G616" t="s">
        <v>111</v>
      </c>
      <c r="H616">
        <v>1</v>
      </c>
      <c r="I616">
        <v>48.27</v>
      </c>
      <c r="J616">
        <v>0.05</v>
      </c>
      <c r="K616">
        <v>45.86</v>
      </c>
    </row>
    <row r="617" spans="1:11" x14ac:dyDescent="0.35">
      <c r="A617" t="s">
        <v>939</v>
      </c>
      <c r="B617" t="s">
        <v>740</v>
      </c>
      <c r="C617" t="s">
        <v>18</v>
      </c>
      <c r="D617" t="s">
        <v>42</v>
      </c>
      <c r="F617" t="s">
        <v>15</v>
      </c>
      <c r="G617" t="s">
        <v>16</v>
      </c>
      <c r="H617">
        <v>12</v>
      </c>
      <c r="I617">
        <v>74.2</v>
      </c>
      <c r="J617">
        <v>0</v>
      </c>
      <c r="K617">
        <v>890.4</v>
      </c>
    </row>
    <row r="618" spans="1:11" x14ac:dyDescent="0.35">
      <c r="A618" t="s">
        <v>940</v>
      </c>
      <c r="B618" s="1">
        <v>45571</v>
      </c>
      <c r="C618" t="s">
        <v>41</v>
      </c>
      <c r="D618" t="s">
        <v>19</v>
      </c>
      <c r="E618" t="s">
        <v>137</v>
      </c>
      <c r="F618" t="s">
        <v>35</v>
      </c>
      <c r="G618" t="s">
        <v>36</v>
      </c>
      <c r="H618">
        <v>10</v>
      </c>
      <c r="I618">
        <v>115.81</v>
      </c>
      <c r="J618">
        <v>0</v>
      </c>
      <c r="K618">
        <v>1158.0999999999999</v>
      </c>
    </row>
    <row r="619" spans="1:11" x14ac:dyDescent="0.35">
      <c r="A619" t="s">
        <v>941</v>
      </c>
      <c r="B619" s="2">
        <v>45428</v>
      </c>
      <c r="C619" t="s">
        <v>38</v>
      </c>
      <c r="D619" t="s">
        <v>19</v>
      </c>
      <c r="E619" t="s">
        <v>155</v>
      </c>
      <c r="F619" t="s">
        <v>44</v>
      </c>
      <c r="G619" t="s">
        <v>107</v>
      </c>
      <c r="H619">
        <v>12</v>
      </c>
      <c r="I619">
        <v>34.93</v>
      </c>
      <c r="J619">
        <v>0.15</v>
      </c>
      <c r="K619">
        <v>356.29</v>
      </c>
    </row>
    <row r="620" spans="1:11" x14ac:dyDescent="0.35">
      <c r="A620" t="s">
        <v>942</v>
      </c>
      <c r="B620" s="1">
        <v>45309</v>
      </c>
      <c r="C620" t="s">
        <v>38</v>
      </c>
      <c r="D620" t="s">
        <v>19</v>
      </c>
      <c r="E620" t="s">
        <v>309</v>
      </c>
      <c r="F620" t="s">
        <v>21</v>
      </c>
      <c r="G620" t="s">
        <v>129</v>
      </c>
      <c r="H620">
        <v>9</v>
      </c>
      <c r="I620">
        <v>245.08</v>
      </c>
      <c r="J620">
        <v>0</v>
      </c>
      <c r="K620">
        <v>2205.7199999999998</v>
      </c>
    </row>
    <row r="621" spans="1:11" x14ac:dyDescent="0.35">
      <c r="A621" t="s">
        <v>943</v>
      </c>
      <c r="B621" s="2">
        <v>45476</v>
      </c>
      <c r="C621" t="s">
        <v>38</v>
      </c>
      <c r="D621" t="s">
        <v>19</v>
      </c>
      <c r="E621" t="s">
        <v>131</v>
      </c>
      <c r="F621" t="s">
        <v>44</v>
      </c>
      <c r="G621" t="s">
        <v>107</v>
      </c>
      <c r="H621">
        <v>7</v>
      </c>
      <c r="I621">
        <v>114.64</v>
      </c>
      <c r="J621">
        <v>0</v>
      </c>
      <c r="K621">
        <v>802.48</v>
      </c>
    </row>
    <row r="622" spans="1:11" x14ac:dyDescent="0.35">
      <c r="A622" t="s">
        <v>944</v>
      </c>
      <c r="B622" s="1">
        <v>45387</v>
      </c>
      <c r="C622" t="s">
        <v>56</v>
      </c>
      <c r="D622" t="s">
        <v>42</v>
      </c>
      <c r="E622" t="s">
        <v>82</v>
      </c>
      <c r="F622" t="s">
        <v>53</v>
      </c>
      <c r="G622" t="s">
        <v>260</v>
      </c>
      <c r="H622">
        <v>4</v>
      </c>
      <c r="I622">
        <v>65.099999999999994</v>
      </c>
      <c r="J622">
        <v>0.15</v>
      </c>
      <c r="K622">
        <v>221.34</v>
      </c>
    </row>
    <row r="623" spans="1:11" x14ac:dyDescent="0.35">
      <c r="A623" t="s">
        <v>945</v>
      </c>
      <c r="B623" s="1">
        <v>45445</v>
      </c>
      <c r="C623" t="s">
        <v>24</v>
      </c>
      <c r="D623" t="s">
        <v>57</v>
      </c>
      <c r="E623" t="s">
        <v>52</v>
      </c>
      <c r="F623" t="s">
        <v>35</v>
      </c>
      <c r="G623" t="s">
        <v>83</v>
      </c>
      <c r="H623">
        <v>7</v>
      </c>
      <c r="I623">
        <v>95.3</v>
      </c>
      <c r="J623">
        <v>0</v>
      </c>
      <c r="K623">
        <v>667.1</v>
      </c>
    </row>
    <row r="624" spans="1:11" x14ac:dyDescent="0.35">
      <c r="A624" t="s">
        <v>946</v>
      </c>
      <c r="B624" s="1">
        <v>45366</v>
      </c>
      <c r="C624" t="s">
        <v>56</v>
      </c>
      <c r="D624" t="s">
        <v>57</v>
      </c>
      <c r="E624" t="s">
        <v>642</v>
      </c>
      <c r="F624" t="s">
        <v>44</v>
      </c>
      <c r="G624" t="s">
        <v>50</v>
      </c>
      <c r="H624">
        <v>10</v>
      </c>
      <c r="I624">
        <v>190.7</v>
      </c>
      <c r="J624">
        <v>0</v>
      </c>
      <c r="K624">
        <v>1907</v>
      </c>
    </row>
    <row r="625" spans="1:11" x14ac:dyDescent="0.35">
      <c r="A625" t="s">
        <v>947</v>
      </c>
      <c r="B625" s="1">
        <v>45609</v>
      </c>
      <c r="C625" t="s">
        <v>90</v>
      </c>
      <c r="D625" t="s">
        <v>42</v>
      </c>
      <c r="E625" t="s">
        <v>390</v>
      </c>
      <c r="F625" t="s">
        <v>44</v>
      </c>
      <c r="G625" t="s">
        <v>50</v>
      </c>
      <c r="H625">
        <v>3</v>
      </c>
      <c r="I625">
        <v>165</v>
      </c>
      <c r="J625">
        <v>0</v>
      </c>
      <c r="K625">
        <v>495</v>
      </c>
    </row>
    <row r="626" spans="1:11" x14ac:dyDescent="0.35">
      <c r="A626" t="s">
        <v>948</v>
      </c>
      <c r="B626" s="1">
        <v>45385</v>
      </c>
      <c r="C626" t="s">
        <v>33</v>
      </c>
      <c r="D626" t="s">
        <v>57</v>
      </c>
      <c r="E626" t="s">
        <v>608</v>
      </c>
      <c r="F626" t="s">
        <v>53</v>
      </c>
      <c r="G626" t="s">
        <v>260</v>
      </c>
      <c r="H626">
        <v>12</v>
      </c>
      <c r="I626">
        <v>46</v>
      </c>
      <c r="J626">
        <v>0</v>
      </c>
      <c r="K626">
        <v>552</v>
      </c>
    </row>
    <row r="627" spans="1:11" x14ac:dyDescent="0.35">
      <c r="A627" t="s">
        <v>949</v>
      </c>
      <c r="B627" s="1">
        <v>45494</v>
      </c>
      <c r="C627" t="s">
        <v>90</v>
      </c>
      <c r="D627" t="s">
        <v>57</v>
      </c>
      <c r="E627" t="s">
        <v>696</v>
      </c>
      <c r="F627" t="s">
        <v>44</v>
      </c>
      <c r="G627" t="s">
        <v>107</v>
      </c>
      <c r="H627">
        <v>9</v>
      </c>
      <c r="I627">
        <v>128.01</v>
      </c>
      <c r="J627">
        <v>0.1</v>
      </c>
      <c r="K627">
        <v>1036.8800000000001</v>
      </c>
    </row>
    <row r="628" spans="1:11" x14ac:dyDescent="0.35">
      <c r="A628" t="s">
        <v>950</v>
      </c>
      <c r="B628" s="2">
        <v>45517</v>
      </c>
      <c r="C628" t="s">
        <v>29</v>
      </c>
      <c r="D628" t="s">
        <v>42</v>
      </c>
      <c r="E628" t="s">
        <v>951</v>
      </c>
      <c r="F628" t="s">
        <v>21</v>
      </c>
      <c r="G628" t="s">
        <v>22</v>
      </c>
      <c r="H628">
        <v>7</v>
      </c>
      <c r="I628">
        <v>151.71</v>
      </c>
      <c r="J628">
        <v>0</v>
      </c>
      <c r="K628">
        <v>1061.97</v>
      </c>
    </row>
    <row r="629" spans="1:11" x14ac:dyDescent="0.35">
      <c r="A629" t="s">
        <v>952</v>
      </c>
      <c r="B629" s="2">
        <v>45293</v>
      </c>
      <c r="C629" t="s">
        <v>102</v>
      </c>
      <c r="D629" t="s">
        <v>57</v>
      </c>
      <c r="E629" t="s">
        <v>85</v>
      </c>
      <c r="F629" t="s">
        <v>44</v>
      </c>
      <c r="G629" t="s">
        <v>86</v>
      </c>
      <c r="H629">
        <v>7</v>
      </c>
      <c r="I629">
        <v>218.28</v>
      </c>
      <c r="J629">
        <v>0.15</v>
      </c>
      <c r="K629">
        <v>1298.77</v>
      </c>
    </row>
    <row r="630" spans="1:11" x14ac:dyDescent="0.35">
      <c r="A630" t="s">
        <v>953</v>
      </c>
      <c r="B630" s="1">
        <v>45319</v>
      </c>
      <c r="C630" t="s">
        <v>38</v>
      </c>
      <c r="D630" t="s">
        <v>57</v>
      </c>
      <c r="E630" t="s">
        <v>26</v>
      </c>
      <c r="F630" t="s">
        <v>35</v>
      </c>
      <c r="G630" t="s">
        <v>177</v>
      </c>
      <c r="H630">
        <v>7</v>
      </c>
      <c r="I630">
        <v>74.84</v>
      </c>
      <c r="J630">
        <v>0</v>
      </c>
      <c r="K630">
        <v>523.88</v>
      </c>
    </row>
    <row r="631" spans="1:11" x14ac:dyDescent="0.35">
      <c r="A631" t="s">
        <v>954</v>
      </c>
      <c r="B631" s="1">
        <v>45334</v>
      </c>
      <c r="C631" t="s">
        <v>29</v>
      </c>
      <c r="D631" t="s">
        <v>19</v>
      </c>
      <c r="E631" t="s">
        <v>93</v>
      </c>
      <c r="F631" t="s">
        <v>53</v>
      </c>
      <c r="G631" t="s">
        <v>104</v>
      </c>
      <c r="H631">
        <v>10</v>
      </c>
      <c r="I631">
        <v>86.67</v>
      </c>
      <c r="J631">
        <v>0.15</v>
      </c>
      <c r="K631">
        <v>736.7</v>
      </c>
    </row>
    <row r="632" spans="1:11" x14ac:dyDescent="0.35">
      <c r="A632" t="s">
        <v>955</v>
      </c>
      <c r="B632" s="1">
        <v>45513</v>
      </c>
      <c r="C632" t="s">
        <v>102</v>
      </c>
      <c r="D632" t="s">
        <v>42</v>
      </c>
      <c r="E632" t="s">
        <v>842</v>
      </c>
      <c r="F632" t="s">
        <v>15</v>
      </c>
      <c r="G632" t="s">
        <v>74</v>
      </c>
      <c r="H632">
        <v>10</v>
      </c>
      <c r="I632">
        <v>226.41</v>
      </c>
      <c r="J632">
        <v>0</v>
      </c>
      <c r="K632">
        <v>2264.1</v>
      </c>
    </row>
    <row r="633" spans="1:11" x14ac:dyDescent="0.35">
      <c r="A633" t="s">
        <v>956</v>
      </c>
      <c r="B633" s="2">
        <v>45478</v>
      </c>
      <c r="C633" t="s">
        <v>79</v>
      </c>
      <c r="D633" t="s">
        <v>13</v>
      </c>
      <c r="E633" t="s">
        <v>415</v>
      </c>
      <c r="F633" t="s">
        <v>21</v>
      </c>
      <c r="G633" t="s">
        <v>70</v>
      </c>
      <c r="H633">
        <v>10</v>
      </c>
      <c r="I633">
        <v>243.89</v>
      </c>
      <c r="J633">
        <v>0.1</v>
      </c>
      <c r="K633">
        <v>2195.0100000000002</v>
      </c>
    </row>
    <row r="634" spans="1:11" x14ac:dyDescent="0.35">
      <c r="A634" t="s">
        <v>957</v>
      </c>
      <c r="B634" s="1">
        <v>45494</v>
      </c>
      <c r="C634" t="s">
        <v>72</v>
      </c>
      <c r="D634" t="s">
        <v>13</v>
      </c>
      <c r="E634" t="s">
        <v>586</v>
      </c>
      <c r="F634" t="s">
        <v>44</v>
      </c>
      <c r="G634" t="s">
        <v>45</v>
      </c>
      <c r="H634">
        <v>4</v>
      </c>
      <c r="I634">
        <v>61.58</v>
      </c>
      <c r="J634">
        <v>0.05</v>
      </c>
      <c r="K634">
        <v>234</v>
      </c>
    </row>
    <row r="635" spans="1:11" x14ac:dyDescent="0.35">
      <c r="A635" t="s">
        <v>958</v>
      </c>
      <c r="B635" s="1">
        <v>45501</v>
      </c>
      <c r="C635" t="s">
        <v>24</v>
      </c>
      <c r="D635" t="s">
        <v>42</v>
      </c>
      <c r="E635" t="s">
        <v>404</v>
      </c>
      <c r="F635" t="s">
        <v>35</v>
      </c>
      <c r="G635" t="s">
        <v>134</v>
      </c>
      <c r="H635">
        <v>9</v>
      </c>
      <c r="I635">
        <v>24.52</v>
      </c>
      <c r="J635">
        <v>0.1</v>
      </c>
      <c r="K635">
        <v>198.61</v>
      </c>
    </row>
    <row r="636" spans="1:11" x14ac:dyDescent="0.35">
      <c r="A636" t="s">
        <v>959</v>
      </c>
      <c r="B636" t="s">
        <v>960</v>
      </c>
      <c r="C636" t="s">
        <v>24</v>
      </c>
      <c r="D636" t="s">
        <v>42</v>
      </c>
      <c r="E636" t="s">
        <v>390</v>
      </c>
      <c r="F636" t="s">
        <v>21</v>
      </c>
      <c r="G636" t="s">
        <v>167</v>
      </c>
      <c r="H636">
        <v>12</v>
      </c>
      <c r="I636">
        <v>242.61</v>
      </c>
      <c r="J636">
        <v>0</v>
      </c>
      <c r="K636">
        <v>2911.32</v>
      </c>
    </row>
    <row r="637" spans="1:11" x14ac:dyDescent="0.35">
      <c r="A637" t="s">
        <v>961</v>
      </c>
      <c r="B637" s="1">
        <v>45393</v>
      </c>
      <c r="C637" t="s">
        <v>33</v>
      </c>
      <c r="D637" t="s">
        <v>13</v>
      </c>
      <c r="E637" t="s">
        <v>278</v>
      </c>
      <c r="F637" t="s">
        <v>53</v>
      </c>
      <c r="G637" t="s">
        <v>125</v>
      </c>
      <c r="H637">
        <v>11</v>
      </c>
      <c r="I637">
        <v>191.25</v>
      </c>
      <c r="J637">
        <v>0</v>
      </c>
      <c r="K637">
        <v>2103.75</v>
      </c>
    </row>
    <row r="638" spans="1:11" x14ac:dyDescent="0.35">
      <c r="A638" t="s">
        <v>962</v>
      </c>
      <c r="B638" t="s">
        <v>963</v>
      </c>
      <c r="C638" t="s">
        <v>79</v>
      </c>
      <c r="D638" t="s">
        <v>57</v>
      </c>
      <c r="E638" t="s">
        <v>223</v>
      </c>
      <c r="F638" t="s">
        <v>15</v>
      </c>
      <c r="G638" t="s">
        <v>27</v>
      </c>
      <c r="H638">
        <v>10</v>
      </c>
      <c r="I638">
        <v>214.03</v>
      </c>
      <c r="J638">
        <v>0.1</v>
      </c>
      <c r="K638">
        <v>1926.27</v>
      </c>
    </row>
    <row r="639" spans="1:11" x14ac:dyDescent="0.35">
      <c r="A639" t="s">
        <v>964</v>
      </c>
      <c r="B639" s="2">
        <v>45297</v>
      </c>
      <c r="C639" t="s">
        <v>48</v>
      </c>
      <c r="D639" t="s">
        <v>42</v>
      </c>
      <c r="E639" t="s">
        <v>506</v>
      </c>
      <c r="F639" t="s">
        <v>21</v>
      </c>
      <c r="G639" t="s">
        <v>70</v>
      </c>
      <c r="H639">
        <v>11</v>
      </c>
      <c r="I639">
        <v>165.19</v>
      </c>
      <c r="J639">
        <v>0.05</v>
      </c>
      <c r="K639">
        <v>1726.24</v>
      </c>
    </row>
    <row r="640" spans="1:11" x14ac:dyDescent="0.35">
      <c r="A640" t="s">
        <v>965</v>
      </c>
      <c r="B640" s="1">
        <v>45593</v>
      </c>
      <c r="C640" t="s">
        <v>56</v>
      </c>
      <c r="D640" t="s">
        <v>13</v>
      </c>
      <c r="E640" t="s">
        <v>404</v>
      </c>
      <c r="F640" t="s">
        <v>53</v>
      </c>
      <c r="G640" t="s">
        <v>54</v>
      </c>
      <c r="H640">
        <v>10</v>
      </c>
      <c r="I640">
        <v>215.96</v>
      </c>
      <c r="J640">
        <v>0.15</v>
      </c>
      <c r="K640">
        <v>1835.66</v>
      </c>
    </row>
    <row r="641" spans="1:11" x14ac:dyDescent="0.35">
      <c r="A641" t="s">
        <v>966</v>
      </c>
      <c r="B641" s="1">
        <v>45392</v>
      </c>
      <c r="C641" t="s">
        <v>12</v>
      </c>
      <c r="D641" t="s">
        <v>42</v>
      </c>
      <c r="E641" t="s">
        <v>586</v>
      </c>
      <c r="F641" t="s">
        <v>15</v>
      </c>
      <c r="G641" t="s">
        <v>27</v>
      </c>
      <c r="H641">
        <v>1</v>
      </c>
      <c r="I641">
        <v>172.13</v>
      </c>
      <c r="J641">
        <v>0</v>
      </c>
      <c r="K641">
        <v>172.13</v>
      </c>
    </row>
    <row r="642" spans="1:11" x14ac:dyDescent="0.35">
      <c r="A642" t="s">
        <v>967</v>
      </c>
      <c r="B642" s="1">
        <v>45630</v>
      </c>
      <c r="C642" t="s">
        <v>65</v>
      </c>
      <c r="D642" t="s">
        <v>19</v>
      </c>
      <c r="E642" t="s">
        <v>62</v>
      </c>
      <c r="F642" t="s">
        <v>35</v>
      </c>
      <c r="G642" t="s">
        <v>134</v>
      </c>
      <c r="H642">
        <v>3</v>
      </c>
      <c r="I642">
        <v>17.23</v>
      </c>
      <c r="J642">
        <v>0</v>
      </c>
      <c r="K642">
        <v>51.69</v>
      </c>
    </row>
    <row r="643" spans="1:11" x14ac:dyDescent="0.35">
      <c r="A643" t="s">
        <v>968</v>
      </c>
      <c r="B643" s="2">
        <v>45452</v>
      </c>
      <c r="C643" t="s">
        <v>41</v>
      </c>
      <c r="E643" t="s">
        <v>608</v>
      </c>
      <c r="F643" t="s">
        <v>21</v>
      </c>
      <c r="G643" t="s">
        <v>167</v>
      </c>
      <c r="H643">
        <v>6</v>
      </c>
      <c r="I643">
        <v>34.58</v>
      </c>
      <c r="J643">
        <v>0</v>
      </c>
      <c r="K643">
        <v>207.48</v>
      </c>
    </row>
    <row r="644" spans="1:11" x14ac:dyDescent="0.35">
      <c r="A644" t="s">
        <v>969</v>
      </c>
      <c r="B644" s="1">
        <v>45293</v>
      </c>
      <c r="C644" t="s">
        <v>33</v>
      </c>
      <c r="D644" t="s">
        <v>19</v>
      </c>
      <c r="E644" t="s">
        <v>155</v>
      </c>
      <c r="F644" t="s">
        <v>15</v>
      </c>
      <c r="G644" t="s">
        <v>16</v>
      </c>
      <c r="H644">
        <v>10</v>
      </c>
      <c r="I644">
        <v>182.88</v>
      </c>
      <c r="J644">
        <v>0.1</v>
      </c>
      <c r="K644">
        <v>1645.92</v>
      </c>
    </row>
    <row r="645" spans="1:11" x14ac:dyDescent="0.35">
      <c r="A645" t="s">
        <v>970</v>
      </c>
      <c r="B645" t="s">
        <v>971</v>
      </c>
      <c r="C645" t="s">
        <v>65</v>
      </c>
      <c r="D645" t="s">
        <v>25</v>
      </c>
      <c r="E645" t="s">
        <v>771</v>
      </c>
      <c r="F645" t="s">
        <v>53</v>
      </c>
      <c r="G645" t="s">
        <v>125</v>
      </c>
      <c r="H645">
        <v>11</v>
      </c>
      <c r="I645">
        <v>35.92</v>
      </c>
      <c r="J645">
        <v>0</v>
      </c>
      <c r="K645">
        <v>395.12</v>
      </c>
    </row>
    <row r="646" spans="1:11" x14ac:dyDescent="0.35">
      <c r="A646" t="s">
        <v>972</v>
      </c>
      <c r="B646" t="s">
        <v>973</v>
      </c>
      <c r="C646" t="s">
        <v>18</v>
      </c>
      <c r="D646" t="s">
        <v>19</v>
      </c>
      <c r="E646" t="s">
        <v>286</v>
      </c>
      <c r="F646" t="s">
        <v>21</v>
      </c>
      <c r="G646" t="s">
        <v>22</v>
      </c>
      <c r="H646">
        <v>5</v>
      </c>
      <c r="I646">
        <v>32.11</v>
      </c>
      <c r="J646">
        <v>0</v>
      </c>
      <c r="K646">
        <v>160.55000000000001</v>
      </c>
    </row>
    <row r="647" spans="1:11" x14ac:dyDescent="0.35">
      <c r="A647" t="s">
        <v>974</v>
      </c>
      <c r="B647" s="2">
        <v>45519</v>
      </c>
      <c r="C647" t="s">
        <v>72</v>
      </c>
      <c r="D647" t="s">
        <v>25</v>
      </c>
      <c r="E647" t="s">
        <v>508</v>
      </c>
      <c r="F647" t="s">
        <v>21</v>
      </c>
      <c r="G647" t="s">
        <v>167</v>
      </c>
      <c r="H647">
        <v>2</v>
      </c>
      <c r="I647">
        <v>18.64</v>
      </c>
      <c r="J647">
        <v>0</v>
      </c>
      <c r="K647">
        <v>37.28</v>
      </c>
    </row>
    <row r="648" spans="1:11" x14ac:dyDescent="0.35">
      <c r="A648" t="s">
        <v>975</v>
      </c>
      <c r="B648" s="2">
        <v>45518</v>
      </c>
      <c r="C648" t="s">
        <v>24</v>
      </c>
      <c r="D648" t="s">
        <v>42</v>
      </c>
      <c r="E648" t="s">
        <v>233</v>
      </c>
      <c r="F648" t="s">
        <v>35</v>
      </c>
      <c r="G648" t="s">
        <v>83</v>
      </c>
      <c r="H648">
        <v>9</v>
      </c>
      <c r="I648">
        <v>170.53</v>
      </c>
      <c r="J648">
        <v>0.05</v>
      </c>
      <c r="K648">
        <v>1458.03</v>
      </c>
    </row>
    <row r="649" spans="1:11" x14ac:dyDescent="0.35">
      <c r="A649" t="s">
        <v>976</v>
      </c>
      <c r="B649" s="1">
        <v>45345</v>
      </c>
      <c r="C649" t="s">
        <v>24</v>
      </c>
      <c r="D649" t="s">
        <v>25</v>
      </c>
      <c r="E649" t="s">
        <v>155</v>
      </c>
      <c r="F649" t="s">
        <v>44</v>
      </c>
      <c r="G649" t="s">
        <v>94</v>
      </c>
      <c r="H649">
        <v>7</v>
      </c>
      <c r="I649">
        <v>89.93</v>
      </c>
      <c r="J649">
        <v>0.15</v>
      </c>
      <c r="K649">
        <v>535.08000000000004</v>
      </c>
    </row>
    <row r="650" spans="1:11" x14ac:dyDescent="0.35">
      <c r="A650" t="s">
        <v>977</v>
      </c>
      <c r="B650" s="2">
        <v>45324</v>
      </c>
      <c r="C650" t="s">
        <v>102</v>
      </c>
      <c r="D650" t="s">
        <v>19</v>
      </c>
      <c r="E650" t="s">
        <v>346</v>
      </c>
      <c r="F650" t="s">
        <v>44</v>
      </c>
      <c r="G650" t="s">
        <v>86</v>
      </c>
      <c r="H650">
        <v>7</v>
      </c>
      <c r="I650">
        <v>58.37</v>
      </c>
      <c r="J650">
        <v>0</v>
      </c>
      <c r="K650">
        <v>408.59</v>
      </c>
    </row>
    <row r="651" spans="1:11" x14ac:dyDescent="0.35">
      <c r="A651" t="s">
        <v>978</v>
      </c>
      <c r="B651" s="2">
        <v>45475</v>
      </c>
      <c r="C651" t="s">
        <v>65</v>
      </c>
      <c r="D651" t="s">
        <v>25</v>
      </c>
      <c r="E651" t="s">
        <v>152</v>
      </c>
      <c r="F651" t="s">
        <v>35</v>
      </c>
      <c r="G651" t="s">
        <v>36</v>
      </c>
      <c r="H651">
        <v>12</v>
      </c>
      <c r="I651">
        <v>48.41</v>
      </c>
      <c r="J651">
        <v>0</v>
      </c>
      <c r="K651">
        <v>580.91999999999996</v>
      </c>
    </row>
    <row r="652" spans="1:11" x14ac:dyDescent="0.35">
      <c r="A652" t="s">
        <v>979</v>
      </c>
      <c r="B652" s="2">
        <v>45534</v>
      </c>
      <c r="C652" t="s">
        <v>38</v>
      </c>
      <c r="D652" t="s">
        <v>19</v>
      </c>
      <c r="E652" t="s">
        <v>286</v>
      </c>
      <c r="F652" t="s">
        <v>35</v>
      </c>
      <c r="G652" t="s">
        <v>67</v>
      </c>
      <c r="H652">
        <v>11</v>
      </c>
      <c r="I652">
        <v>99.59</v>
      </c>
      <c r="J652">
        <v>0.15</v>
      </c>
      <c r="K652">
        <v>931.17</v>
      </c>
    </row>
    <row r="653" spans="1:11" x14ac:dyDescent="0.35">
      <c r="A653" t="s">
        <v>980</v>
      </c>
      <c r="B653" s="1">
        <v>45627</v>
      </c>
      <c r="C653" t="s">
        <v>56</v>
      </c>
      <c r="D653" t="s">
        <v>19</v>
      </c>
      <c r="E653" t="s">
        <v>26</v>
      </c>
      <c r="F653" t="s">
        <v>44</v>
      </c>
      <c r="G653" t="s">
        <v>86</v>
      </c>
      <c r="H653">
        <v>3</v>
      </c>
      <c r="I653">
        <v>117.57</v>
      </c>
      <c r="J653">
        <v>0</v>
      </c>
      <c r="K653">
        <v>352.71</v>
      </c>
    </row>
    <row r="654" spans="1:11" x14ac:dyDescent="0.35">
      <c r="A654" t="s">
        <v>981</v>
      </c>
      <c r="B654" s="1">
        <v>45451</v>
      </c>
      <c r="C654" t="s">
        <v>38</v>
      </c>
      <c r="D654" t="s">
        <v>19</v>
      </c>
      <c r="E654" t="s">
        <v>431</v>
      </c>
      <c r="F654" t="s">
        <v>35</v>
      </c>
      <c r="G654" t="s">
        <v>177</v>
      </c>
      <c r="H654">
        <v>10</v>
      </c>
      <c r="I654">
        <v>135.02000000000001</v>
      </c>
      <c r="J654">
        <v>0</v>
      </c>
      <c r="K654">
        <v>1350.2</v>
      </c>
    </row>
    <row r="655" spans="1:11" x14ac:dyDescent="0.35">
      <c r="A655" t="s">
        <v>982</v>
      </c>
      <c r="B655" t="s">
        <v>983</v>
      </c>
      <c r="C655" t="s">
        <v>41</v>
      </c>
      <c r="D655" t="s">
        <v>13</v>
      </c>
      <c r="E655" t="s">
        <v>52</v>
      </c>
      <c r="F655" t="s">
        <v>53</v>
      </c>
      <c r="G655" t="s">
        <v>54</v>
      </c>
      <c r="H655">
        <v>12</v>
      </c>
      <c r="I655">
        <v>27.63</v>
      </c>
      <c r="J655">
        <v>0.1</v>
      </c>
      <c r="K655">
        <v>298.39999999999998</v>
      </c>
    </row>
    <row r="656" spans="1:11" x14ac:dyDescent="0.35">
      <c r="A656" t="s">
        <v>984</v>
      </c>
      <c r="B656" s="1">
        <v>45634</v>
      </c>
      <c r="C656" t="s">
        <v>38</v>
      </c>
      <c r="D656" t="s">
        <v>57</v>
      </c>
      <c r="E656" t="s">
        <v>137</v>
      </c>
      <c r="F656" t="s">
        <v>35</v>
      </c>
      <c r="G656" t="s">
        <v>67</v>
      </c>
      <c r="H656">
        <v>5</v>
      </c>
      <c r="I656">
        <v>88.88</v>
      </c>
      <c r="J656">
        <v>0</v>
      </c>
      <c r="K656">
        <v>444.4</v>
      </c>
    </row>
    <row r="657" spans="1:11" x14ac:dyDescent="0.35">
      <c r="A657" t="s">
        <v>985</v>
      </c>
      <c r="B657" s="1">
        <v>45579</v>
      </c>
      <c r="C657" t="s">
        <v>24</v>
      </c>
      <c r="D657" t="s">
        <v>42</v>
      </c>
      <c r="E657" t="s">
        <v>330</v>
      </c>
      <c r="F657" t="s">
        <v>15</v>
      </c>
      <c r="G657" t="s">
        <v>74</v>
      </c>
      <c r="H657">
        <v>12</v>
      </c>
      <c r="I657">
        <v>32.409999999999997</v>
      </c>
      <c r="J657">
        <v>0</v>
      </c>
      <c r="K657">
        <v>388.92</v>
      </c>
    </row>
    <row r="658" spans="1:11" x14ac:dyDescent="0.35">
      <c r="A658" t="s">
        <v>986</v>
      </c>
      <c r="B658" s="1">
        <v>45614</v>
      </c>
      <c r="C658" t="s">
        <v>38</v>
      </c>
      <c r="D658" t="s">
        <v>25</v>
      </c>
      <c r="E658" t="s">
        <v>128</v>
      </c>
      <c r="F658" t="s">
        <v>21</v>
      </c>
      <c r="G658" t="s">
        <v>70</v>
      </c>
      <c r="H658">
        <v>12</v>
      </c>
      <c r="I658">
        <v>123.5</v>
      </c>
      <c r="J658">
        <v>0.1</v>
      </c>
      <c r="K658">
        <v>1333.8</v>
      </c>
    </row>
    <row r="659" spans="1:11" x14ac:dyDescent="0.35">
      <c r="A659" t="s">
        <v>987</v>
      </c>
      <c r="B659" s="1">
        <v>45639</v>
      </c>
      <c r="C659" t="s">
        <v>56</v>
      </c>
      <c r="D659" t="s">
        <v>19</v>
      </c>
      <c r="E659" t="s">
        <v>302</v>
      </c>
      <c r="F659" t="s">
        <v>15</v>
      </c>
      <c r="G659" t="s">
        <v>111</v>
      </c>
      <c r="H659">
        <v>2</v>
      </c>
      <c r="I659">
        <v>158.35</v>
      </c>
      <c r="J659">
        <v>0</v>
      </c>
      <c r="K659">
        <v>316.7</v>
      </c>
    </row>
    <row r="660" spans="1:11" x14ac:dyDescent="0.35">
      <c r="A660" t="s">
        <v>988</v>
      </c>
      <c r="B660" s="2">
        <v>45337</v>
      </c>
      <c r="C660" t="s">
        <v>79</v>
      </c>
      <c r="D660" t="s">
        <v>57</v>
      </c>
      <c r="E660" t="s">
        <v>989</v>
      </c>
      <c r="F660" t="s">
        <v>15</v>
      </c>
      <c r="G660" t="s">
        <v>74</v>
      </c>
      <c r="H660">
        <v>4</v>
      </c>
      <c r="I660">
        <v>101.18</v>
      </c>
      <c r="J660">
        <v>0</v>
      </c>
      <c r="K660">
        <v>404.72</v>
      </c>
    </row>
    <row r="661" spans="1:11" x14ac:dyDescent="0.35">
      <c r="A661" t="s">
        <v>990</v>
      </c>
      <c r="B661" s="1">
        <v>45486</v>
      </c>
      <c r="C661" t="s">
        <v>41</v>
      </c>
      <c r="D661" t="s">
        <v>19</v>
      </c>
      <c r="E661" t="s">
        <v>366</v>
      </c>
      <c r="F661" t="s">
        <v>53</v>
      </c>
      <c r="G661" t="s">
        <v>104</v>
      </c>
      <c r="H661">
        <v>10</v>
      </c>
      <c r="I661">
        <v>81.150000000000006</v>
      </c>
      <c r="J661">
        <v>0.1</v>
      </c>
      <c r="K661">
        <v>730.35</v>
      </c>
    </row>
    <row r="662" spans="1:11" x14ac:dyDescent="0.35">
      <c r="A662" t="s">
        <v>991</v>
      </c>
      <c r="B662" s="1">
        <v>45391</v>
      </c>
      <c r="C662" t="s">
        <v>79</v>
      </c>
      <c r="D662" t="s">
        <v>19</v>
      </c>
      <c r="E662" t="s">
        <v>865</v>
      </c>
      <c r="F662" t="s">
        <v>53</v>
      </c>
      <c r="G662" t="s">
        <v>59</v>
      </c>
      <c r="H662">
        <v>11</v>
      </c>
      <c r="I662">
        <v>86.5</v>
      </c>
      <c r="J662">
        <v>0</v>
      </c>
      <c r="K662">
        <v>951.5</v>
      </c>
    </row>
    <row r="663" spans="1:11" x14ac:dyDescent="0.35">
      <c r="A663" t="s">
        <v>992</v>
      </c>
      <c r="B663" s="2">
        <v>45510</v>
      </c>
      <c r="C663" t="s">
        <v>33</v>
      </c>
      <c r="D663" t="s">
        <v>19</v>
      </c>
      <c r="E663" t="s">
        <v>52</v>
      </c>
      <c r="F663" t="s">
        <v>15</v>
      </c>
      <c r="G663" t="s">
        <v>147</v>
      </c>
      <c r="H663">
        <v>9</v>
      </c>
      <c r="I663">
        <v>84.79</v>
      </c>
      <c r="J663">
        <v>0.15</v>
      </c>
      <c r="K663">
        <v>648.64</v>
      </c>
    </row>
    <row r="664" spans="1:11" x14ac:dyDescent="0.35">
      <c r="A664" t="s">
        <v>993</v>
      </c>
      <c r="B664" s="1">
        <v>45339</v>
      </c>
      <c r="C664" t="s">
        <v>90</v>
      </c>
      <c r="D664" t="s">
        <v>13</v>
      </c>
      <c r="E664" t="s">
        <v>120</v>
      </c>
      <c r="F664" t="s">
        <v>53</v>
      </c>
      <c r="G664" t="s">
        <v>59</v>
      </c>
      <c r="H664">
        <v>10</v>
      </c>
      <c r="I664">
        <v>231.27</v>
      </c>
      <c r="J664">
        <v>0</v>
      </c>
      <c r="K664">
        <v>2312.6999999999998</v>
      </c>
    </row>
    <row r="665" spans="1:11" x14ac:dyDescent="0.35">
      <c r="A665" t="s">
        <v>994</v>
      </c>
      <c r="B665" s="2">
        <v>45313</v>
      </c>
      <c r="C665" t="s">
        <v>29</v>
      </c>
      <c r="D665" t="s">
        <v>25</v>
      </c>
      <c r="E665" t="s">
        <v>96</v>
      </c>
      <c r="F665" t="s">
        <v>35</v>
      </c>
      <c r="G665" t="s">
        <v>83</v>
      </c>
      <c r="H665">
        <v>6</v>
      </c>
      <c r="I665">
        <v>130.5</v>
      </c>
      <c r="J665">
        <v>0.05</v>
      </c>
      <c r="K665">
        <v>743.85</v>
      </c>
    </row>
    <row r="666" spans="1:11" x14ac:dyDescent="0.35">
      <c r="A666" t="s">
        <v>995</v>
      </c>
      <c r="B666" s="1">
        <v>45601</v>
      </c>
      <c r="C666" t="s">
        <v>41</v>
      </c>
      <c r="D666" t="s">
        <v>13</v>
      </c>
      <c r="E666" t="s">
        <v>233</v>
      </c>
      <c r="F666" t="s">
        <v>53</v>
      </c>
      <c r="G666" t="s">
        <v>104</v>
      </c>
      <c r="H666">
        <v>1</v>
      </c>
      <c r="I666">
        <v>237.82</v>
      </c>
      <c r="J666">
        <v>0.05</v>
      </c>
      <c r="K666">
        <v>225.93</v>
      </c>
    </row>
    <row r="667" spans="1:11" x14ac:dyDescent="0.35">
      <c r="A667" t="s">
        <v>996</v>
      </c>
      <c r="B667" s="1">
        <v>45326</v>
      </c>
      <c r="C667" t="s">
        <v>41</v>
      </c>
      <c r="D667" t="s">
        <v>57</v>
      </c>
      <c r="E667" t="s">
        <v>299</v>
      </c>
      <c r="F667" t="s">
        <v>35</v>
      </c>
      <c r="G667" t="s">
        <v>177</v>
      </c>
      <c r="H667">
        <v>2</v>
      </c>
      <c r="I667">
        <v>98.16</v>
      </c>
      <c r="J667">
        <v>0</v>
      </c>
      <c r="K667">
        <v>196.32</v>
      </c>
    </row>
    <row r="668" spans="1:11" x14ac:dyDescent="0.35">
      <c r="A668" t="s">
        <v>997</v>
      </c>
      <c r="B668" s="2">
        <v>45486</v>
      </c>
      <c r="C668" t="s">
        <v>72</v>
      </c>
      <c r="D668" t="s">
        <v>25</v>
      </c>
      <c r="E668" t="s">
        <v>142</v>
      </c>
      <c r="F668" t="s">
        <v>35</v>
      </c>
      <c r="G668" t="s">
        <v>177</v>
      </c>
      <c r="H668">
        <v>6</v>
      </c>
      <c r="I668">
        <v>6.44</v>
      </c>
      <c r="J668">
        <v>0</v>
      </c>
      <c r="K668">
        <v>38.64</v>
      </c>
    </row>
    <row r="669" spans="1:11" x14ac:dyDescent="0.35">
      <c r="A669" t="s">
        <v>998</v>
      </c>
      <c r="B669" s="1">
        <v>45399</v>
      </c>
      <c r="C669" t="s">
        <v>29</v>
      </c>
      <c r="D669" t="s">
        <v>25</v>
      </c>
      <c r="E669" t="s">
        <v>595</v>
      </c>
      <c r="F669" t="s">
        <v>15</v>
      </c>
      <c r="G669" t="s">
        <v>111</v>
      </c>
      <c r="H669">
        <v>3</v>
      </c>
      <c r="I669">
        <v>136.19</v>
      </c>
      <c r="J669">
        <v>0.1</v>
      </c>
      <c r="K669">
        <v>367.71</v>
      </c>
    </row>
    <row r="670" spans="1:11" x14ac:dyDescent="0.35">
      <c r="A670" t="s">
        <v>999</v>
      </c>
      <c r="B670" s="2">
        <v>45577</v>
      </c>
      <c r="C670" t="s">
        <v>72</v>
      </c>
      <c r="D670" t="s">
        <v>19</v>
      </c>
      <c r="E670" t="s">
        <v>460</v>
      </c>
      <c r="F670" t="s">
        <v>35</v>
      </c>
      <c r="G670" t="s">
        <v>36</v>
      </c>
      <c r="H670">
        <v>12</v>
      </c>
      <c r="I670">
        <v>206.4</v>
      </c>
      <c r="J670">
        <v>0</v>
      </c>
      <c r="K670">
        <v>2476.8000000000002</v>
      </c>
    </row>
    <row r="671" spans="1:11" x14ac:dyDescent="0.35">
      <c r="A671" t="s">
        <v>1000</v>
      </c>
      <c r="B671" s="1">
        <v>45313</v>
      </c>
      <c r="C671" t="s">
        <v>79</v>
      </c>
      <c r="D671" t="s">
        <v>42</v>
      </c>
      <c r="E671" t="s">
        <v>360</v>
      </c>
      <c r="F671" t="s">
        <v>35</v>
      </c>
      <c r="G671" t="s">
        <v>67</v>
      </c>
      <c r="H671">
        <v>7</v>
      </c>
      <c r="I671">
        <v>155.63999999999999</v>
      </c>
      <c r="J671">
        <v>0</v>
      </c>
      <c r="K671">
        <v>1089.48</v>
      </c>
    </row>
    <row r="672" spans="1:11" x14ac:dyDescent="0.35">
      <c r="A672" t="s">
        <v>1001</v>
      </c>
      <c r="B672" s="1">
        <v>45521</v>
      </c>
      <c r="C672" t="s">
        <v>33</v>
      </c>
      <c r="D672" t="s">
        <v>13</v>
      </c>
      <c r="E672" t="s">
        <v>133</v>
      </c>
      <c r="F672" t="s">
        <v>53</v>
      </c>
      <c r="G672" t="s">
        <v>260</v>
      </c>
      <c r="H672">
        <v>10</v>
      </c>
      <c r="I672">
        <v>193.59</v>
      </c>
      <c r="J672">
        <v>0.15</v>
      </c>
      <c r="K672">
        <v>1645.52</v>
      </c>
    </row>
    <row r="673" spans="1:11" x14ac:dyDescent="0.35">
      <c r="A673" t="s">
        <v>1002</v>
      </c>
      <c r="B673" s="1">
        <v>45520</v>
      </c>
      <c r="C673" t="s">
        <v>102</v>
      </c>
      <c r="D673" t="s">
        <v>42</v>
      </c>
      <c r="E673" t="s">
        <v>299</v>
      </c>
      <c r="F673" t="s">
        <v>15</v>
      </c>
      <c r="G673" t="s">
        <v>74</v>
      </c>
      <c r="H673">
        <v>8</v>
      </c>
      <c r="I673">
        <v>194.82</v>
      </c>
      <c r="J673">
        <v>0.1</v>
      </c>
      <c r="K673">
        <v>1402.7</v>
      </c>
    </row>
    <row r="674" spans="1:11" x14ac:dyDescent="0.35">
      <c r="A674" t="s">
        <v>1003</v>
      </c>
      <c r="B674" s="2">
        <v>45515</v>
      </c>
      <c r="C674" t="s">
        <v>79</v>
      </c>
      <c r="D674" t="s">
        <v>13</v>
      </c>
      <c r="E674" t="s">
        <v>642</v>
      </c>
      <c r="F674" t="s">
        <v>15</v>
      </c>
      <c r="G674" t="s">
        <v>27</v>
      </c>
      <c r="H674">
        <v>7</v>
      </c>
      <c r="I674">
        <v>133.37</v>
      </c>
      <c r="J674">
        <v>0</v>
      </c>
      <c r="K674">
        <v>933.59</v>
      </c>
    </row>
    <row r="675" spans="1:11" x14ac:dyDescent="0.35">
      <c r="A675" t="s">
        <v>1004</v>
      </c>
      <c r="B675" s="2">
        <v>45345</v>
      </c>
      <c r="C675" t="s">
        <v>102</v>
      </c>
      <c r="D675" t="s">
        <v>13</v>
      </c>
      <c r="E675" t="s">
        <v>357</v>
      </c>
      <c r="F675" t="s">
        <v>21</v>
      </c>
      <c r="G675" t="s">
        <v>167</v>
      </c>
      <c r="H675">
        <v>8</v>
      </c>
      <c r="I675">
        <v>228.25</v>
      </c>
      <c r="J675">
        <v>0.1</v>
      </c>
      <c r="K675">
        <v>1643.4</v>
      </c>
    </row>
    <row r="676" spans="1:11" x14ac:dyDescent="0.35">
      <c r="A676" t="s">
        <v>1005</v>
      </c>
      <c r="B676" s="1">
        <v>45479</v>
      </c>
      <c r="C676" t="s">
        <v>41</v>
      </c>
      <c r="D676" t="s">
        <v>19</v>
      </c>
      <c r="E676" t="s">
        <v>52</v>
      </c>
      <c r="F676" t="s">
        <v>35</v>
      </c>
      <c r="G676" t="s">
        <v>83</v>
      </c>
      <c r="H676">
        <v>6</v>
      </c>
      <c r="I676">
        <v>238.04</v>
      </c>
      <c r="J676">
        <v>0.05</v>
      </c>
      <c r="K676">
        <v>1356.83</v>
      </c>
    </row>
    <row r="677" spans="1:11" x14ac:dyDescent="0.35">
      <c r="A677" t="s">
        <v>1006</v>
      </c>
      <c r="B677" t="s">
        <v>1007</v>
      </c>
      <c r="C677" t="s">
        <v>65</v>
      </c>
      <c r="D677" t="s">
        <v>13</v>
      </c>
      <c r="E677" t="s">
        <v>360</v>
      </c>
      <c r="F677" t="s">
        <v>44</v>
      </c>
      <c r="G677" t="s">
        <v>107</v>
      </c>
      <c r="H677">
        <v>10</v>
      </c>
      <c r="I677">
        <v>230.37</v>
      </c>
      <c r="J677">
        <v>0.15</v>
      </c>
      <c r="K677">
        <v>1958.14</v>
      </c>
    </row>
    <row r="678" spans="1:11" x14ac:dyDescent="0.35">
      <c r="A678" t="s">
        <v>1008</v>
      </c>
      <c r="B678" s="1">
        <v>45513</v>
      </c>
      <c r="C678" t="s">
        <v>41</v>
      </c>
      <c r="D678" t="s">
        <v>42</v>
      </c>
      <c r="E678" t="s">
        <v>431</v>
      </c>
      <c r="F678" t="s">
        <v>15</v>
      </c>
      <c r="G678" t="s">
        <v>16</v>
      </c>
      <c r="H678">
        <v>11</v>
      </c>
      <c r="I678">
        <v>9.14</v>
      </c>
      <c r="J678">
        <v>0</v>
      </c>
      <c r="K678">
        <v>100.54</v>
      </c>
    </row>
    <row r="679" spans="1:11" x14ac:dyDescent="0.35">
      <c r="A679" t="s">
        <v>1009</v>
      </c>
      <c r="B679" t="s">
        <v>1010</v>
      </c>
      <c r="C679" t="s">
        <v>33</v>
      </c>
      <c r="D679" t="s">
        <v>25</v>
      </c>
      <c r="E679" t="s">
        <v>49</v>
      </c>
      <c r="F679" t="s">
        <v>53</v>
      </c>
      <c r="G679" t="s">
        <v>104</v>
      </c>
      <c r="H679">
        <v>10</v>
      </c>
      <c r="I679">
        <v>125.16</v>
      </c>
      <c r="J679">
        <v>0.1</v>
      </c>
      <c r="K679">
        <v>1126.44</v>
      </c>
    </row>
    <row r="680" spans="1:11" x14ac:dyDescent="0.35">
      <c r="A680" t="s">
        <v>1011</v>
      </c>
      <c r="B680" s="1">
        <v>45390</v>
      </c>
      <c r="C680" t="s">
        <v>18</v>
      </c>
      <c r="D680" t="s">
        <v>13</v>
      </c>
      <c r="E680" t="s">
        <v>590</v>
      </c>
      <c r="F680" t="s">
        <v>53</v>
      </c>
      <c r="G680" t="s">
        <v>260</v>
      </c>
      <c r="H680">
        <v>5</v>
      </c>
      <c r="I680">
        <v>204.73</v>
      </c>
      <c r="J680">
        <v>0.05</v>
      </c>
      <c r="K680">
        <v>972.47</v>
      </c>
    </row>
    <row r="681" spans="1:11" x14ac:dyDescent="0.35">
      <c r="A681" t="s">
        <v>1012</v>
      </c>
      <c r="B681" t="s">
        <v>718</v>
      </c>
      <c r="C681" t="s">
        <v>38</v>
      </c>
      <c r="D681" t="s">
        <v>19</v>
      </c>
      <c r="E681" t="s">
        <v>470</v>
      </c>
      <c r="F681" t="s">
        <v>53</v>
      </c>
      <c r="G681" t="s">
        <v>59</v>
      </c>
      <c r="H681">
        <v>4</v>
      </c>
      <c r="I681">
        <v>169.83</v>
      </c>
      <c r="J681">
        <v>0</v>
      </c>
      <c r="K681">
        <v>679.32</v>
      </c>
    </row>
    <row r="682" spans="1:11" x14ac:dyDescent="0.35">
      <c r="A682" t="s">
        <v>1013</v>
      </c>
      <c r="B682" s="1">
        <v>45438</v>
      </c>
      <c r="C682" t="s">
        <v>90</v>
      </c>
      <c r="D682" t="s">
        <v>25</v>
      </c>
      <c r="E682" t="s">
        <v>659</v>
      </c>
      <c r="F682" t="s">
        <v>53</v>
      </c>
      <c r="G682" t="s">
        <v>260</v>
      </c>
      <c r="H682">
        <v>12</v>
      </c>
      <c r="I682">
        <v>128.04</v>
      </c>
      <c r="J682">
        <v>0.15</v>
      </c>
      <c r="K682">
        <v>1306.01</v>
      </c>
    </row>
    <row r="683" spans="1:11" x14ac:dyDescent="0.35">
      <c r="A683" t="s">
        <v>1014</v>
      </c>
      <c r="B683" s="1">
        <v>45540</v>
      </c>
      <c r="C683" t="s">
        <v>102</v>
      </c>
      <c r="D683" t="s">
        <v>42</v>
      </c>
      <c r="E683" t="s">
        <v>85</v>
      </c>
      <c r="F683" t="s">
        <v>53</v>
      </c>
      <c r="G683" t="s">
        <v>260</v>
      </c>
      <c r="H683">
        <v>9</v>
      </c>
      <c r="I683">
        <v>120.19</v>
      </c>
      <c r="J683">
        <v>0.15</v>
      </c>
      <c r="K683">
        <v>919.45</v>
      </c>
    </row>
    <row r="684" spans="1:11" x14ac:dyDescent="0.35">
      <c r="A684" t="s">
        <v>1015</v>
      </c>
      <c r="B684" s="1">
        <v>45388</v>
      </c>
      <c r="C684" t="s">
        <v>24</v>
      </c>
      <c r="D684" t="s">
        <v>19</v>
      </c>
      <c r="E684" t="s">
        <v>304</v>
      </c>
      <c r="F684" t="s">
        <v>35</v>
      </c>
      <c r="G684" t="s">
        <v>36</v>
      </c>
      <c r="H684">
        <v>1</v>
      </c>
      <c r="I684">
        <v>175.09</v>
      </c>
      <c r="J684">
        <v>0</v>
      </c>
      <c r="K684">
        <v>175.09</v>
      </c>
    </row>
    <row r="685" spans="1:11" x14ac:dyDescent="0.35">
      <c r="A685" t="s">
        <v>1016</v>
      </c>
      <c r="B685" s="1">
        <v>45388</v>
      </c>
      <c r="C685" t="s">
        <v>18</v>
      </c>
      <c r="D685" t="s">
        <v>42</v>
      </c>
      <c r="E685" t="s">
        <v>334</v>
      </c>
      <c r="F685" t="s">
        <v>53</v>
      </c>
      <c r="G685" t="s">
        <v>63</v>
      </c>
      <c r="H685">
        <v>2</v>
      </c>
      <c r="I685">
        <v>137.78</v>
      </c>
      <c r="J685">
        <v>0</v>
      </c>
      <c r="K685">
        <v>275.56</v>
      </c>
    </row>
    <row r="686" spans="1:11" x14ac:dyDescent="0.35">
      <c r="A686" t="s">
        <v>1017</v>
      </c>
      <c r="B686" s="1">
        <v>45518</v>
      </c>
      <c r="C686" t="s">
        <v>38</v>
      </c>
      <c r="D686" t="s">
        <v>57</v>
      </c>
      <c r="E686" t="s">
        <v>825</v>
      </c>
      <c r="F686" t="s">
        <v>35</v>
      </c>
      <c r="G686" t="s">
        <v>177</v>
      </c>
      <c r="H686">
        <v>9</v>
      </c>
      <c r="I686">
        <v>247.26</v>
      </c>
      <c r="J686">
        <v>0.05</v>
      </c>
      <c r="K686">
        <v>2114.0700000000002</v>
      </c>
    </row>
    <row r="687" spans="1:11" x14ac:dyDescent="0.35">
      <c r="A687" t="s">
        <v>1018</v>
      </c>
      <c r="B687" s="1">
        <v>45355</v>
      </c>
      <c r="C687" t="s">
        <v>48</v>
      </c>
      <c r="D687" t="s">
        <v>42</v>
      </c>
      <c r="E687" t="s">
        <v>404</v>
      </c>
      <c r="F687" t="s">
        <v>44</v>
      </c>
      <c r="G687" t="s">
        <v>50</v>
      </c>
      <c r="H687">
        <v>8</v>
      </c>
      <c r="I687">
        <v>242.07</v>
      </c>
      <c r="J687">
        <v>0.05</v>
      </c>
      <c r="K687">
        <v>1839.73</v>
      </c>
    </row>
    <row r="688" spans="1:11" x14ac:dyDescent="0.35">
      <c r="A688" t="s">
        <v>1019</v>
      </c>
      <c r="B688" s="1">
        <v>45553</v>
      </c>
      <c r="C688" t="s">
        <v>29</v>
      </c>
      <c r="D688" t="s">
        <v>19</v>
      </c>
      <c r="E688" t="s">
        <v>360</v>
      </c>
      <c r="F688" t="s">
        <v>21</v>
      </c>
      <c r="G688" t="s">
        <v>167</v>
      </c>
      <c r="H688">
        <v>2</v>
      </c>
      <c r="I688">
        <v>243.02</v>
      </c>
      <c r="J688">
        <v>0.05</v>
      </c>
      <c r="K688">
        <v>461.74</v>
      </c>
    </row>
    <row r="689" spans="1:11" x14ac:dyDescent="0.35">
      <c r="A689" t="s">
        <v>1020</v>
      </c>
      <c r="B689" s="1">
        <v>45303</v>
      </c>
      <c r="C689" t="s">
        <v>33</v>
      </c>
      <c r="D689" t="s">
        <v>42</v>
      </c>
      <c r="F689" t="s">
        <v>15</v>
      </c>
      <c r="G689" t="s">
        <v>16</v>
      </c>
      <c r="H689">
        <v>0</v>
      </c>
      <c r="I689">
        <v>45.7</v>
      </c>
      <c r="J689">
        <v>0.15</v>
      </c>
      <c r="K689">
        <v>116.54</v>
      </c>
    </row>
    <row r="690" spans="1:11" x14ac:dyDescent="0.35">
      <c r="A690" t="s">
        <v>1021</v>
      </c>
      <c r="B690" s="1">
        <v>45436</v>
      </c>
      <c r="C690" t="s">
        <v>24</v>
      </c>
      <c r="D690" t="s">
        <v>57</v>
      </c>
      <c r="E690" t="s">
        <v>146</v>
      </c>
      <c r="F690" t="s">
        <v>53</v>
      </c>
      <c r="G690" t="s">
        <v>63</v>
      </c>
      <c r="H690">
        <v>12</v>
      </c>
      <c r="I690">
        <v>62.63</v>
      </c>
      <c r="J690">
        <v>0.1</v>
      </c>
      <c r="K690">
        <v>676.4</v>
      </c>
    </row>
    <row r="691" spans="1:11" x14ac:dyDescent="0.35">
      <c r="A691" t="s">
        <v>1022</v>
      </c>
      <c r="B691" s="1">
        <v>45485</v>
      </c>
      <c r="C691" t="s">
        <v>41</v>
      </c>
      <c r="D691" t="s">
        <v>13</v>
      </c>
      <c r="E691" t="s">
        <v>66</v>
      </c>
      <c r="F691" t="s">
        <v>44</v>
      </c>
      <c r="G691" t="s">
        <v>45</v>
      </c>
      <c r="H691">
        <v>8</v>
      </c>
      <c r="I691">
        <v>166.85</v>
      </c>
      <c r="J691">
        <v>0.15</v>
      </c>
      <c r="K691">
        <v>1134.58</v>
      </c>
    </row>
    <row r="692" spans="1:11" x14ac:dyDescent="0.35">
      <c r="A692" t="s">
        <v>1023</v>
      </c>
      <c r="B692" s="1">
        <v>45507</v>
      </c>
      <c r="C692" t="s">
        <v>12</v>
      </c>
      <c r="D692" t="s">
        <v>57</v>
      </c>
      <c r="E692" t="s">
        <v>164</v>
      </c>
      <c r="F692" t="s">
        <v>35</v>
      </c>
      <c r="G692" t="s">
        <v>36</v>
      </c>
      <c r="H692">
        <v>5</v>
      </c>
      <c r="I692">
        <v>193.68</v>
      </c>
      <c r="J692">
        <v>0</v>
      </c>
      <c r="K692">
        <v>968.4</v>
      </c>
    </row>
    <row r="693" spans="1:11" x14ac:dyDescent="0.35">
      <c r="A693" t="s">
        <v>1024</v>
      </c>
      <c r="B693" s="1">
        <v>45447</v>
      </c>
      <c r="C693" t="s">
        <v>56</v>
      </c>
      <c r="D693" t="s">
        <v>25</v>
      </c>
      <c r="E693" t="s">
        <v>474</v>
      </c>
      <c r="F693" t="s">
        <v>53</v>
      </c>
      <c r="G693" t="s">
        <v>104</v>
      </c>
      <c r="H693">
        <v>11</v>
      </c>
      <c r="I693">
        <v>163.05000000000001</v>
      </c>
      <c r="J693">
        <v>0.1</v>
      </c>
      <c r="K693">
        <v>1614.2</v>
      </c>
    </row>
    <row r="694" spans="1:11" x14ac:dyDescent="0.35">
      <c r="A694" t="s">
        <v>1025</v>
      </c>
      <c r="B694" s="2">
        <v>45426</v>
      </c>
      <c r="C694" t="s">
        <v>24</v>
      </c>
      <c r="D694" t="s">
        <v>19</v>
      </c>
      <c r="E694" t="s">
        <v>370</v>
      </c>
      <c r="F694" t="s">
        <v>15</v>
      </c>
      <c r="G694" t="s">
        <v>147</v>
      </c>
      <c r="H694">
        <v>9</v>
      </c>
      <c r="I694">
        <v>18.100000000000001</v>
      </c>
      <c r="J694">
        <v>0</v>
      </c>
      <c r="K694">
        <v>162.9</v>
      </c>
    </row>
    <row r="695" spans="1:11" x14ac:dyDescent="0.35">
      <c r="A695" t="s">
        <v>1026</v>
      </c>
      <c r="B695" s="2">
        <v>45350</v>
      </c>
      <c r="C695" t="s">
        <v>24</v>
      </c>
      <c r="D695" t="s">
        <v>19</v>
      </c>
      <c r="E695" t="s">
        <v>241</v>
      </c>
      <c r="F695" t="s">
        <v>21</v>
      </c>
      <c r="G695" t="s">
        <v>194</v>
      </c>
      <c r="H695">
        <v>12</v>
      </c>
      <c r="I695">
        <v>69.39</v>
      </c>
      <c r="J695">
        <v>0</v>
      </c>
      <c r="K695">
        <v>832.68</v>
      </c>
    </row>
    <row r="696" spans="1:11" x14ac:dyDescent="0.35">
      <c r="A696" t="s">
        <v>1027</v>
      </c>
      <c r="B696" t="s">
        <v>707</v>
      </c>
      <c r="C696" t="s">
        <v>41</v>
      </c>
      <c r="D696" t="s">
        <v>25</v>
      </c>
      <c r="E696" t="s">
        <v>586</v>
      </c>
      <c r="F696" t="s">
        <v>21</v>
      </c>
      <c r="G696" t="s">
        <v>167</v>
      </c>
      <c r="H696">
        <v>8</v>
      </c>
      <c r="I696">
        <v>161.24</v>
      </c>
      <c r="J696">
        <v>0.1</v>
      </c>
      <c r="K696">
        <v>1160.93</v>
      </c>
    </row>
    <row r="697" spans="1:11" x14ac:dyDescent="0.35">
      <c r="A697" t="s">
        <v>1028</v>
      </c>
      <c r="B697" s="2">
        <v>45369</v>
      </c>
      <c r="C697" t="s">
        <v>72</v>
      </c>
      <c r="D697" t="s">
        <v>42</v>
      </c>
      <c r="E697" t="s">
        <v>69</v>
      </c>
      <c r="F697" t="s">
        <v>21</v>
      </c>
      <c r="G697" t="s">
        <v>194</v>
      </c>
      <c r="H697">
        <v>5</v>
      </c>
      <c r="I697">
        <v>139.03</v>
      </c>
      <c r="J697">
        <v>0</v>
      </c>
      <c r="K697">
        <v>695.15</v>
      </c>
    </row>
    <row r="698" spans="1:11" x14ac:dyDescent="0.35">
      <c r="A698" t="s">
        <v>1029</v>
      </c>
      <c r="B698" s="1">
        <v>45352</v>
      </c>
      <c r="C698" t="s">
        <v>18</v>
      </c>
      <c r="D698" t="s">
        <v>42</v>
      </c>
      <c r="E698" t="s">
        <v>477</v>
      </c>
      <c r="F698" t="s">
        <v>35</v>
      </c>
      <c r="G698" t="s">
        <v>83</v>
      </c>
      <c r="H698">
        <v>9</v>
      </c>
      <c r="I698">
        <v>165.59</v>
      </c>
      <c r="J698">
        <v>0</v>
      </c>
      <c r="K698">
        <v>1490.31</v>
      </c>
    </row>
    <row r="699" spans="1:11" x14ac:dyDescent="0.35">
      <c r="A699" t="s">
        <v>1030</v>
      </c>
      <c r="B699" t="s">
        <v>1031</v>
      </c>
      <c r="C699" t="s">
        <v>24</v>
      </c>
      <c r="D699" t="s">
        <v>13</v>
      </c>
      <c r="E699" t="s">
        <v>288</v>
      </c>
      <c r="F699" t="s">
        <v>21</v>
      </c>
      <c r="G699" t="s">
        <v>70</v>
      </c>
      <c r="H699">
        <v>12</v>
      </c>
      <c r="I699">
        <v>231.88</v>
      </c>
      <c r="J699">
        <v>0.1</v>
      </c>
      <c r="K699">
        <v>2504.3000000000002</v>
      </c>
    </row>
    <row r="700" spans="1:11" x14ac:dyDescent="0.35">
      <c r="A700" t="s">
        <v>1032</v>
      </c>
      <c r="B700" s="2">
        <v>45487</v>
      </c>
      <c r="C700" t="s">
        <v>33</v>
      </c>
      <c r="D700" t="s">
        <v>13</v>
      </c>
      <c r="E700" t="s">
        <v>164</v>
      </c>
      <c r="F700" t="s">
        <v>21</v>
      </c>
      <c r="G700" t="s">
        <v>194</v>
      </c>
      <c r="H700">
        <v>3</v>
      </c>
      <c r="I700">
        <v>97.95</v>
      </c>
      <c r="J700">
        <v>0</v>
      </c>
      <c r="K700">
        <v>293.85000000000002</v>
      </c>
    </row>
    <row r="701" spans="1:11" x14ac:dyDescent="0.35">
      <c r="A701" t="s">
        <v>1033</v>
      </c>
      <c r="B701" t="s">
        <v>136</v>
      </c>
      <c r="C701" t="s">
        <v>56</v>
      </c>
      <c r="D701" t="s">
        <v>57</v>
      </c>
      <c r="E701" t="s">
        <v>183</v>
      </c>
      <c r="F701" t="s">
        <v>21</v>
      </c>
      <c r="G701" t="s">
        <v>129</v>
      </c>
      <c r="H701">
        <v>5</v>
      </c>
      <c r="I701">
        <v>9.25</v>
      </c>
      <c r="J701">
        <v>0</v>
      </c>
      <c r="K701">
        <v>46.25</v>
      </c>
    </row>
    <row r="702" spans="1:11" x14ac:dyDescent="0.35">
      <c r="A702" t="s">
        <v>1034</v>
      </c>
      <c r="B702" s="1">
        <v>45478</v>
      </c>
      <c r="C702" t="s">
        <v>56</v>
      </c>
      <c r="D702" t="s">
        <v>25</v>
      </c>
      <c r="E702" t="s">
        <v>492</v>
      </c>
      <c r="F702" t="s">
        <v>15</v>
      </c>
      <c r="G702" t="s">
        <v>27</v>
      </c>
      <c r="H702">
        <v>9</v>
      </c>
      <c r="I702">
        <v>194.23</v>
      </c>
      <c r="J702">
        <v>0.05</v>
      </c>
      <c r="K702">
        <v>1660.67</v>
      </c>
    </row>
    <row r="703" spans="1:11" x14ac:dyDescent="0.35">
      <c r="A703" t="s">
        <v>1035</v>
      </c>
      <c r="B703" s="1">
        <v>45548</v>
      </c>
      <c r="C703" t="s">
        <v>29</v>
      </c>
      <c r="D703" t="s">
        <v>25</v>
      </c>
      <c r="E703" t="s">
        <v>420</v>
      </c>
      <c r="F703" t="s">
        <v>21</v>
      </c>
      <c r="G703" t="s">
        <v>167</v>
      </c>
      <c r="H703">
        <v>5</v>
      </c>
      <c r="I703">
        <v>202.92</v>
      </c>
      <c r="J703">
        <v>0.15</v>
      </c>
      <c r="K703">
        <v>862.41</v>
      </c>
    </row>
    <row r="704" spans="1:11" x14ac:dyDescent="0.35">
      <c r="A704" t="s">
        <v>1036</v>
      </c>
      <c r="B704" s="1">
        <v>45435</v>
      </c>
      <c r="C704" t="s">
        <v>102</v>
      </c>
      <c r="D704" t="s">
        <v>25</v>
      </c>
      <c r="E704" t="s">
        <v>1037</v>
      </c>
      <c r="F704" t="s">
        <v>15</v>
      </c>
      <c r="G704" t="s">
        <v>16</v>
      </c>
      <c r="H704">
        <v>8</v>
      </c>
      <c r="I704">
        <v>61.9</v>
      </c>
      <c r="J704">
        <v>0</v>
      </c>
      <c r="K704">
        <v>495.2</v>
      </c>
    </row>
    <row r="705" spans="1:11" x14ac:dyDescent="0.35">
      <c r="A705" t="s">
        <v>1038</v>
      </c>
      <c r="B705" s="2">
        <v>45362</v>
      </c>
      <c r="C705" t="s">
        <v>90</v>
      </c>
      <c r="D705" t="s">
        <v>13</v>
      </c>
      <c r="E705" t="s">
        <v>110</v>
      </c>
      <c r="F705" t="s">
        <v>15</v>
      </c>
      <c r="G705" t="s">
        <v>16</v>
      </c>
      <c r="H705">
        <v>11</v>
      </c>
      <c r="I705">
        <v>191.61</v>
      </c>
      <c r="J705">
        <v>0.05</v>
      </c>
      <c r="K705">
        <v>2002.32</v>
      </c>
    </row>
    <row r="706" spans="1:11" x14ac:dyDescent="0.35">
      <c r="A706" t="s">
        <v>1039</v>
      </c>
      <c r="B706" s="1">
        <v>45551</v>
      </c>
      <c r="C706" t="s">
        <v>41</v>
      </c>
      <c r="D706" t="s">
        <v>19</v>
      </c>
      <c r="E706" t="s">
        <v>80</v>
      </c>
      <c r="F706" t="s">
        <v>15</v>
      </c>
      <c r="G706" t="s">
        <v>74</v>
      </c>
      <c r="H706">
        <v>11</v>
      </c>
      <c r="I706">
        <v>212.13</v>
      </c>
      <c r="J706">
        <v>0.1</v>
      </c>
      <c r="K706">
        <v>2100.09</v>
      </c>
    </row>
    <row r="707" spans="1:11" x14ac:dyDescent="0.35">
      <c r="A707" t="s">
        <v>1040</v>
      </c>
      <c r="B707" s="1">
        <v>45363</v>
      </c>
      <c r="C707" t="s">
        <v>41</v>
      </c>
      <c r="D707" t="s">
        <v>13</v>
      </c>
      <c r="E707" t="s">
        <v>454</v>
      </c>
      <c r="F707" t="s">
        <v>44</v>
      </c>
      <c r="G707" t="s">
        <v>45</v>
      </c>
      <c r="H707">
        <v>8</v>
      </c>
      <c r="I707">
        <v>78.78</v>
      </c>
      <c r="J707">
        <v>0</v>
      </c>
      <c r="K707">
        <v>630.24</v>
      </c>
    </row>
    <row r="708" spans="1:11" x14ac:dyDescent="0.35">
      <c r="A708" t="s">
        <v>1041</v>
      </c>
      <c r="B708" s="1">
        <v>45612</v>
      </c>
      <c r="C708" t="s">
        <v>33</v>
      </c>
      <c r="D708" t="s">
        <v>42</v>
      </c>
      <c r="E708" t="s">
        <v>217</v>
      </c>
      <c r="F708" t="s">
        <v>21</v>
      </c>
      <c r="G708" t="s">
        <v>129</v>
      </c>
      <c r="H708">
        <v>3</v>
      </c>
      <c r="I708">
        <v>217.75</v>
      </c>
      <c r="J708">
        <v>0</v>
      </c>
      <c r="K708">
        <v>653.25</v>
      </c>
    </row>
    <row r="709" spans="1:11" x14ac:dyDescent="0.35">
      <c r="A709" t="s">
        <v>1042</v>
      </c>
      <c r="B709" s="1">
        <v>45325</v>
      </c>
      <c r="C709" t="s">
        <v>102</v>
      </c>
      <c r="D709" t="s">
        <v>57</v>
      </c>
      <c r="E709" t="s">
        <v>457</v>
      </c>
      <c r="F709" t="s">
        <v>44</v>
      </c>
      <c r="G709" t="s">
        <v>45</v>
      </c>
      <c r="H709">
        <v>1</v>
      </c>
      <c r="I709">
        <v>10.26</v>
      </c>
      <c r="J709">
        <v>0</v>
      </c>
      <c r="K709">
        <v>10.26</v>
      </c>
    </row>
    <row r="710" spans="1:11" x14ac:dyDescent="0.35">
      <c r="A710" t="s">
        <v>1043</v>
      </c>
      <c r="B710" s="1">
        <v>45499</v>
      </c>
      <c r="C710" t="s">
        <v>56</v>
      </c>
      <c r="D710" t="s">
        <v>13</v>
      </c>
      <c r="E710" t="s">
        <v>771</v>
      </c>
      <c r="F710" t="s">
        <v>15</v>
      </c>
      <c r="G710" t="s">
        <v>111</v>
      </c>
      <c r="H710">
        <v>9</v>
      </c>
      <c r="I710">
        <v>97</v>
      </c>
      <c r="J710">
        <v>0.05</v>
      </c>
      <c r="K710">
        <v>829.35</v>
      </c>
    </row>
    <row r="711" spans="1:11" x14ac:dyDescent="0.35">
      <c r="A711" t="s">
        <v>1044</v>
      </c>
      <c r="B711" s="1">
        <v>45402</v>
      </c>
      <c r="C711" t="s">
        <v>90</v>
      </c>
      <c r="D711" t="s">
        <v>57</v>
      </c>
      <c r="E711" t="s">
        <v>100</v>
      </c>
      <c r="F711" t="s">
        <v>44</v>
      </c>
      <c r="G711" t="s">
        <v>86</v>
      </c>
      <c r="H711">
        <v>4</v>
      </c>
      <c r="I711">
        <v>29.8</v>
      </c>
      <c r="J711">
        <v>0.1</v>
      </c>
      <c r="K711">
        <v>107.28</v>
      </c>
    </row>
    <row r="712" spans="1:11" x14ac:dyDescent="0.35">
      <c r="A712" t="s">
        <v>1045</v>
      </c>
      <c r="B712" s="1">
        <v>45633</v>
      </c>
      <c r="C712" t="s">
        <v>41</v>
      </c>
      <c r="D712" t="s">
        <v>13</v>
      </c>
      <c r="E712" t="s">
        <v>542</v>
      </c>
      <c r="F712" t="s">
        <v>15</v>
      </c>
      <c r="G712" t="s">
        <v>147</v>
      </c>
      <c r="H712">
        <v>9</v>
      </c>
      <c r="I712">
        <v>30.78</v>
      </c>
      <c r="J712">
        <v>0.1</v>
      </c>
      <c r="K712">
        <v>249.32</v>
      </c>
    </row>
    <row r="713" spans="1:11" x14ac:dyDescent="0.35">
      <c r="A713" t="s">
        <v>1046</v>
      </c>
      <c r="B713" s="1">
        <v>45426</v>
      </c>
      <c r="C713" t="s">
        <v>56</v>
      </c>
      <c r="D713" t="s">
        <v>42</v>
      </c>
      <c r="E713" t="s">
        <v>317</v>
      </c>
      <c r="F713" t="s">
        <v>53</v>
      </c>
      <c r="G713" t="s">
        <v>63</v>
      </c>
      <c r="H713">
        <v>11</v>
      </c>
      <c r="I713">
        <v>157.05000000000001</v>
      </c>
      <c r="J713">
        <v>0</v>
      </c>
      <c r="K713">
        <v>1727.55</v>
      </c>
    </row>
    <row r="714" spans="1:11" x14ac:dyDescent="0.35">
      <c r="A714" t="s">
        <v>1047</v>
      </c>
      <c r="B714" t="s">
        <v>1048</v>
      </c>
      <c r="C714" t="s">
        <v>29</v>
      </c>
      <c r="D714" t="s">
        <v>13</v>
      </c>
      <c r="E714" t="s">
        <v>567</v>
      </c>
      <c r="F714" t="s">
        <v>15</v>
      </c>
      <c r="G714" t="s">
        <v>16</v>
      </c>
      <c r="H714">
        <v>9</v>
      </c>
      <c r="I714">
        <v>51.97</v>
      </c>
      <c r="J714">
        <v>0.15</v>
      </c>
      <c r="K714">
        <v>397.57</v>
      </c>
    </row>
    <row r="715" spans="1:11" x14ac:dyDescent="0.35">
      <c r="A715" t="s">
        <v>1049</v>
      </c>
      <c r="B715" t="s">
        <v>1050</v>
      </c>
      <c r="C715" t="s">
        <v>41</v>
      </c>
      <c r="D715" t="s">
        <v>19</v>
      </c>
      <c r="E715" t="s">
        <v>20</v>
      </c>
      <c r="F715" t="s">
        <v>21</v>
      </c>
      <c r="G715" t="s">
        <v>22</v>
      </c>
      <c r="H715">
        <v>7</v>
      </c>
      <c r="I715">
        <v>186.83</v>
      </c>
      <c r="J715">
        <v>0.1</v>
      </c>
      <c r="K715">
        <v>1177.03</v>
      </c>
    </row>
    <row r="716" spans="1:11" x14ac:dyDescent="0.35">
      <c r="A716" t="s">
        <v>1051</v>
      </c>
      <c r="B716" s="2">
        <v>45361</v>
      </c>
      <c r="C716" t="s">
        <v>33</v>
      </c>
      <c r="D716" t="s">
        <v>19</v>
      </c>
      <c r="E716" t="s">
        <v>454</v>
      </c>
      <c r="F716" t="s">
        <v>44</v>
      </c>
      <c r="G716" t="s">
        <v>50</v>
      </c>
      <c r="H716">
        <v>11</v>
      </c>
      <c r="I716">
        <v>181.36</v>
      </c>
      <c r="J716">
        <v>0</v>
      </c>
      <c r="K716">
        <v>1994.96</v>
      </c>
    </row>
    <row r="717" spans="1:11" x14ac:dyDescent="0.35">
      <c r="A717" t="s">
        <v>1052</v>
      </c>
      <c r="B717" s="1">
        <v>45403</v>
      </c>
      <c r="C717" t="s">
        <v>72</v>
      </c>
      <c r="D717" t="s">
        <v>25</v>
      </c>
      <c r="E717" t="s">
        <v>313</v>
      </c>
      <c r="F717" t="s">
        <v>53</v>
      </c>
      <c r="G717" t="s">
        <v>54</v>
      </c>
      <c r="H717">
        <v>5</v>
      </c>
      <c r="I717">
        <v>39.33</v>
      </c>
      <c r="J717">
        <v>0</v>
      </c>
      <c r="K717">
        <v>196.65</v>
      </c>
    </row>
    <row r="718" spans="1:11" x14ac:dyDescent="0.35">
      <c r="A718" t="s">
        <v>1053</v>
      </c>
      <c r="B718" s="1">
        <v>45485</v>
      </c>
      <c r="C718" t="s">
        <v>56</v>
      </c>
      <c r="D718" t="s">
        <v>57</v>
      </c>
      <c r="E718" t="s">
        <v>330</v>
      </c>
      <c r="F718" t="s">
        <v>53</v>
      </c>
      <c r="G718" t="s">
        <v>63</v>
      </c>
      <c r="H718">
        <v>11</v>
      </c>
      <c r="I718">
        <v>140.25</v>
      </c>
      <c r="J718">
        <v>0.1</v>
      </c>
      <c r="K718">
        <v>1388.48</v>
      </c>
    </row>
    <row r="719" spans="1:11" x14ac:dyDescent="0.35">
      <c r="A719" t="s">
        <v>1054</v>
      </c>
      <c r="B719" s="2">
        <v>45603</v>
      </c>
      <c r="C719" t="s">
        <v>24</v>
      </c>
      <c r="D719" t="s">
        <v>25</v>
      </c>
      <c r="E719" t="s">
        <v>231</v>
      </c>
      <c r="F719" t="s">
        <v>53</v>
      </c>
      <c r="G719" t="s">
        <v>260</v>
      </c>
      <c r="H719">
        <v>12</v>
      </c>
      <c r="I719">
        <v>172.08</v>
      </c>
      <c r="J719">
        <v>0</v>
      </c>
      <c r="K719">
        <v>2064.96</v>
      </c>
    </row>
    <row r="720" spans="1:11" x14ac:dyDescent="0.35">
      <c r="A720" t="s">
        <v>1055</v>
      </c>
      <c r="B720" s="1">
        <v>45477</v>
      </c>
      <c r="C720" t="s">
        <v>33</v>
      </c>
      <c r="D720" t="s">
        <v>42</v>
      </c>
      <c r="E720" t="s">
        <v>288</v>
      </c>
      <c r="F720" t="s">
        <v>44</v>
      </c>
      <c r="G720" t="s">
        <v>94</v>
      </c>
      <c r="H720">
        <v>12</v>
      </c>
      <c r="I720">
        <v>73.790000000000006</v>
      </c>
      <c r="J720">
        <v>0.15</v>
      </c>
      <c r="K720">
        <v>752.66</v>
      </c>
    </row>
    <row r="721" spans="1:11" x14ac:dyDescent="0.35">
      <c r="A721" t="s">
        <v>1056</v>
      </c>
      <c r="B721" s="2">
        <v>45504</v>
      </c>
      <c r="C721" t="s">
        <v>90</v>
      </c>
      <c r="D721" t="s">
        <v>25</v>
      </c>
      <c r="E721" t="s">
        <v>328</v>
      </c>
      <c r="F721" t="s">
        <v>35</v>
      </c>
      <c r="G721" t="s">
        <v>36</v>
      </c>
      <c r="H721">
        <v>5</v>
      </c>
      <c r="I721">
        <v>137.03</v>
      </c>
      <c r="J721">
        <v>0</v>
      </c>
      <c r="K721">
        <v>685.15</v>
      </c>
    </row>
    <row r="722" spans="1:11" x14ac:dyDescent="0.35">
      <c r="A722" t="s">
        <v>1057</v>
      </c>
      <c r="B722" s="1">
        <v>45500</v>
      </c>
      <c r="C722" t="s">
        <v>33</v>
      </c>
      <c r="D722" t="s">
        <v>42</v>
      </c>
      <c r="E722" t="s">
        <v>288</v>
      </c>
      <c r="F722" t="s">
        <v>35</v>
      </c>
      <c r="G722" t="s">
        <v>36</v>
      </c>
      <c r="H722">
        <v>4</v>
      </c>
      <c r="I722">
        <v>88.72</v>
      </c>
      <c r="J722">
        <v>0</v>
      </c>
      <c r="K722">
        <v>354.88</v>
      </c>
    </row>
    <row r="723" spans="1:11" x14ac:dyDescent="0.35">
      <c r="A723" t="s">
        <v>1058</v>
      </c>
      <c r="B723" s="1">
        <v>45527</v>
      </c>
      <c r="C723" t="s">
        <v>79</v>
      </c>
      <c r="D723" t="s">
        <v>57</v>
      </c>
      <c r="E723" t="s">
        <v>693</v>
      </c>
      <c r="F723" t="s">
        <v>53</v>
      </c>
      <c r="G723" t="s">
        <v>104</v>
      </c>
      <c r="H723">
        <v>3</v>
      </c>
      <c r="I723">
        <v>89.99</v>
      </c>
      <c r="J723">
        <v>0</v>
      </c>
      <c r="K723">
        <v>269.97000000000003</v>
      </c>
    </row>
    <row r="724" spans="1:11" x14ac:dyDescent="0.35">
      <c r="A724" t="s">
        <v>1059</v>
      </c>
      <c r="B724" s="1">
        <v>45505</v>
      </c>
      <c r="C724" t="s">
        <v>12</v>
      </c>
      <c r="D724" t="s">
        <v>57</v>
      </c>
      <c r="E724" t="s">
        <v>474</v>
      </c>
      <c r="F724" t="s">
        <v>21</v>
      </c>
      <c r="G724" t="s">
        <v>129</v>
      </c>
      <c r="H724">
        <v>12</v>
      </c>
      <c r="I724">
        <v>81.92</v>
      </c>
      <c r="J724">
        <v>0.05</v>
      </c>
      <c r="K724">
        <v>933.89</v>
      </c>
    </row>
    <row r="725" spans="1:11" x14ac:dyDescent="0.35">
      <c r="A725" t="s">
        <v>1060</v>
      </c>
      <c r="B725" s="1">
        <v>45409</v>
      </c>
      <c r="C725" t="s">
        <v>48</v>
      </c>
      <c r="D725" t="s">
        <v>42</v>
      </c>
      <c r="E725" t="s">
        <v>858</v>
      </c>
      <c r="F725" t="s">
        <v>15</v>
      </c>
      <c r="G725" t="s">
        <v>147</v>
      </c>
      <c r="H725">
        <v>11</v>
      </c>
      <c r="I725">
        <v>88.28</v>
      </c>
      <c r="J725">
        <v>0</v>
      </c>
      <c r="K725">
        <v>971.08</v>
      </c>
    </row>
    <row r="726" spans="1:11" x14ac:dyDescent="0.35">
      <c r="A726" t="s">
        <v>1061</v>
      </c>
      <c r="B726" s="2">
        <v>45578</v>
      </c>
      <c r="C726" t="s">
        <v>65</v>
      </c>
      <c r="D726" t="s">
        <v>57</v>
      </c>
      <c r="E726" t="s">
        <v>117</v>
      </c>
      <c r="F726" t="s">
        <v>21</v>
      </c>
      <c r="G726" t="s">
        <v>167</v>
      </c>
      <c r="H726">
        <v>11</v>
      </c>
      <c r="I726">
        <v>101.68</v>
      </c>
      <c r="J726">
        <v>0.1</v>
      </c>
      <c r="K726">
        <v>1006.63</v>
      </c>
    </row>
    <row r="727" spans="1:11" x14ac:dyDescent="0.35">
      <c r="A727" t="s">
        <v>1062</v>
      </c>
      <c r="B727" s="1">
        <v>45615</v>
      </c>
      <c r="C727" t="s">
        <v>12</v>
      </c>
      <c r="D727" t="s">
        <v>57</v>
      </c>
      <c r="E727" t="s">
        <v>158</v>
      </c>
      <c r="F727" t="s">
        <v>53</v>
      </c>
      <c r="G727" t="s">
        <v>63</v>
      </c>
      <c r="H727">
        <v>11</v>
      </c>
      <c r="I727">
        <v>107.73</v>
      </c>
      <c r="J727">
        <v>0.15</v>
      </c>
      <c r="K727">
        <v>1007.28</v>
      </c>
    </row>
    <row r="728" spans="1:11" x14ac:dyDescent="0.35">
      <c r="A728" t="s">
        <v>1063</v>
      </c>
      <c r="B728" s="2">
        <v>45567</v>
      </c>
      <c r="C728" t="s">
        <v>24</v>
      </c>
      <c r="D728" t="s">
        <v>19</v>
      </c>
      <c r="E728" t="s">
        <v>489</v>
      </c>
      <c r="F728" t="s">
        <v>44</v>
      </c>
      <c r="G728" t="s">
        <v>50</v>
      </c>
      <c r="H728">
        <v>6</v>
      </c>
      <c r="I728">
        <v>74.25</v>
      </c>
      <c r="J728">
        <v>0.15</v>
      </c>
      <c r="K728">
        <v>378.68</v>
      </c>
    </row>
    <row r="729" spans="1:11" x14ac:dyDescent="0.35">
      <c r="A729" t="s">
        <v>1064</v>
      </c>
      <c r="B729" t="s">
        <v>1065</v>
      </c>
      <c r="C729" t="s">
        <v>24</v>
      </c>
      <c r="D729" t="s">
        <v>25</v>
      </c>
      <c r="E729" t="s">
        <v>679</v>
      </c>
      <c r="F729" t="s">
        <v>53</v>
      </c>
      <c r="G729" t="s">
        <v>260</v>
      </c>
      <c r="H729">
        <v>11</v>
      </c>
      <c r="I729">
        <v>19.350000000000001</v>
      </c>
      <c r="J729">
        <v>0.05</v>
      </c>
      <c r="K729">
        <v>202.21</v>
      </c>
    </row>
    <row r="730" spans="1:11" x14ac:dyDescent="0.35">
      <c r="A730" t="s">
        <v>1066</v>
      </c>
      <c r="B730" t="s">
        <v>707</v>
      </c>
      <c r="C730" t="s">
        <v>48</v>
      </c>
      <c r="D730" t="s">
        <v>25</v>
      </c>
      <c r="E730" t="s">
        <v>567</v>
      </c>
      <c r="F730" t="s">
        <v>21</v>
      </c>
      <c r="G730" t="s">
        <v>167</v>
      </c>
      <c r="H730">
        <v>8</v>
      </c>
      <c r="I730">
        <v>205.81</v>
      </c>
      <c r="J730">
        <v>0</v>
      </c>
      <c r="K730">
        <v>1646.48</v>
      </c>
    </row>
    <row r="731" spans="1:11" x14ac:dyDescent="0.35">
      <c r="A731" t="s">
        <v>1067</v>
      </c>
      <c r="B731" s="2">
        <v>45480</v>
      </c>
      <c r="C731" t="s">
        <v>33</v>
      </c>
      <c r="D731" t="s">
        <v>13</v>
      </c>
      <c r="E731" t="s">
        <v>659</v>
      </c>
      <c r="F731" t="s">
        <v>44</v>
      </c>
      <c r="G731" t="s">
        <v>86</v>
      </c>
      <c r="H731">
        <v>11</v>
      </c>
      <c r="I731">
        <v>156.5</v>
      </c>
      <c r="J731">
        <v>0.05</v>
      </c>
      <c r="K731">
        <v>1635.42</v>
      </c>
    </row>
    <row r="732" spans="1:11" x14ac:dyDescent="0.35">
      <c r="A732" t="s">
        <v>1068</v>
      </c>
      <c r="B732" s="1">
        <v>45367</v>
      </c>
      <c r="C732" t="s">
        <v>41</v>
      </c>
      <c r="D732" t="s">
        <v>57</v>
      </c>
      <c r="E732" t="s">
        <v>30</v>
      </c>
      <c r="F732" t="s">
        <v>44</v>
      </c>
      <c r="G732" t="s">
        <v>86</v>
      </c>
      <c r="H732">
        <v>2</v>
      </c>
      <c r="I732">
        <v>217.77</v>
      </c>
      <c r="J732">
        <v>0</v>
      </c>
      <c r="K732">
        <v>435.54</v>
      </c>
    </row>
    <row r="733" spans="1:11" x14ac:dyDescent="0.35">
      <c r="A733" t="s">
        <v>1069</v>
      </c>
      <c r="B733" s="1">
        <v>45528</v>
      </c>
      <c r="C733" t="s">
        <v>56</v>
      </c>
      <c r="D733" t="s">
        <v>42</v>
      </c>
      <c r="E733" t="s">
        <v>437</v>
      </c>
      <c r="F733" t="s">
        <v>15</v>
      </c>
      <c r="G733" t="s">
        <v>16</v>
      </c>
      <c r="H733">
        <v>1</v>
      </c>
      <c r="I733">
        <v>228.58</v>
      </c>
      <c r="J733">
        <v>0.05</v>
      </c>
      <c r="K733">
        <v>217.15</v>
      </c>
    </row>
    <row r="734" spans="1:11" x14ac:dyDescent="0.35">
      <c r="A734" t="s">
        <v>1070</v>
      </c>
      <c r="B734" s="1">
        <v>45509</v>
      </c>
      <c r="C734" t="s">
        <v>56</v>
      </c>
      <c r="D734" t="s">
        <v>57</v>
      </c>
      <c r="E734" t="s">
        <v>201</v>
      </c>
      <c r="F734" t="s">
        <v>35</v>
      </c>
      <c r="G734" t="s">
        <v>83</v>
      </c>
      <c r="H734">
        <v>1</v>
      </c>
      <c r="I734">
        <v>97.04</v>
      </c>
      <c r="J734">
        <v>0</v>
      </c>
      <c r="K734">
        <v>97.04</v>
      </c>
    </row>
    <row r="735" spans="1:11" x14ac:dyDescent="0.35">
      <c r="A735" t="s">
        <v>1071</v>
      </c>
      <c r="B735" s="1">
        <v>45314</v>
      </c>
      <c r="C735" t="s">
        <v>56</v>
      </c>
      <c r="D735" t="s">
        <v>57</v>
      </c>
      <c r="E735" t="s">
        <v>439</v>
      </c>
      <c r="F735" t="s">
        <v>53</v>
      </c>
      <c r="G735" t="s">
        <v>104</v>
      </c>
      <c r="H735">
        <v>8</v>
      </c>
      <c r="I735">
        <v>191.44</v>
      </c>
      <c r="J735">
        <v>0.1</v>
      </c>
      <c r="K735">
        <v>1378.37</v>
      </c>
    </row>
    <row r="736" spans="1:11" x14ac:dyDescent="0.35">
      <c r="A736" t="s">
        <v>1072</v>
      </c>
      <c r="B736" s="1">
        <v>45401</v>
      </c>
      <c r="C736" t="s">
        <v>90</v>
      </c>
      <c r="D736" t="s">
        <v>42</v>
      </c>
      <c r="E736" t="s">
        <v>902</v>
      </c>
      <c r="F736" t="s">
        <v>44</v>
      </c>
      <c r="G736" t="s">
        <v>86</v>
      </c>
      <c r="H736">
        <v>8</v>
      </c>
      <c r="I736">
        <v>175.03</v>
      </c>
      <c r="J736">
        <v>0</v>
      </c>
      <c r="K736">
        <v>1400.24</v>
      </c>
    </row>
    <row r="737" spans="1:11" x14ac:dyDescent="0.35">
      <c r="A737" t="s">
        <v>1073</v>
      </c>
      <c r="B737" t="s">
        <v>1074</v>
      </c>
      <c r="C737" t="s">
        <v>79</v>
      </c>
      <c r="D737" t="s">
        <v>42</v>
      </c>
      <c r="E737" t="s">
        <v>137</v>
      </c>
      <c r="F737" t="s">
        <v>35</v>
      </c>
      <c r="G737" t="s">
        <v>67</v>
      </c>
      <c r="H737">
        <v>2</v>
      </c>
      <c r="I737">
        <v>191.95</v>
      </c>
      <c r="J737">
        <v>0.05</v>
      </c>
      <c r="K737">
        <v>364.7</v>
      </c>
    </row>
    <row r="738" spans="1:11" x14ac:dyDescent="0.35">
      <c r="A738" t="s">
        <v>1075</v>
      </c>
      <c r="B738" s="1">
        <v>45392</v>
      </c>
      <c r="C738" t="s">
        <v>12</v>
      </c>
      <c r="D738" t="s">
        <v>42</v>
      </c>
      <c r="E738" t="s">
        <v>80</v>
      </c>
      <c r="F738" t="s">
        <v>35</v>
      </c>
      <c r="G738" t="s">
        <v>83</v>
      </c>
      <c r="H738">
        <v>10</v>
      </c>
      <c r="I738">
        <v>214.97</v>
      </c>
      <c r="J738">
        <v>0.05</v>
      </c>
      <c r="K738">
        <v>2042.21</v>
      </c>
    </row>
    <row r="739" spans="1:11" x14ac:dyDescent="0.35">
      <c r="A739" t="s">
        <v>1076</v>
      </c>
      <c r="B739" s="1">
        <v>45569</v>
      </c>
      <c r="C739" t="s">
        <v>33</v>
      </c>
      <c r="D739" t="s">
        <v>19</v>
      </c>
      <c r="E739" t="s">
        <v>293</v>
      </c>
      <c r="F739" t="s">
        <v>44</v>
      </c>
      <c r="G739" t="s">
        <v>107</v>
      </c>
      <c r="H739">
        <v>11</v>
      </c>
      <c r="I739">
        <v>116.25</v>
      </c>
      <c r="J739">
        <v>0.1</v>
      </c>
      <c r="K739">
        <v>1150.8800000000001</v>
      </c>
    </row>
    <row r="740" spans="1:11" x14ac:dyDescent="0.35">
      <c r="A740" t="s">
        <v>1077</v>
      </c>
      <c r="B740" t="s">
        <v>605</v>
      </c>
      <c r="C740" t="s">
        <v>56</v>
      </c>
      <c r="D740" t="s">
        <v>19</v>
      </c>
      <c r="E740" t="s">
        <v>336</v>
      </c>
      <c r="F740" t="s">
        <v>44</v>
      </c>
      <c r="G740" t="s">
        <v>86</v>
      </c>
      <c r="H740">
        <v>12</v>
      </c>
      <c r="I740">
        <v>63.89</v>
      </c>
      <c r="J740">
        <v>0.15</v>
      </c>
      <c r="K740">
        <v>651.67999999999995</v>
      </c>
    </row>
    <row r="741" spans="1:11" x14ac:dyDescent="0.35">
      <c r="A741" t="s">
        <v>1078</v>
      </c>
      <c r="B741" s="1">
        <v>45545</v>
      </c>
      <c r="C741" t="s">
        <v>18</v>
      </c>
      <c r="D741" t="s">
        <v>42</v>
      </c>
      <c r="E741" t="s">
        <v>693</v>
      </c>
      <c r="F741" t="s">
        <v>15</v>
      </c>
      <c r="G741" t="s">
        <v>111</v>
      </c>
      <c r="H741">
        <v>2</v>
      </c>
      <c r="I741">
        <v>154.93</v>
      </c>
      <c r="J741">
        <v>0</v>
      </c>
      <c r="K741">
        <v>309.86</v>
      </c>
    </row>
    <row r="742" spans="1:11" x14ac:dyDescent="0.35">
      <c r="A742" t="s">
        <v>1079</v>
      </c>
      <c r="B742" t="s">
        <v>1080</v>
      </c>
      <c r="C742" t="s">
        <v>79</v>
      </c>
      <c r="D742" t="s">
        <v>19</v>
      </c>
      <c r="F742" t="s">
        <v>15</v>
      </c>
      <c r="G742" t="s">
        <v>74</v>
      </c>
      <c r="H742">
        <v>12</v>
      </c>
      <c r="I742">
        <v>97.7</v>
      </c>
      <c r="J742">
        <v>0.15</v>
      </c>
      <c r="K742">
        <v>996.54</v>
      </c>
    </row>
    <row r="743" spans="1:11" x14ac:dyDescent="0.35">
      <c r="A743" t="s">
        <v>1081</v>
      </c>
      <c r="B743" s="1">
        <v>45334</v>
      </c>
      <c r="C743" t="s">
        <v>41</v>
      </c>
      <c r="D743" t="s">
        <v>57</v>
      </c>
      <c r="E743" t="s">
        <v>508</v>
      </c>
      <c r="F743" t="s">
        <v>53</v>
      </c>
      <c r="G743" t="s">
        <v>63</v>
      </c>
      <c r="H743">
        <v>2</v>
      </c>
      <c r="I743">
        <v>152.38999999999999</v>
      </c>
      <c r="J743">
        <v>0.05</v>
      </c>
      <c r="K743">
        <v>289.54000000000002</v>
      </c>
    </row>
    <row r="744" spans="1:11" x14ac:dyDescent="0.35">
      <c r="A744" t="s">
        <v>1082</v>
      </c>
      <c r="B744" s="1">
        <v>45364</v>
      </c>
      <c r="C744" t="s">
        <v>79</v>
      </c>
      <c r="D744" t="s">
        <v>57</v>
      </c>
      <c r="E744" t="s">
        <v>120</v>
      </c>
      <c r="F744" t="s">
        <v>15</v>
      </c>
      <c r="G744" t="s">
        <v>27</v>
      </c>
      <c r="H744">
        <v>2</v>
      </c>
      <c r="I744">
        <v>118.91</v>
      </c>
      <c r="J744">
        <v>0.1</v>
      </c>
      <c r="K744">
        <v>214.04</v>
      </c>
    </row>
    <row r="745" spans="1:11" x14ac:dyDescent="0.35">
      <c r="A745" t="s">
        <v>1083</v>
      </c>
      <c r="B745" s="1">
        <v>45335</v>
      </c>
      <c r="C745" t="s">
        <v>24</v>
      </c>
      <c r="D745" t="s">
        <v>57</v>
      </c>
      <c r="E745" t="s">
        <v>1084</v>
      </c>
      <c r="F745" t="s">
        <v>35</v>
      </c>
      <c r="G745" t="s">
        <v>67</v>
      </c>
      <c r="H745">
        <v>3</v>
      </c>
      <c r="I745">
        <v>82.13</v>
      </c>
      <c r="J745">
        <v>0.05</v>
      </c>
      <c r="K745">
        <v>234.07</v>
      </c>
    </row>
    <row r="746" spans="1:11" x14ac:dyDescent="0.35">
      <c r="A746" t="s">
        <v>1085</v>
      </c>
      <c r="B746" s="1">
        <v>45392</v>
      </c>
      <c r="C746" t="s">
        <v>72</v>
      </c>
      <c r="D746" t="s">
        <v>25</v>
      </c>
      <c r="E746" t="s">
        <v>221</v>
      </c>
      <c r="F746" t="s">
        <v>44</v>
      </c>
      <c r="G746" t="s">
        <v>86</v>
      </c>
      <c r="H746">
        <v>11</v>
      </c>
      <c r="I746">
        <v>184.72</v>
      </c>
      <c r="J746">
        <v>0</v>
      </c>
      <c r="K746">
        <v>2031.92</v>
      </c>
    </row>
    <row r="747" spans="1:11" x14ac:dyDescent="0.35">
      <c r="A747" t="s">
        <v>1086</v>
      </c>
      <c r="B747" s="1">
        <v>45410</v>
      </c>
      <c r="C747" t="s">
        <v>41</v>
      </c>
      <c r="D747" t="s">
        <v>42</v>
      </c>
      <c r="E747" t="s">
        <v>547</v>
      </c>
      <c r="F747" t="s">
        <v>35</v>
      </c>
      <c r="G747" t="s">
        <v>134</v>
      </c>
      <c r="H747">
        <v>4</v>
      </c>
      <c r="I747">
        <v>69.77</v>
      </c>
      <c r="J747">
        <v>0</v>
      </c>
      <c r="K747">
        <v>279.08</v>
      </c>
    </row>
    <row r="748" spans="1:11" x14ac:dyDescent="0.35">
      <c r="A748" t="s">
        <v>1087</v>
      </c>
      <c r="B748" s="2">
        <v>45574</v>
      </c>
      <c r="C748" t="s">
        <v>18</v>
      </c>
      <c r="D748" t="s">
        <v>25</v>
      </c>
      <c r="E748" t="s">
        <v>291</v>
      </c>
      <c r="F748" t="s">
        <v>44</v>
      </c>
      <c r="G748" t="s">
        <v>45</v>
      </c>
      <c r="H748">
        <v>5</v>
      </c>
      <c r="I748">
        <v>176.47</v>
      </c>
      <c r="J748">
        <v>0.15</v>
      </c>
      <c r="K748">
        <v>750</v>
      </c>
    </row>
    <row r="749" spans="1:11" x14ac:dyDescent="0.35">
      <c r="A749" t="s">
        <v>1088</v>
      </c>
      <c r="B749" s="1">
        <v>45396</v>
      </c>
      <c r="C749" t="s">
        <v>12</v>
      </c>
      <c r="D749" t="s">
        <v>57</v>
      </c>
      <c r="E749" t="s">
        <v>357</v>
      </c>
      <c r="F749" t="s">
        <v>21</v>
      </c>
      <c r="G749" t="s">
        <v>70</v>
      </c>
      <c r="H749">
        <v>5</v>
      </c>
      <c r="I749">
        <v>158.65</v>
      </c>
      <c r="J749">
        <v>0.15</v>
      </c>
      <c r="K749">
        <v>674.26</v>
      </c>
    </row>
    <row r="750" spans="1:11" x14ac:dyDescent="0.35">
      <c r="A750" t="s">
        <v>1089</v>
      </c>
      <c r="B750" s="1">
        <v>45624</v>
      </c>
      <c r="C750" t="s">
        <v>18</v>
      </c>
      <c r="D750" t="s">
        <v>19</v>
      </c>
      <c r="E750" t="s">
        <v>52</v>
      </c>
      <c r="F750" t="s">
        <v>53</v>
      </c>
      <c r="G750" t="s">
        <v>104</v>
      </c>
      <c r="H750">
        <v>1</v>
      </c>
      <c r="I750">
        <v>106.81</v>
      </c>
      <c r="J750">
        <v>0</v>
      </c>
      <c r="K750">
        <v>106.81</v>
      </c>
    </row>
    <row r="751" spans="1:11" x14ac:dyDescent="0.35">
      <c r="A751" t="s">
        <v>1090</v>
      </c>
      <c r="B751" s="1">
        <v>45300</v>
      </c>
      <c r="C751" t="s">
        <v>33</v>
      </c>
      <c r="D751" t="s">
        <v>19</v>
      </c>
      <c r="E751" t="s">
        <v>426</v>
      </c>
      <c r="F751" t="s">
        <v>44</v>
      </c>
      <c r="G751" t="s">
        <v>50</v>
      </c>
      <c r="H751">
        <v>6</v>
      </c>
      <c r="I751">
        <v>20.63</v>
      </c>
      <c r="J751">
        <v>0</v>
      </c>
      <c r="K751">
        <v>123.78</v>
      </c>
    </row>
    <row r="752" spans="1:11" x14ac:dyDescent="0.35">
      <c r="A752" t="s">
        <v>1091</v>
      </c>
      <c r="B752" t="s">
        <v>1092</v>
      </c>
      <c r="C752" t="s">
        <v>48</v>
      </c>
      <c r="D752" t="s">
        <v>57</v>
      </c>
      <c r="E752" t="s">
        <v>106</v>
      </c>
      <c r="F752" t="s">
        <v>15</v>
      </c>
      <c r="G752" t="s">
        <v>147</v>
      </c>
      <c r="H752">
        <v>10</v>
      </c>
      <c r="I752">
        <v>189.27</v>
      </c>
      <c r="J752">
        <v>0</v>
      </c>
      <c r="K752">
        <v>1892.7</v>
      </c>
    </row>
    <row r="753" spans="1:11" x14ac:dyDescent="0.35">
      <c r="A753" t="s">
        <v>1093</v>
      </c>
      <c r="B753" s="1">
        <v>45643</v>
      </c>
      <c r="C753" t="s">
        <v>48</v>
      </c>
      <c r="D753" t="s">
        <v>19</v>
      </c>
      <c r="E753" t="s">
        <v>683</v>
      </c>
      <c r="F753" t="s">
        <v>44</v>
      </c>
      <c r="G753" t="s">
        <v>86</v>
      </c>
      <c r="H753">
        <v>5</v>
      </c>
      <c r="I753">
        <v>248.32</v>
      </c>
      <c r="J753">
        <v>0</v>
      </c>
      <c r="K753">
        <v>1241.5999999999999</v>
      </c>
    </row>
    <row r="754" spans="1:11" x14ac:dyDescent="0.35">
      <c r="A754" t="s">
        <v>1094</v>
      </c>
      <c r="B754" t="s">
        <v>1095</v>
      </c>
      <c r="C754" t="s">
        <v>41</v>
      </c>
      <c r="D754" t="s">
        <v>42</v>
      </c>
      <c r="E754" t="s">
        <v>663</v>
      </c>
      <c r="F754" t="s">
        <v>35</v>
      </c>
      <c r="G754" t="s">
        <v>67</v>
      </c>
      <c r="H754">
        <v>2</v>
      </c>
      <c r="I754">
        <v>23.99</v>
      </c>
      <c r="J754">
        <v>0.1</v>
      </c>
      <c r="K754">
        <v>43.18</v>
      </c>
    </row>
    <row r="755" spans="1:11" x14ac:dyDescent="0.35">
      <c r="A755" t="s">
        <v>1096</v>
      </c>
      <c r="B755" t="s">
        <v>1097</v>
      </c>
      <c r="C755" t="s">
        <v>90</v>
      </c>
      <c r="D755" t="s">
        <v>25</v>
      </c>
      <c r="E755" t="s">
        <v>366</v>
      </c>
      <c r="F755" t="s">
        <v>53</v>
      </c>
      <c r="G755" t="s">
        <v>260</v>
      </c>
      <c r="H755">
        <v>6</v>
      </c>
      <c r="I755">
        <v>124.52</v>
      </c>
      <c r="J755">
        <v>0.1</v>
      </c>
      <c r="K755">
        <v>672.41</v>
      </c>
    </row>
    <row r="756" spans="1:11" x14ac:dyDescent="0.35">
      <c r="A756" t="s">
        <v>1098</v>
      </c>
      <c r="B756" s="1">
        <v>45573</v>
      </c>
      <c r="C756" t="s">
        <v>90</v>
      </c>
      <c r="D756" t="s">
        <v>42</v>
      </c>
      <c r="E756" t="s">
        <v>379</v>
      </c>
      <c r="F756" t="s">
        <v>35</v>
      </c>
      <c r="G756" t="s">
        <v>83</v>
      </c>
      <c r="H756">
        <v>8</v>
      </c>
      <c r="I756">
        <v>91.19</v>
      </c>
      <c r="J756">
        <v>0</v>
      </c>
      <c r="K756">
        <v>729.52</v>
      </c>
    </row>
    <row r="757" spans="1:11" x14ac:dyDescent="0.35">
      <c r="A757" t="s">
        <v>1099</v>
      </c>
      <c r="B757" t="s">
        <v>1100</v>
      </c>
      <c r="C757" t="s">
        <v>90</v>
      </c>
      <c r="D757" t="s">
        <v>42</v>
      </c>
      <c r="E757" t="s">
        <v>381</v>
      </c>
      <c r="F757" t="s">
        <v>53</v>
      </c>
      <c r="G757" t="s">
        <v>59</v>
      </c>
      <c r="H757">
        <v>9</v>
      </c>
      <c r="I757">
        <v>113</v>
      </c>
      <c r="J757">
        <v>0.1</v>
      </c>
      <c r="K757">
        <v>915.3</v>
      </c>
    </row>
    <row r="758" spans="1:11" x14ac:dyDescent="0.35">
      <c r="A758" t="s">
        <v>1101</v>
      </c>
      <c r="B758" s="1">
        <v>45634</v>
      </c>
      <c r="C758" t="s">
        <v>102</v>
      </c>
      <c r="D758" t="s">
        <v>13</v>
      </c>
      <c r="F758" t="s">
        <v>35</v>
      </c>
      <c r="G758" t="s">
        <v>36</v>
      </c>
      <c r="H758">
        <v>5</v>
      </c>
      <c r="I758">
        <v>120.34</v>
      </c>
      <c r="J758">
        <v>0</v>
      </c>
      <c r="K758">
        <v>601.70000000000005</v>
      </c>
    </row>
    <row r="759" spans="1:11" x14ac:dyDescent="0.35">
      <c r="A759" t="s">
        <v>1102</v>
      </c>
      <c r="B759" s="1">
        <v>45377</v>
      </c>
      <c r="C759" t="s">
        <v>72</v>
      </c>
      <c r="D759" t="s">
        <v>57</v>
      </c>
      <c r="E759" t="s">
        <v>73</v>
      </c>
      <c r="F759" t="s">
        <v>53</v>
      </c>
      <c r="G759" t="s">
        <v>125</v>
      </c>
      <c r="H759">
        <v>7</v>
      </c>
      <c r="I759">
        <v>148.25</v>
      </c>
      <c r="J759">
        <v>0</v>
      </c>
      <c r="K759">
        <v>1037.75</v>
      </c>
    </row>
    <row r="760" spans="1:11" x14ac:dyDescent="0.35">
      <c r="A760" t="s">
        <v>1103</v>
      </c>
      <c r="B760" t="s">
        <v>971</v>
      </c>
      <c r="C760" t="s">
        <v>38</v>
      </c>
      <c r="D760" t="s">
        <v>13</v>
      </c>
      <c r="E760" t="s">
        <v>146</v>
      </c>
      <c r="F760" t="s">
        <v>53</v>
      </c>
      <c r="G760" t="s">
        <v>54</v>
      </c>
      <c r="H760">
        <v>1</v>
      </c>
      <c r="I760">
        <v>65.180000000000007</v>
      </c>
      <c r="J760">
        <v>0</v>
      </c>
      <c r="K760">
        <v>65.180000000000007</v>
      </c>
    </row>
    <row r="761" spans="1:11" x14ac:dyDescent="0.35">
      <c r="A761" t="s">
        <v>1104</v>
      </c>
      <c r="B761" s="1">
        <v>45368</v>
      </c>
      <c r="C761" t="s">
        <v>29</v>
      </c>
      <c r="D761" t="s">
        <v>25</v>
      </c>
      <c r="E761" t="s">
        <v>155</v>
      </c>
      <c r="F761" t="s">
        <v>44</v>
      </c>
      <c r="G761" t="s">
        <v>86</v>
      </c>
      <c r="H761">
        <v>4</v>
      </c>
      <c r="I761">
        <v>128.09</v>
      </c>
      <c r="J761">
        <v>0</v>
      </c>
      <c r="K761">
        <v>512.36</v>
      </c>
    </row>
    <row r="762" spans="1:11" x14ac:dyDescent="0.35">
      <c r="A762" t="s">
        <v>1105</v>
      </c>
      <c r="B762" t="s">
        <v>1106</v>
      </c>
      <c r="C762" t="s">
        <v>29</v>
      </c>
      <c r="D762" t="s">
        <v>57</v>
      </c>
      <c r="E762" t="s">
        <v>339</v>
      </c>
      <c r="F762" t="s">
        <v>35</v>
      </c>
      <c r="G762" t="s">
        <v>134</v>
      </c>
      <c r="H762">
        <v>7</v>
      </c>
      <c r="I762">
        <v>83.46</v>
      </c>
      <c r="J762">
        <v>0.05</v>
      </c>
      <c r="K762">
        <v>555.01</v>
      </c>
    </row>
    <row r="763" spans="1:11" x14ac:dyDescent="0.35">
      <c r="A763" t="s">
        <v>1107</v>
      </c>
      <c r="B763" t="s">
        <v>1108</v>
      </c>
      <c r="C763" t="s">
        <v>79</v>
      </c>
      <c r="D763" t="s">
        <v>42</v>
      </c>
      <c r="E763" t="s">
        <v>472</v>
      </c>
      <c r="F763" t="s">
        <v>44</v>
      </c>
      <c r="G763" t="s">
        <v>86</v>
      </c>
      <c r="H763">
        <v>11</v>
      </c>
      <c r="I763">
        <v>167.8</v>
      </c>
      <c r="J763">
        <v>0.15</v>
      </c>
      <c r="K763">
        <v>1568.93</v>
      </c>
    </row>
    <row r="764" spans="1:11" x14ac:dyDescent="0.35">
      <c r="A764" t="s">
        <v>1109</v>
      </c>
      <c r="B764" s="1">
        <v>45631</v>
      </c>
      <c r="C764" t="s">
        <v>79</v>
      </c>
      <c r="D764" t="s">
        <v>57</v>
      </c>
      <c r="E764" t="s">
        <v>470</v>
      </c>
      <c r="F764" t="s">
        <v>53</v>
      </c>
      <c r="G764" t="s">
        <v>59</v>
      </c>
      <c r="H764">
        <v>3</v>
      </c>
      <c r="I764">
        <v>147.51</v>
      </c>
      <c r="J764">
        <v>0</v>
      </c>
      <c r="K764">
        <v>442.53</v>
      </c>
    </row>
    <row r="765" spans="1:11" x14ac:dyDescent="0.35">
      <c r="A765" t="s">
        <v>1110</v>
      </c>
      <c r="B765" s="1">
        <v>45598</v>
      </c>
      <c r="C765" t="s">
        <v>33</v>
      </c>
      <c r="D765" t="s">
        <v>19</v>
      </c>
      <c r="E765" t="s">
        <v>370</v>
      </c>
      <c r="F765" t="s">
        <v>44</v>
      </c>
      <c r="G765" t="s">
        <v>45</v>
      </c>
      <c r="H765">
        <v>1</v>
      </c>
      <c r="I765">
        <v>97.85</v>
      </c>
      <c r="J765">
        <v>0</v>
      </c>
      <c r="K765">
        <v>97.85</v>
      </c>
    </row>
    <row r="766" spans="1:11" x14ac:dyDescent="0.35">
      <c r="A766" t="s">
        <v>1111</v>
      </c>
      <c r="B766" s="2">
        <v>45382</v>
      </c>
      <c r="C766" t="s">
        <v>90</v>
      </c>
      <c r="D766" t="s">
        <v>13</v>
      </c>
      <c r="E766" t="s">
        <v>412</v>
      </c>
      <c r="F766" t="s">
        <v>21</v>
      </c>
      <c r="G766" t="s">
        <v>22</v>
      </c>
      <c r="H766">
        <v>4</v>
      </c>
      <c r="I766">
        <v>173.4</v>
      </c>
      <c r="J766">
        <v>0</v>
      </c>
      <c r="K766">
        <v>693.6</v>
      </c>
    </row>
    <row r="767" spans="1:11" x14ac:dyDescent="0.35">
      <c r="A767" t="s">
        <v>1112</v>
      </c>
      <c r="B767" s="2">
        <v>45454</v>
      </c>
      <c r="C767" t="s">
        <v>41</v>
      </c>
      <c r="D767" t="s">
        <v>42</v>
      </c>
      <c r="E767" t="s">
        <v>439</v>
      </c>
      <c r="F767" t="s">
        <v>35</v>
      </c>
      <c r="G767" t="s">
        <v>83</v>
      </c>
      <c r="H767">
        <v>12</v>
      </c>
      <c r="I767">
        <v>65.2</v>
      </c>
      <c r="J767">
        <v>0</v>
      </c>
      <c r="K767">
        <v>782.4</v>
      </c>
    </row>
    <row r="768" spans="1:11" x14ac:dyDescent="0.35">
      <c r="A768" t="s">
        <v>1113</v>
      </c>
      <c r="B768" s="1">
        <v>45564</v>
      </c>
      <c r="C768" t="s">
        <v>18</v>
      </c>
      <c r="D768" t="s">
        <v>42</v>
      </c>
      <c r="E768" t="s">
        <v>266</v>
      </c>
      <c r="F768" t="s">
        <v>21</v>
      </c>
      <c r="G768" t="s">
        <v>129</v>
      </c>
      <c r="H768">
        <v>1</v>
      </c>
      <c r="I768">
        <v>166.8</v>
      </c>
      <c r="J768">
        <v>0.1</v>
      </c>
      <c r="K768">
        <v>150.12</v>
      </c>
    </row>
    <row r="769" spans="1:11" x14ac:dyDescent="0.35">
      <c r="A769" t="s">
        <v>1114</v>
      </c>
      <c r="B769" s="1">
        <v>45325</v>
      </c>
      <c r="C769" t="s">
        <v>41</v>
      </c>
      <c r="D769" t="s">
        <v>25</v>
      </c>
      <c r="E769" t="s">
        <v>368</v>
      </c>
      <c r="F769" t="s">
        <v>15</v>
      </c>
      <c r="G769" t="s">
        <v>74</v>
      </c>
      <c r="H769">
        <v>1</v>
      </c>
      <c r="I769">
        <v>37.450000000000003</v>
      </c>
      <c r="J769">
        <v>0</v>
      </c>
      <c r="K769">
        <v>37.450000000000003</v>
      </c>
    </row>
    <row r="770" spans="1:11" x14ac:dyDescent="0.35">
      <c r="A770" t="s">
        <v>1115</v>
      </c>
      <c r="B770" s="1">
        <v>45486</v>
      </c>
      <c r="C770" t="s">
        <v>65</v>
      </c>
      <c r="D770" t="s">
        <v>42</v>
      </c>
      <c r="E770" t="s">
        <v>199</v>
      </c>
      <c r="F770" t="s">
        <v>53</v>
      </c>
      <c r="G770" t="s">
        <v>63</v>
      </c>
      <c r="H770">
        <v>8</v>
      </c>
      <c r="I770">
        <v>139.08000000000001</v>
      </c>
      <c r="J770">
        <v>0.15</v>
      </c>
      <c r="K770">
        <v>945.74</v>
      </c>
    </row>
    <row r="771" spans="1:11" x14ac:dyDescent="0.35">
      <c r="A771" t="s">
        <v>1116</v>
      </c>
      <c r="B771" s="1">
        <v>45356</v>
      </c>
      <c r="C771" t="s">
        <v>90</v>
      </c>
      <c r="D771" t="s">
        <v>25</v>
      </c>
      <c r="E771" t="s">
        <v>825</v>
      </c>
      <c r="F771" t="s">
        <v>21</v>
      </c>
      <c r="G771" t="s">
        <v>194</v>
      </c>
      <c r="H771">
        <v>11</v>
      </c>
      <c r="I771">
        <v>56.85</v>
      </c>
      <c r="J771">
        <v>0.15</v>
      </c>
      <c r="K771">
        <v>531.54999999999995</v>
      </c>
    </row>
    <row r="772" spans="1:11" x14ac:dyDescent="0.35">
      <c r="A772" t="s">
        <v>1117</v>
      </c>
      <c r="B772" s="1">
        <v>45349</v>
      </c>
      <c r="C772" t="s">
        <v>90</v>
      </c>
      <c r="D772" t="s">
        <v>13</v>
      </c>
      <c r="E772" t="s">
        <v>293</v>
      </c>
      <c r="F772" t="s">
        <v>21</v>
      </c>
      <c r="G772" t="s">
        <v>70</v>
      </c>
      <c r="H772">
        <v>8</v>
      </c>
      <c r="I772">
        <v>44.81</v>
      </c>
      <c r="J772">
        <v>0.15</v>
      </c>
      <c r="K772">
        <v>304.70999999999998</v>
      </c>
    </row>
    <row r="773" spans="1:11" x14ac:dyDescent="0.35">
      <c r="A773" t="s">
        <v>1118</v>
      </c>
      <c r="B773" s="2">
        <v>45352</v>
      </c>
      <c r="C773" t="s">
        <v>38</v>
      </c>
      <c r="D773" t="s">
        <v>19</v>
      </c>
      <c r="F773" t="s">
        <v>44</v>
      </c>
      <c r="G773" t="s">
        <v>50</v>
      </c>
      <c r="H773">
        <v>12</v>
      </c>
      <c r="I773">
        <v>248.96</v>
      </c>
      <c r="J773">
        <v>0.15</v>
      </c>
      <c r="K773">
        <v>2539.39</v>
      </c>
    </row>
    <row r="774" spans="1:11" x14ac:dyDescent="0.35">
      <c r="A774" t="s">
        <v>1119</v>
      </c>
      <c r="B774" s="1">
        <v>45298</v>
      </c>
      <c r="C774" t="s">
        <v>79</v>
      </c>
      <c r="D774" t="s">
        <v>57</v>
      </c>
      <c r="E774" t="s">
        <v>351</v>
      </c>
      <c r="F774" t="s">
        <v>15</v>
      </c>
      <c r="G774" t="s">
        <v>111</v>
      </c>
      <c r="H774">
        <v>4</v>
      </c>
      <c r="I774">
        <v>150.26</v>
      </c>
      <c r="J774">
        <v>0.1</v>
      </c>
      <c r="K774">
        <v>540.94000000000005</v>
      </c>
    </row>
    <row r="775" spans="1:11" x14ac:dyDescent="0.35">
      <c r="A775" t="s">
        <v>1120</v>
      </c>
      <c r="B775" s="1">
        <v>45361</v>
      </c>
      <c r="C775" t="s">
        <v>90</v>
      </c>
      <c r="D775" t="s">
        <v>42</v>
      </c>
      <c r="E775" t="s">
        <v>433</v>
      </c>
      <c r="F775" t="s">
        <v>44</v>
      </c>
      <c r="G775" t="s">
        <v>45</v>
      </c>
      <c r="H775">
        <v>8</v>
      </c>
      <c r="I775">
        <v>202.15</v>
      </c>
      <c r="J775">
        <v>0</v>
      </c>
      <c r="K775">
        <v>1617.2</v>
      </c>
    </row>
    <row r="776" spans="1:11" x14ac:dyDescent="0.35">
      <c r="A776" t="s">
        <v>1121</v>
      </c>
      <c r="B776" s="1">
        <v>45497</v>
      </c>
      <c r="C776" t="s">
        <v>56</v>
      </c>
      <c r="E776" t="s">
        <v>400</v>
      </c>
      <c r="F776" t="s">
        <v>35</v>
      </c>
      <c r="G776" t="s">
        <v>83</v>
      </c>
      <c r="H776">
        <v>8</v>
      </c>
      <c r="I776">
        <v>158.12</v>
      </c>
      <c r="J776">
        <v>0.15</v>
      </c>
      <c r="K776">
        <v>1075.22</v>
      </c>
    </row>
    <row r="777" spans="1:11" x14ac:dyDescent="0.35">
      <c r="A777" t="s">
        <v>1122</v>
      </c>
      <c r="B777" t="s">
        <v>780</v>
      </c>
      <c r="C777" t="s">
        <v>102</v>
      </c>
      <c r="D777" t="s">
        <v>57</v>
      </c>
      <c r="E777" t="s">
        <v>535</v>
      </c>
      <c r="F777" t="s">
        <v>15</v>
      </c>
      <c r="G777" t="s">
        <v>111</v>
      </c>
      <c r="H777">
        <v>10</v>
      </c>
      <c r="I777">
        <v>230.98</v>
      </c>
      <c r="J777">
        <v>0.15</v>
      </c>
      <c r="K777">
        <v>1963.33</v>
      </c>
    </row>
    <row r="778" spans="1:11" x14ac:dyDescent="0.35">
      <c r="A778" t="s">
        <v>1123</v>
      </c>
      <c r="B778" s="2">
        <v>45471</v>
      </c>
      <c r="C778" t="s">
        <v>56</v>
      </c>
      <c r="D778" t="s">
        <v>19</v>
      </c>
      <c r="E778" t="s">
        <v>69</v>
      </c>
      <c r="F778" t="s">
        <v>21</v>
      </c>
      <c r="G778" t="s">
        <v>167</v>
      </c>
      <c r="H778">
        <v>2</v>
      </c>
      <c r="I778">
        <v>210.71</v>
      </c>
      <c r="J778">
        <v>0.15</v>
      </c>
      <c r="K778">
        <v>358.21</v>
      </c>
    </row>
    <row r="779" spans="1:11" x14ac:dyDescent="0.35">
      <c r="A779" t="s">
        <v>1124</v>
      </c>
      <c r="B779" t="s">
        <v>423</v>
      </c>
      <c r="C779" t="s">
        <v>29</v>
      </c>
      <c r="D779" t="s">
        <v>19</v>
      </c>
      <c r="E779" t="s">
        <v>321</v>
      </c>
      <c r="F779" t="s">
        <v>21</v>
      </c>
      <c r="G779" t="s">
        <v>129</v>
      </c>
      <c r="H779">
        <v>10</v>
      </c>
      <c r="I779">
        <v>237.83</v>
      </c>
      <c r="J779">
        <v>0.1</v>
      </c>
      <c r="K779">
        <v>2140.4699999999998</v>
      </c>
    </row>
    <row r="780" spans="1:11" x14ac:dyDescent="0.35">
      <c r="A780" t="s">
        <v>1125</v>
      </c>
      <c r="B780" s="1">
        <v>45621</v>
      </c>
      <c r="C780" t="s">
        <v>18</v>
      </c>
      <c r="D780" t="s">
        <v>25</v>
      </c>
      <c r="E780" t="s">
        <v>248</v>
      </c>
      <c r="F780" t="s">
        <v>21</v>
      </c>
      <c r="G780" t="s">
        <v>70</v>
      </c>
      <c r="H780">
        <v>12</v>
      </c>
      <c r="I780">
        <v>228.59</v>
      </c>
      <c r="J780">
        <v>0</v>
      </c>
      <c r="K780">
        <v>2743.08</v>
      </c>
    </row>
    <row r="781" spans="1:11" x14ac:dyDescent="0.35">
      <c r="A781" t="s">
        <v>1126</v>
      </c>
      <c r="B781" s="2">
        <v>45305</v>
      </c>
      <c r="C781" t="s">
        <v>102</v>
      </c>
      <c r="D781" t="s">
        <v>13</v>
      </c>
      <c r="E781" t="s">
        <v>567</v>
      </c>
      <c r="F781" t="s">
        <v>35</v>
      </c>
      <c r="G781" t="s">
        <v>177</v>
      </c>
      <c r="H781">
        <v>2</v>
      </c>
      <c r="I781">
        <v>72.349999999999994</v>
      </c>
      <c r="J781">
        <v>0.1</v>
      </c>
      <c r="K781">
        <v>130.22999999999999</v>
      </c>
    </row>
    <row r="782" spans="1:11" x14ac:dyDescent="0.35">
      <c r="A782" t="s">
        <v>1127</v>
      </c>
      <c r="B782" s="1">
        <v>45342</v>
      </c>
      <c r="C782" t="s">
        <v>48</v>
      </c>
      <c r="D782" t="s">
        <v>19</v>
      </c>
      <c r="E782" t="s">
        <v>197</v>
      </c>
      <c r="F782" t="s">
        <v>44</v>
      </c>
      <c r="G782" t="s">
        <v>94</v>
      </c>
      <c r="H782">
        <v>2</v>
      </c>
      <c r="I782">
        <v>74.77</v>
      </c>
      <c r="J782">
        <v>0</v>
      </c>
      <c r="K782">
        <v>149.54</v>
      </c>
    </row>
    <row r="783" spans="1:11" x14ac:dyDescent="0.35">
      <c r="A783" t="s">
        <v>1128</v>
      </c>
      <c r="B783" s="1">
        <v>45585</v>
      </c>
      <c r="C783" t="s">
        <v>24</v>
      </c>
      <c r="D783" t="s">
        <v>25</v>
      </c>
      <c r="E783" t="s">
        <v>339</v>
      </c>
      <c r="F783" t="s">
        <v>53</v>
      </c>
      <c r="G783" t="s">
        <v>54</v>
      </c>
      <c r="H783">
        <v>6</v>
      </c>
      <c r="I783">
        <v>142.63</v>
      </c>
      <c r="J783">
        <v>0.15</v>
      </c>
      <c r="K783">
        <v>727.41</v>
      </c>
    </row>
    <row r="784" spans="1:11" x14ac:dyDescent="0.35">
      <c r="A784" t="s">
        <v>1129</v>
      </c>
      <c r="B784" s="2">
        <v>45349</v>
      </c>
      <c r="C784" t="s">
        <v>90</v>
      </c>
      <c r="D784" t="s">
        <v>42</v>
      </c>
      <c r="E784" t="s">
        <v>674</v>
      </c>
      <c r="F784" t="s">
        <v>15</v>
      </c>
      <c r="G784" t="s">
        <v>111</v>
      </c>
      <c r="H784">
        <v>4</v>
      </c>
      <c r="I784">
        <v>195.46</v>
      </c>
      <c r="J784">
        <v>0.1</v>
      </c>
      <c r="K784">
        <v>703.66</v>
      </c>
    </row>
    <row r="785" spans="1:11" x14ac:dyDescent="0.35">
      <c r="A785" t="s">
        <v>1130</v>
      </c>
      <c r="B785" s="2">
        <v>45441</v>
      </c>
      <c r="C785" t="s">
        <v>41</v>
      </c>
      <c r="D785" t="s">
        <v>57</v>
      </c>
      <c r="E785" t="s">
        <v>663</v>
      </c>
      <c r="F785" t="s">
        <v>44</v>
      </c>
      <c r="G785" t="s">
        <v>45</v>
      </c>
      <c r="H785">
        <v>2</v>
      </c>
      <c r="I785">
        <v>100.01</v>
      </c>
      <c r="J785">
        <v>0.15</v>
      </c>
      <c r="K785">
        <v>170.02</v>
      </c>
    </row>
    <row r="786" spans="1:11" x14ac:dyDescent="0.35">
      <c r="A786" t="s">
        <v>1131</v>
      </c>
      <c r="B786" s="1">
        <v>45415</v>
      </c>
      <c r="C786" t="s">
        <v>33</v>
      </c>
      <c r="D786" t="s">
        <v>13</v>
      </c>
      <c r="E786" t="s">
        <v>246</v>
      </c>
      <c r="F786" t="s">
        <v>44</v>
      </c>
      <c r="G786" t="s">
        <v>107</v>
      </c>
      <c r="H786">
        <v>10</v>
      </c>
      <c r="I786">
        <v>129.56</v>
      </c>
      <c r="J786">
        <v>0.1</v>
      </c>
      <c r="K786">
        <v>1166.04</v>
      </c>
    </row>
    <row r="787" spans="1:11" x14ac:dyDescent="0.35">
      <c r="A787" t="s">
        <v>1132</v>
      </c>
      <c r="B787" t="s">
        <v>1133</v>
      </c>
      <c r="C787" t="s">
        <v>18</v>
      </c>
      <c r="D787" t="s">
        <v>57</v>
      </c>
      <c r="E787" t="s">
        <v>155</v>
      </c>
      <c r="F787" t="s">
        <v>15</v>
      </c>
      <c r="G787" t="s">
        <v>74</v>
      </c>
      <c r="H787">
        <v>9</v>
      </c>
      <c r="I787">
        <v>243.05</v>
      </c>
      <c r="J787">
        <v>0.1</v>
      </c>
      <c r="K787">
        <v>1968.71</v>
      </c>
    </row>
    <row r="788" spans="1:11" x14ac:dyDescent="0.35">
      <c r="A788" t="s">
        <v>1134</v>
      </c>
      <c r="B788" s="1">
        <v>45544</v>
      </c>
      <c r="C788" t="s">
        <v>102</v>
      </c>
      <c r="D788" t="s">
        <v>42</v>
      </c>
      <c r="E788" t="s">
        <v>825</v>
      </c>
      <c r="F788" t="s">
        <v>53</v>
      </c>
      <c r="G788" t="s">
        <v>63</v>
      </c>
      <c r="H788">
        <v>3</v>
      </c>
      <c r="I788">
        <v>26.28</v>
      </c>
      <c r="J788">
        <v>0</v>
      </c>
      <c r="K788">
        <v>78.84</v>
      </c>
    </row>
    <row r="789" spans="1:11" x14ac:dyDescent="0.35">
      <c r="A789" t="s">
        <v>1135</v>
      </c>
      <c r="B789" s="2">
        <v>45590</v>
      </c>
      <c r="C789" t="s">
        <v>90</v>
      </c>
      <c r="D789" t="s">
        <v>25</v>
      </c>
      <c r="F789" t="s">
        <v>44</v>
      </c>
      <c r="G789" t="s">
        <v>86</v>
      </c>
      <c r="H789">
        <v>10</v>
      </c>
      <c r="I789">
        <v>5.66</v>
      </c>
      <c r="J789">
        <v>0</v>
      </c>
      <c r="K789">
        <v>56.6</v>
      </c>
    </row>
    <row r="790" spans="1:11" x14ac:dyDescent="0.35">
      <c r="A790" t="s">
        <v>1136</v>
      </c>
      <c r="B790" s="2">
        <v>45431</v>
      </c>
      <c r="C790" t="s">
        <v>90</v>
      </c>
      <c r="D790" t="s">
        <v>42</v>
      </c>
      <c r="E790" t="s">
        <v>293</v>
      </c>
      <c r="F790" t="s">
        <v>35</v>
      </c>
      <c r="G790" t="s">
        <v>36</v>
      </c>
      <c r="H790">
        <v>10</v>
      </c>
      <c r="I790">
        <v>112.25</v>
      </c>
      <c r="J790">
        <v>0</v>
      </c>
      <c r="K790">
        <v>1122.5</v>
      </c>
    </row>
    <row r="791" spans="1:11" x14ac:dyDescent="0.35">
      <c r="A791" t="s">
        <v>1137</v>
      </c>
      <c r="B791" s="2">
        <v>45651</v>
      </c>
      <c r="C791" t="s">
        <v>90</v>
      </c>
      <c r="E791" t="s">
        <v>259</v>
      </c>
      <c r="F791" t="s">
        <v>15</v>
      </c>
      <c r="G791" t="s">
        <v>27</v>
      </c>
      <c r="H791">
        <v>4</v>
      </c>
      <c r="I791">
        <v>22.44</v>
      </c>
      <c r="J791">
        <v>0</v>
      </c>
      <c r="K791">
        <v>89.76</v>
      </c>
    </row>
    <row r="792" spans="1:11" x14ac:dyDescent="0.35">
      <c r="A792" t="s">
        <v>1138</v>
      </c>
      <c r="B792" s="2">
        <v>45584</v>
      </c>
      <c r="C792" t="s">
        <v>102</v>
      </c>
      <c r="D792" t="s">
        <v>57</v>
      </c>
      <c r="E792" t="s">
        <v>155</v>
      </c>
      <c r="F792" t="s">
        <v>35</v>
      </c>
      <c r="G792" t="s">
        <v>177</v>
      </c>
      <c r="H792">
        <v>5</v>
      </c>
      <c r="I792">
        <v>196.72</v>
      </c>
      <c r="J792">
        <v>0</v>
      </c>
      <c r="K792">
        <v>983.6</v>
      </c>
    </row>
    <row r="793" spans="1:11" x14ac:dyDescent="0.35">
      <c r="A793" t="s">
        <v>1139</v>
      </c>
      <c r="B793" t="s">
        <v>1140</v>
      </c>
      <c r="C793" t="s">
        <v>102</v>
      </c>
      <c r="D793" t="s">
        <v>25</v>
      </c>
      <c r="E793" t="s">
        <v>385</v>
      </c>
      <c r="F793" t="s">
        <v>44</v>
      </c>
      <c r="G793" t="s">
        <v>107</v>
      </c>
      <c r="H793">
        <v>9</v>
      </c>
      <c r="I793">
        <v>151.69999999999999</v>
      </c>
      <c r="J793">
        <v>0.15</v>
      </c>
      <c r="K793">
        <v>1160.5</v>
      </c>
    </row>
    <row r="794" spans="1:11" x14ac:dyDescent="0.35">
      <c r="A794" t="s">
        <v>1141</v>
      </c>
      <c r="B794" s="1">
        <v>45317</v>
      </c>
      <c r="C794" t="s">
        <v>90</v>
      </c>
      <c r="D794" t="s">
        <v>57</v>
      </c>
      <c r="E794" t="s">
        <v>693</v>
      </c>
      <c r="F794" t="s">
        <v>21</v>
      </c>
      <c r="G794" t="s">
        <v>129</v>
      </c>
      <c r="H794">
        <v>11</v>
      </c>
      <c r="I794">
        <v>126.25</v>
      </c>
      <c r="J794">
        <v>0.15</v>
      </c>
      <c r="K794">
        <v>1180.44</v>
      </c>
    </row>
    <row r="795" spans="1:11" x14ac:dyDescent="0.35">
      <c r="A795" t="s">
        <v>1142</v>
      </c>
      <c r="B795" s="2">
        <v>45313</v>
      </c>
      <c r="C795" t="s">
        <v>12</v>
      </c>
      <c r="D795" t="s">
        <v>25</v>
      </c>
      <c r="E795" t="s">
        <v>117</v>
      </c>
      <c r="F795" t="s">
        <v>44</v>
      </c>
      <c r="G795" t="s">
        <v>94</v>
      </c>
      <c r="H795">
        <v>11</v>
      </c>
      <c r="I795">
        <v>241.34</v>
      </c>
      <c r="J795">
        <v>0.1</v>
      </c>
      <c r="K795">
        <v>2389.27</v>
      </c>
    </row>
    <row r="796" spans="1:11" x14ac:dyDescent="0.35">
      <c r="A796" t="s">
        <v>1143</v>
      </c>
      <c r="B796" s="1">
        <v>45481</v>
      </c>
      <c r="C796" t="s">
        <v>24</v>
      </c>
      <c r="D796" t="s">
        <v>13</v>
      </c>
      <c r="E796" t="s">
        <v>152</v>
      </c>
      <c r="F796" t="s">
        <v>15</v>
      </c>
      <c r="G796" t="s">
        <v>147</v>
      </c>
      <c r="H796">
        <v>8</v>
      </c>
      <c r="I796">
        <v>83.18</v>
      </c>
      <c r="J796">
        <v>0</v>
      </c>
      <c r="K796">
        <v>665.44</v>
      </c>
    </row>
    <row r="797" spans="1:11" x14ac:dyDescent="0.35">
      <c r="A797" t="s">
        <v>1144</v>
      </c>
      <c r="B797" t="s">
        <v>1108</v>
      </c>
      <c r="C797" t="s">
        <v>102</v>
      </c>
      <c r="D797" t="s">
        <v>13</v>
      </c>
      <c r="E797" t="s">
        <v>330</v>
      </c>
      <c r="F797" t="s">
        <v>44</v>
      </c>
      <c r="G797" t="s">
        <v>94</v>
      </c>
      <c r="H797">
        <v>11</v>
      </c>
      <c r="I797">
        <v>147.35</v>
      </c>
      <c r="J797">
        <v>0</v>
      </c>
      <c r="K797">
        <v>1620.85</v>
      </c>
    </row>
    <row r="798" spans="1:11" x14ac:dyDescent="0.35">
      <c r="A798" t="s">
        <v>1145</v>
      </c>
      <c r="B798" t="s">
        <v>1146</v>
      </c>
      <c r="C798" t="s">
        <v>41</v>
      </c>
      <c r="D798" t="s">
        <v>19</v>
      </c>
      <c r="E798" t="s">
        <v>296</v>
      </c>
      <c r="F798" t="s">
        <v>21</v>
      </c>
      <c r="G798" t="s">
        <v>167</v>
      </c>
      <c r="H798">
        <v>9</v>
      </c>
      <c r="I798">
        <v>91.19</v>
      </c>
      <c r="J798">
        <v>0.15</v>
      </c>
      <c r="K798">
        <v>697.6</v>
      </c>
    </row>
    <row r="799" spans="1:11" x14ac:dyDescent="0.35">
      <c r="A799" t="s">
        <v>1147</v>
      </c>
      <c r="B799" s="2">
        <v>45469</v>
      </c>
      <c r="C799" t="s">
        <v>72</v>
      </c>
      <c r="D799" t="s">
        <v>19</v>
      </c>
      <c r="E799" t="s">
        <v>128</v>
      </c>
      <c r="F799" t="s">
        <v>44</v>
      </c>
      <c r="G799" t="s">
        <v>45</v>
      </c>
      <c r="H799">
        <v>10</v>
      </c>
      <c r="I799">
        <v>248.75</v>
      </c>
      <c r="J799">
        <v>0.1</v>
      </c>
      <c r="K799">
        <v>2238.75</v>
      </c>
    </row>
    <row r="800" spans="1:11" x14ac:dyDescent="0.35">
      <c r="A800" t="s">
        <v>1148</v>
      </c>
      <c r="B800" s="2">
        <v>45401</v>
      </c>
      <c r="C800" t="s">
        <v>90</v>
      </c>
      <c r="E800" t="s">
        <v>73</v>
      </c>
      <c r="F800" t="s">
        <v>35</v>
      </c>
      <c r="G800" t="s">
        <v>83</v>
      </c>
      <c r="H800">
        <v>2</v>
      </c>
      <c r="I800">
        <v>39.630000000000003</v>
      </c>
      <c r="J800">
        <v>0.1</v>
      </c>
      <c r="K800">
        <v>71.33</v>
      </c>
    </row>
    <row r="801" spans="1:11" x14ac:dyDescent="0.35">
      <c r="A801" t="s">
        <v>1149</v>
      </c>
      <c r="B801" s="1">
        <v>45298</v>
      </c>
      <c r="C801" t="s">
        <v>18</v>
      </c>
      <c r="D801" t="s">
        <v>25</v>
      </c>
      <c r="E801" t="s">
        <v>521</v>
      </c>
      <c r="F801" t="s">
        <v>21</v>
      </c>
      <c r="G801" t="s">
        <v>194</v>
      </c>
      <c r="H801">
        <v>3</v>
      </c>
      <c r="I801">
        <v>233.81</v>
      </c>
      <c r="J801">
        <v>0.05</v>
      </c>
      <c r="K801">
        <v>666.36</v>
      </c>
    </row>
    <row r="802" spans="1:11" x14ac:dyDescent="0.35">
      <c r="A802" t="s">
        <v>1150</v>
      </c>
      <c r="B802" s="1">
        <v>45544</v>
      </c>
      <c r="C802" t="s">
        <v>90</v>
      </c>
      <c r="D802" t="s">
        <v>19</v>
      </c>
      <c r="E802" t="s">
        <v>315</v>
      </c>
      <c r="F802" t="s">
        <v>53</v>
      </c>
      <c r="G802" t="s">
        <v>59</v>
      </c>
      <c r="H802">
        <v>8</v>
      </c>
      <c r="I802">
        <v>85.52</v>
      </c>
      <c r="J802">
        <v>0.1</v>
      </c>
      <c r="K802">
        <v>615.74</v>
      </c>
    </row>
    <row r="803" spans="1:11" x14ac:dyDescent="0.35">
      <c r="A803" t="s">
        <v>1151</v>
      </c>
      <c r="B803" s="1">
        <v>45627</v>
      </c>
      <c r="C803" t="s">
        <v>41</v>
      </c>
      <c r="D803" t="s">
        <v>13</v>
      </c>
      <c r="E803" t="s">
        <v>385</v>
      </c>
      <c r="F803" t="s">
        <v>44</v>
      </c>
      <c r="G803" t="s">
        <v>107</v>
      </c>
      <c r="H803">
        <v>2</v>
      </c>
      <c r="I803">
        <v>244.03</v>
      </c>
      <c r="J803">
        <v>0</v>
      </c>
      <c r="K803">
        <v>488.06</v>
      </c>
    </row>
    <row r="804" spans="1:11" x14ac:dyDescent="0.35">
      <c r="A804" t="s">
        <v>1152</v>
      </c>
      <c r="B804" s="1">
        <v>45338</v>
      </c>
      <c r="C804" t="s">
        <v>29</v>
      </c>
      <c r="D804" t="s">
        <v>13</v>
      </c>
      <c r="E804" t="s">
        <v>693</v>
      </c>
      <c r="F804" t="s">
        <v>35</v>
      </c>
      <c r="G804" t="s">
        <v>36</v>
      </c>
      <c r="H804">
        <v>7</v>
      </c>
      <c r="I804">
        <v>85.05</v>
      </c>
      <c r="J804">
        <v>0</v>
      </c>
      <c r="K804">
        <v>595.35</v>
      </c>
    </row>
    <row r="805" spans="1:11" x14ac:dyDescent="0.35">
      <c r="A805" t="s">
        <v>1153</v>
      </c>
      <c r="B805" t="s">
        <v>1080</v>
      </c>
      <c r="C805" t="s">
        <v>72</v>
      </c>
      <c r="E805" t="s">
        <v>951</v>
      </c>
      <c r="F805" t="s">
        <v>44</v>
      </c>
      <c r="G805" t="s">
        <v>107</v>
      </c>
      <c r="H805">
        <v>4</v>
      </c>
      <c r="I805">
        <v>65.11</v>
      </c>
      <c r="J805">
        <v>0.05</v>
      </c>
      <c r="K805">
        <v>247.42</v>
      </c>
    </row>
    <row r="806" spans="1:11" x14ac:dyDescent="0.35">
      <c r="A806" t="s">
        <v>1154</v>
      </c>
      <c r="B806" t="s">
        <v>773</v>
      </c>
      <c r="C806" t="s">
        <v>65</v>
      </c>
      <c r="D806" t="s">
        <v>57</v>
      </c>
      <c r="E806" t="s">
        <v>1155</v>
      </c>
      <c r="F806" t="s">
        <v>21</v>
      </c>
      <c r="G806" t="s">
        <v>70</v>
      </c>
      <c r="H806">
        <v>1</v>
      </c>
      <c r="I806">
        <v>248</v>
      </c>
      <c r="J806">
        <v>0.05</v>
      </c>
      <c r="K806">
        <v>235.6</v>
      </c>
    </row>
    <row r="807" spans="1:11" x14ac:dyDescent="0.35">
      <c r="A807" t="s">
        <v>1156</v>
      </c>
      <c r="B807" t="s">
        <v>1092</v>
      </c>
      <c r="C807" t="s">
        <v>72</v>
      </c>
      <c r="D807" t="s">
        <v>19</v>
      </c>
      <c r="E807" t="s">
        <v>189</v>
      </c>
      <c r="F807" t="s">
        <v>21</v>
      </c>
      <c r="G807" t="s">
        <v>70</v>
      </c>
      <c r="H807">
        <v>1</v>
      </c>
      <c r="I807">
        <v>107.38</v>
      </c>
      <c r="J807">
        <v>0.15</v>
      </c>
      <c r="K807">
        <v>91.27</v>
      </c>
    </row>
    <row r="808" spans="1:11" x14ac:dyDescent="0.35">
      <c r="A808" t="s">
        <v>1157</v>
      </c>
      <c r="B808" s="2">
        <v>45525</v>
      </c>
      <c r="C808" t="s">
        <v>33</v>
      </c>
      <c r="D808" t="s">
        <v>57</v>
      </c>
      <c r="E808" t="s">
        <v>110</v>
      </c>
      <c r="F808" t="s">
        <v>53</v>
      </c>
      <c r="G808" t="s">
        <v>125</v>
      </c>
      <c r="H808">
        <v>10</v>
      </c>
      <c r="I808">
        <v>222.1</v>
      </c>
      <c r="J808">
        <v>0</v>
      </c>
      <c r="K808">
        <v>2221</v>
      </c>
    </row>
    <row r="809" spans="1:11" x14ac:dyDescent="0.35">
      <c r="A809" t="s">
        <v>1158</v>
      </c>
      <c r="B809" s="1">
        <v>45630</v>
      </c>
      <c r="C809" t="s">
        <v>41</v>
      </c>
      <c r="D809" t="s">
        <v>42</v>
      </c>
      <c r="E809" t="s">
        <v>1159</v>
      </c>
      <c r="F809" t="s">
        <v>44</v>
      </c>
      <c r="G809" t="s">
        <v>86</v>
      </c>
      <c r="H809">
        <v>11</v>
      </c>
      <c r="I809">
        <v>21.89</v>
      </c>
      <c r="J809">
        <v>0</v>
      </c>
      <c r="K809">
        <v>240.79</v>
      </c>
    </row>
    <row r="810" spans="1:11" x14ac:dyDescent="0.35">
      <c r="A810" t="s">
        <v>1160</v>
      </c>
      <c r="B810" t="s">
        <v>1161</v>
      </c>
      <c r="C810" t="s">
        <v>79</v>
      </c>
      <c r="D810" t="s">
        <v>19</v>
      </c>
      <c r="E810" t="s">
        <v>120</v>
      </c>
      <c r="F810" t="s">
        <v>44</v>
      </c>
      <c r="G810" t="s">
        <v>45</v>
      </c>
      <c r="H810">
        <v>12</v>
      </c>
      <c r="I810">
        <v>174.86</v>
      </c>
      <c r="J810">
        <v>0.15</v>
      </c>
      <c r="K810">
        <v>1783.57</v>
      </c>
    </row>
    <row r="811" spans="1:11" x14ac:dyDescent="0.35">
      <c r="A811" t="s">
        <v>1162</v>
      </c>
      <c r="B811" s="1">
        <v>45394</v>
      </c>
      <c r="C811" t="s">
        <v>24</v>
      </c>
      <c r="D811" t="s">
        <v>25</v>
      </c>
      <c r="E811" t="s">
        <v>620</v>
      </c>
      <c r="F811" t="s">
        <v>21</v>
      </c>
      <c r="G811" t="s">
        <v>22</v>
      </c>
      <c r="H811">
        <v>5</v>
      </c>
      <c r="I811">
        <v>79.72</v>
      </c>
      <c r="J811">
        <v>0.1</v>
      </c>
      <c r="K811">
        <v>358.74</v>
      </c>
    </row>
    <row r="812" spans="1:11" x14ac:dyDescent="0.35">
      <c r="A812" t="s">
        <v>1163</v>
      </c>
      <c r="B812" s="1">
        <v>45514</v>
      </c>
      <c r="C812" t="s">
        <v>102</v>
      </c>
      <c r="D812" t="s">
        <v>57</v>
      </c>
      <c r="E812" t="s">
        <v>199</v>
      </c>
      <c r="F812" t="s">
        <v>44</v>
      </c>
      <c r="G812" t="s">
        <v>107</v>
      </c>
      <c r="H812">
        <v>2</v>
      </c>
      <c r="I812">
        <v>180.98</v>
      </c>
      <c r="J812">
        <v>0.15</v>
      </c>
      <c r="K812">
        <v>307.67</v>
      </c>
    </row>
    <row r="813" spans="1:11" x14ac:dyDescent="0.35">
      <c r="A813" t="s">
        <v>1164</v>
      </c>
      <c r="B813" s="1">
        <v>45332</v>
      </c>
      <c r="C813" t="s">
        <v>56</v>
      </c>
      <c r="D813" t="s">
        <v>57</v>
      </c>
      <c r="E813" t="s">
        <v>454</v>
      </c>
      <c r="F813" t="s">
        <v>53</v>
      </c>
      <c r="G813" t="s">
        <v>260</v>
      </c>
      <c r="H813">
        <v>4</v>
      </c>
      <c r="I813">
        <v>32.19</v>
      </c>
      <c r="J813">
        <v>0.15</v>
      </c>
      <c r="K813">
        <v>109.45</v>
      </c>
    </row>
    <row r="814" spans="1:11" x14ac:dyDescent="0.35">
      <c r="A814" t="s">
        <v>1165</v>
      </c>
      <c r="B814" s="2">
        <v>45633</v>
      </c>
      <c r="C814" t="s">
        <v>56</v>
      </c>
      <c r="D814" t="s">
        <v>19</v>
      </c>
      <c r="E814" t="s">
        <v>445</v>
      </c>
      <c r="F814" t="s">
        <v>53</v>
      </c>
      <c r="G814" t="s">
        <v>63</v>
      </c>
      <c r="H814">
        <v>12</v>
      </c>
      <c r="I814">
        <v>84.91</v>
      </c>
      <c r="J814">
        <v>0</v>
      </c>
      <c r="K814">
        <v>1018.92</v>
      </c>
    </row>
    <row r="815" spans="1:11" x14ac:dyDescent="0.35">
      <c r="A815" t="s">
        <v>1166</v>
      </c>
      <c r="B815" t="s">
        <v>1167</v>
      </c>
      <c r="C815" t="s">
        <v>24</v>
      </c>
      <c r="D815" t="s">
        <v>25</v>
      </c>
      <c r="E815" t="s">
        <v>243</v>
      </c>
      <c r="F815" t="s">
        <v>21</v>
      </c>
      <c r="G815" t="s">
        <v>167</v>
      </c>
      <c r="H815">
        <v>10</v>
      </c>
      <c r="I815">
        <v>152.59</v>
      </c>
      <c r="J815">
        <v>0</v>
      </c>
      <c r="K815">
        <v>1525.9</v>
      </c>
    </row>
    <row r="816" spans="1:11" x14ac:dyDescent="0.35">
      <c r="A816" t="s">
        <v>1168</v>
      </c>
      <c r="B816" s="1">
        <v>45515</v>
      </c>
      <c r="C816" t="s">
        <v>41</v>
      </c>
      <c r="D816" t="s">
        <v>19</v>
      </c>
      <c r="E816" t="s">
        <v>286</v>
      </c>
      <c r="F816" t="s">
        <v>44</v>
      </c>
      <c r="G816" t="s">
        <v>45</v>
      </c>
      <c r="H816">
        <v>11</v>
      </c>
      <c r="I816">
        <v>45.78</v>
      </c>
      <c r="J816">
        <v>0.05</v>
      </c>
      <c r="K816">
        <v>478.4</v>
      </c>
    </row>
    <row r="817" spans="1:11" x14ac:dyDescent="0.35">
      <c r="A817" t="s">
        <v>1169</v>
      </c>
      <c r="B817" s="2">
        <v>45648</v>
      </c>
      <c r="C817" t="s">
        <v>29</v>
      </c>
      <c r="D817" t="s">
        <v>19</v>
      </c>
      <c r="E817" t="s">
        <v>150</v>
      </c>
      <c r="F817" t="s">
        <v>35</v>
      </c>
      <c r="G817" t="s">
        <v>83</v>
      </c>
      <c r="H817">
        <v>11</v>
      </c>
      <c r="I817">
        <v>125.87</v>
      </c>
      <c r="J817">
        <v>0</v>
      </c>
      <c r="K817">
        <v>1384.57</v>
      </c>
    </row>
    <row r="818" spans="1:11" x14ac:dyDescent="0.35">
      <c r="A818" t="s">
        <v>1170</v>
      </c>
      <c r="B818" t="s">
        <v>1171</v>
      </c>
      <c r="C818" t="s">
        <v>102</v>
      </c>
      <c r="D818" t="s">
        <v>42</v>
      </c>
      <c r="E818" t="s">
        <v>113</v>
      </c>
      <c r="F818" t="s">
        <v>44</v>
      </c>
      <c r="G818" t="s">
        <v>50</v>
      </c>
      <c r="H818">
        <v>10</v>
      </c>
      <c r="I818">
        <v>99.23</v>
      </c>
      <c r="J818">
        <v>0.15</v>
      </c>
      <c r="K818">
        <v>843.46</v>
      </c>
    </row>
    <row r="819" spans="1:11" x14ac:dyDescent="0.35">
      <c r="A819" t="s">
        <v>1172</v>
      </c>
      <c r="B819" t="s">
        <v>705</v>
      </c>
      <c r="C819" t="s">
        <v>41</v>
      </c>
      <c r="D819" t="s">
        <v>13</v>
      </c>
      <c r="E819" t="s">
        <v>620</v>
      </c>
      <c r="F819" t="s">
        <v>35</v>
      </c>
      <c r="G819" t="s">
        <v>83</v>
      </c>
      <c r="H819">
        <v>9</v>
      </c>
      <c r="I819">
        <v>121.24</v>
      </c>
      <c r="J819">
        <v>0.1</v>
      </c>
      <c r="K819">
        <v>982.04</v>
      </c>
    </row>
    <row r="820" spans="1:11" x14ac:dyDescent="0.35">
      <c r="A820" t="s">
        <v>1173</v>
      </c>
      <c r="B820" s="1">
        <v>45524</v>
      </c>
      <c r="C820" t="s">
        <v>41</v>
      </c>
      <c r="D820" t="s">
        <v>19</v>
      </c>
      <c r="E820" t="s">
        <v>221</v>
      </c>
      <c r="F820" t="s">
        <v>44</v>
      </c>
      <c r="G820" t="s">
        <v>45</v>
      </c>
      <c r="H820">
        <v>7</v>
      </c>
      <c r="I820">
        <v>61.3</v>
      </c>
      <c r="J820">
        <v>0</v>
      </c>
      <c r="K820">
        <v>429.1</v>
      </c>
    </row>
    <row r="821" spans="1:11" x14ac:dyDescent="0.35">
      <c r="A821" t="s">
        <v>1174</v>
      </c>
      <c r="B821" s="1">
        <v>45311</v>
      </c>
      <c r="C821" t="s">
        <v>56</v>
      </c>
      <c r="D821" t="s">
        <v>42</v>
      </c>
      <c r="E821" t="s">
        <v>731</v>
      </c>
      <c r="F821" t="s">
        <v>35</v>
      </c>
      <c r="G821" t="s">
        <v>134</v>
      </c>
      <c r="H821">
        <v>10</v>
      </c>
      <c r="I821">
        <v>99.28</v>
      </c>
      <c r="J821">
        <v>0</v>
      </c>
      <c r="K821">
        <v>992.8</v>
      </c>
    </row>
    <row r="822" spans="1:11" x14ac:dyDescent="0.35">
      <c r="A822" t="s">
        <v>1175</v>
      </c>
      <c r="B822" s="1">
        <v>45445</v>
      </c>
      <c r="C822" t="s">
        <v>24</v>
      </c>
      <c r="D822" t="s">
        <v>57</v>
      </c>
      <c r="E822" t="s">
        <v>88</v>
      </c>
      <c r="F822" t="s">
        <v>44</v>
      </c>
      <c r="G822" t="s">
        <v>107</v>
      </c>
      <c r="H822">
        <v>7</v>
      </c>
      <c r="I822">
        <v>206.47</v>
      </c>
      <c r="J822">
        <v>0.05</v>
      </c>
      <c r="K822">
        <v>1373.03</v>
      </c>
    </row>
    <row r="823" spans="1:11" x14ac:dyDescent="0.35">
      <c r="A823" t="s">
        <v>1176</v>
      </c>
      <c r="B823" s="1">
        <v>45613</v>
      </c>
      <c r="C823" t="s">
        <v>24</v>
      </c>
      <c r="D823" t="s">
        <v>42</v>
      </c>
      <c r="E823" t="s">
        <v>225</v>
      </c>
      <c r="F823" t="s">
        <v>44</v>
      </c>
      <c r="G823" t="s">
        <v>50</v>
      </c>
      <c r="H823">
        <v>5</v>
      </c>
      <c r="I823">
        <v>162.27000000000001</v>
      </c>
      <c r="J823">
        <v>0.05</v>
      </c>
      <c r="K823">
        <v>770.78</v>
      </c>
    </row>
    <row r="824" spans="1:11" x14ac:dyDescent="0.35">
      <c r="A824" t="s">
        <v>1177</v>
      </c>
      <c r="B824" s="1">
        <v>45576</v>
      </c>
      <c r="C824" t="s">
        <v>24</v>
      </c>
      <c r="D824" t="s">
        <v>19</v>
      </c>
      <c r="E824" t="s">
        <v>106</v>
      </c>
      <c r="F824" t="s">
        <v>44</v>
      </c>
      <c r="G824" t="s">
        <v>86</v>
      </c>
      <c r="H824">
        <v>9</v>
      </c>
      <c r="I824">
        <v>199.15</v>
      </c>
      <c r="J824">
        <v>0.05</v>
      </c>
      <c r="K824">
        <v>1702.73</v>
      </c>
    </row>
    <row r="825" spans="1:11" x14ac:dyDescent="0.35">
      <c r="A825" t="s">
        <v>1178</v>
      </c>
      <c r="B825" s="1">
        <v>45393</v>
      </c>
      <c r="C825" t="s">
        <v>38</v>
      </c>
      <c r="D825" t="s">
        <v>42</v>
      </c>
      <c r="E825" t="s">
        <v>693</v>
      </c>
      <c r="F825" t="s">
        <v>35</v>
      </c>
      <c r="G825" t="s">
        <v>83</v>
      </c>
      <c r="H825">
        <v>2</v>
      </c>
      <c r="I825">
        <v>61.37</v>
      </c>
      <c r="J825">
        <v>0</v>
      </c>
      <c r="K825">
        <v>122.74</v>
      </c>
    </row>
    <row r="826" spans="1:11" x14ac:dyDescent="0.35">
      <c r="A826" t="s">
        <v>1179</v>
      </c>
      <c r="B826" s="1">
        <v>45338</v>
      </c>
      <c r="C826" t="s">
        <v>12</v>
      </c>
      <c r="D826" t="s">
        <v>57</v>
      </c>
      <c r="E826" t="s">
        <v>1159</v>
      </c>
      <c r="F826" t="s">
        <v>53</v>
      </c>
      <c r="G826" t="s">
        <v>260</v>
      </c>
      <c r="H826">
        <v>1</v>
      </c>
      <c r="I826">
        <v>145.72</v>
      </c>
      <c r="J826">
        <v>0.1</v>
      </c>
      <c r="K826">
        <v>131.15</v>
      </c>
    </row>
    <row r="827" spans="1:11" x14ac:dyDescent="0.35">
      <c r="A827" t="s">
        <v>1180</v>
      </c>
      <c r="B827" s="2">
        <v>45362</v>
      </c>
      <c r="C827" t="s">
        <v>41</v>
      </c>
      <c r="D827" t="s">
        <v>42</v>
      </c>
      <c r="E827" t="s">
        <v>206</v>
      </c>
      <c r="F827" t="s">
        <v>15</v>
      </c>
      <c r="G827" t="s">
        <v>27</v>
      </c>
      <c r="H827">
        <v>3</v>
      </c>
      <c r="I827">
        <v>70.239999999999995</v>
      </c>
      <c r="J827">
        <v>0</v>
      </c>
      <c r="K827">
        <v>210.72</v>
      </c>
    </row>
    <row r="828" spans="1:11" x14ac:dyDescent="0.35">
      <c r="A828" t="s">
        <v>1181</v>
      </c>
      <c r="B828" s="2">
        <v>45302</v>
      </c>
      <c r="C828" t="s">
        <v>90</v>
      </c>
      <c r="D828" t="s">
        <v>42</v>
      </c>
      <c r="E828" t="s">
        <v>368</v>
      </c>
      <c r="F828" t="s">
        <v>35</v>
      </c>
      <c r="G828" t="s">
        <v>83</v>
      </c>
      <c r="H828">
        <v>10</v>
      </c>
      <c r="I828">
        <v>236.92</v>
      </c>
      <c r="J828">
        <v>0</v>
      </c>
      <c r="K828">
        <v>2369.1999999999998</v>
      </c>
    </row>
    <row r="829" spans="1:11" x14ac:dyDescent="0.35">
      <c r="A829" t="s">
        <v>1182</v>
      </c>
      <c r="B829" s="2">
        <v>45636</v>
      </c>
      <c r="C829" t="s">
        <v>18</v>
      </c>
      <c r="D829" t="s">
        <v>13</v>
      </c>
      <c r="E829" t="s">
        <v>567</v>
      </c>
      <c r="F829" t="s">
        <v>35</v>
      </c>
      <c r="G829" t="s">
        <v>177</v>
      </c>
      <c r="H829">
        <v>1</v>
      </c>
      <c r="I829">
        <v>67.64</v>
      </c>
      <c r="J829">
        <v>0.15</v>
      </c>
      <c r="K829">
        <v>57.49</v>
      </c>
    </row>
    <row r="830" spans="1:11" x14ac:dyDescent="0.35">
      <c r="A830" t="s">
        <v>1183</v>
      </c>
      <c r="B830" s="2">
        <v>45515</v>
      </c>
      <c r="C830" t="s">
        <v>90</v>
      </c>
      <c r="D830" t="s">
        <v>57</v>
      </c>
      <c r="E830" t="s">
        <v>683</v>
      </c>
      <c r="F830" t="s">
        <v>35</v>
      </c>
      <c r="G830" t="s">
        <v>36</v>
      </c>
      <c r="H830">
        <v>11</v>
      </c>
      <c r="I830">
        <v>243.25</v>
      </c>
      <c r="J830">
        <v>0.05</v>
      </c>
      <c r="K830">
        <v>2541.96</v>
      </c>
    </row>
    <row r="831" spans="1:11" x14ac:dyDescent="0.35">
      <c r="A831" t="s">
        <v>1184</v>
      </c>
      <c r="B831" t="s">
        <v>1185</v>
      </c>
      <c r="C831" t="s">
        <v>33</v>
      </c>
      <c r="D831" t="s">
        <v>42</v>
      </c>
      <c r="E831" t="s">
        <v>825</v>
      </c>
      <c r="F831" t="s">
        <v>53</v>
      </c>
      <c r="G831" t="s">
        <v>63</v>
      </c>
      <c r="H831">
        <v>12</v>
      </c>
      <c r="I831">
        <v>245.43</v>
      </c>
      <c r="J831">
        <v>0</v>
      </c>
      <c r="K831">
        <v>2945.16</v>
      </c>
    </row>
    <row r="832" spans="1:11" x14ac:dyDescent="0.35">
      <c r="A832" t="s">
        <v>1186</v>
      </c>
      <c r="B832" s="1">
        <v>45461</v>
      </c>
      <c r="C832" t="s">
        <v>48</v>
      </c>
      <c r="D832" t="s">
        <v>57</v>
      </c>
      <c r="E832" t="s">
        <v>531</v>
      </c>
      <c r="F832" t="s">
        <v>15</v>
      </c>
      <c r="G832" t="s">
        <v>16</v>
      </c>
      <c r="H832">
        <v>8</v>
      </c>
      <c r="I832">
        <v>18</v>
      </c>
      <c r="J832">
        <v>0</v>
      </c>
      <c r="K832">
        <v>144</v>
      </c>
    </row>
    <row r="833" spans="1:11" x14ac:dyDescent="0.35">
      <c r="A833" t="s">
        <v>1187</v>
      </c>
      <c r="B833" s="1">
        <v>45614</v>
      </c>
      <c r="C833" t="s">
        <v>38</v>
      </c>
      <c r="D833" t="s">
        <v>42</v>
      </c>
      <c r="E833" t="s">
        <v>833</v>
      </c>
      <c r="F833" t="s">
        <v>35</v>
      </c>
      <c r="G833" t="s">
        <v>83</v>
      </c>
      <c r="H833">
        <v>8</v>
      </c>
      <c r="I833">
        <v>20.83</v>
      </c>
      <c r="J833">
        <v>0</v>
      </c>
      <c r="K833">
        <v>166.64</v>
      </c>
    </row>
    <row r="834" spans="1:11" x14ac:dyDescent="0.35">
      <c r="A834" t="s">
        <v>1188</v>
      </c>
      <c r="B834" s="1">
        <v>45407</v>
      </c>
      <c r="C834" t="s">
        <v>48</v>
      </c>
      <c r="D834" t="s">
        <v>19</v>
      </c>
      <c r="E834" t="s">
        <v>472</v>
      </c>
      <c r="F834" t="s">
        <v>53</v>
      </c>
      <c r="G834" t="s">
        <v>59</v>
      </c>
      <c r="H834">
        <v>3</v>
      </c>
      <c r="I834">
        <v>143.24</v>
      </c>
      <c r="J834">
        <v>0.15</v>
      </c>
      <c r="K834">
        <v>365.26</v>
      </c>
    </row>
    <row r="835" spans="1:11" x14ac:dyDescent="0.35">
      <c r="A835" t="s">
        <v>1189</v>
      </c>
      <c r="B835" s="2">
        <v>45547</v>
      </c>
      <c r="C835" t="s">
        <v>33</v>
      </c>
      <c r="D835" t="s">
        <v>19</v>
      </c>
      <c r="E835" t="s">
        <v>404</v>
      </c>
      <c r="F835" t="s">
        <v>15</v>
      </c>
      <c r="G835" t="s">
        <v>111</v>
      </c>
      <c r="H835">
        <v>11</v>
      </c>
      <c r="I835">
        <v>144.5</v>
      </c>
      <c r="J835">
        <v>0</v>
      </c>
      <c r="K835">
        <v>1589.5</v>
      </c>
    </row>
    <row r="836" spans="1:11" x14ac:dyDescent="0.35">
      <c r="A836" t="s">
        <v>1190</v>
      </c>
      <c r="B836" s="2">
        <v>45413</v>
      </c>
      <c r="C836" t="s">
        <v>41</v>
      </c>
      <c r="E836" t="s">
        <v>902</v>
      </c>
      <c r="F836" t="s">
        <v>53</v>
      </c>
      <c r="G836" t="s">
        <v>54</v>
      </c>
      <c r="H836">
        <v>5</v>
      </c>
      <c r="I836">
        <v>55.2</v>
      </c>
      <c r="J836">
        <v>0</v>
      </c>
      <c r="K836">
        <v>276</v>
      </c>
    </row>
    <row r="837" spans="1:11" x14ac:dyDescent="0.35">
      <c r="A837" t="s">
        <v>1191</v>
      </c>
      <c r="B837" s="1">
        <v>45503</v>
      </c>
      <c r="C837" t="s">
        <v>12</v>
      </c>
      <c r="D837" t="s">
        <v>42</v>
      </c>
      <c r="E837" t="s">
        <v>304</v>
      </c>
      <c r="F837" t="s">
        <v>53</v>
      </c>
      <c r="G837" t="s">
        <v>63</v>
      </c>
      <c r="H837">
        <v>9</v>
      </c>
      <c r="I837">
        <v>86.78</v>
      </c>
      <c r="J837">
        <v>0.15</v>
      </c>
      <c r="K837">
        <v>663.87</v>
      </c>
    </row>
    <row r="838" spans="1:11" x14ac:dyDescent="0.35">
      <c r="A838" t="s">
        <v>1192</v>
      </c>
      <c r="B838" t="s">
        <v>209</v>
      </c>
      <c r="C838" t="s">
        <v>48</v>
      </c>
      <c r="E838" t="s">
        <v>238</v>
      </c>
      <c r="F838" t="s">
        <v>53</v>
      </c>
      <c r="G838" t="s">
        <v>260</v>
      </c>
      <c r="H838">
        <v>4</v>
      </c>
      <c r="I838">
        <v>235.33</v>
      </c>
      <c r="J838">
        <v>0</v>
      </c>
      <c r="K838">
        <v>941.32</v>
      </c>
    </row>
    <row r="839" spans="1:11" x14ac:dyDescent="0.35">
      <c r="A839" t="s">
        <v>1193</v>
      </c>
      <c r="B839" s="2">
        <v>45449</v>
      </c>
      <c r="C839" t="s">
        <v>24</v>
      </c>
      <c r="D839" t="s">
        <v>42</v>
      </c>
      <c r="E839" t="s">
        <v>346</v>
      </c>
      <c r="F839" t="s">
        <v>53</v>
      </c>
      <c r="G839" t="s">
        <v>63</v>
      </c>
      <c r="H839">
        <v>5</v>
      </c>
      <c r="I839">
        <v>199.06</v>
      </c>
      <c r="J839">
        <v>0.1</v>
      </c>
      <c r="K839">
        <v>895.77</v>
      </c>
    </row>
    <row r="840" spans="1:11" x14ac:dyDescent="0.35">
      <c r="A840" t="s">
        <v>1194</v>
      </c>
      <c r="B840" s="1">
        <v>45550</v>
      </c>
      <c r="C840" t="s">
        <v>41</v>
      </c>
      <c r="D840" t="s">
        <v>57</v>
      </c>
      <c r="E840" t="s">
        <v>663</v>
      </c>
      <c r="F840" t="s">
        <v>21</v>
      </c>
      <c r="G840" t="s">
        <v>22</v>
      </c>
      <c r="H840">
        <v>5</v>
      </c>
      <c r="I840">
        <v>189.37</v>
      </c>
      <c r="J840">
        <v>0</v>
      </c>
      <c r="K840">
        <v>946.85</v>
      </c>
    </row>
    <row r="841" spans="1:11" x14ac:dyDescent="0.35">
      <c r="A841" t="s">
        <v>1195</v>
      </c>
      <c r="B841" s="2">
        <v>45471</v>
      </c>
      <c r="C841" t="s">
        <v>56</v>
      </c>
      <c r="D841" t="s">
        <v>57</v>
      </c>
      <c r="E841" t="s">
        <v>346</v>
      </c>
      <c r="F841" t="s">
        <v>35</v>
      </c>
      <c r="G841" t="s">
        <v>36</v>
      </c>
      <c r="H841">
        <v>3</v>
      </c>
      <c r="I841">
        <v>118</v>
      </c>
      <c r="J841">
        <v>0</v>
      </c>
      <c r="K841">
        <v>354</v>
      </c>
    </row>
    <row r="842" spans="1:11" x14ac:dyDescent="0.35">
      <c r="A842" t="s">
        <v>1196</v>
      </c>
      <c r="B842" s="1">
        <v>45639</v>
      </c>
      <c r="C842" t="s">
        <v>24</v>
      </c>
      <c r="D842" t="s">
        <v>25</v>
      </c>
      <c r="E842" t="s">
        <v>620</v>
      </c>
      <c r="F842" t="s">
        <v>21</v>
      </c>
      <c r="G842" t="s">
        <v>167</v>
      </c>
      <c r="H842">
        <v>9</v>
      </c>
      <c r="I842">
        <v>182.87</v>
      </c>
      <c r="J842">
        <v>0.1</v>
      </c>
      <c r="K842">
        <v>1481.25</v>
      </c>
    </row>
    <row r="843" spans="1:11" x14ac:dyDescent="0.35">
      <c r="A843" t="s">
        <v>1197</v>
      </c>
      <c r="B843" s="1">
        <v>45435</v>
      </c>
      <c r="C843" t="s">
        <v>79</v>
      </c>
      <c r="D843" t="s">
        <v>19</v>
      </c>
      <c r="E843" t="s">
        <v>842</v>
      </c>
      <c r="F843" t="s">
        <v>53</v>
      </c>
      <c r="G843" t="s">
        <v>59</v>
      </c>
      <c r="H843">
        <v>4</v>
      </c>
      <c r="I843">
        <v>179.34</v>
      </c>
      <c r="J843">
        <v>0</v>
      </c>
      <c r="K843">
        <v>717.36</v>
      </c>
    </row>
    <row r="844" spans="1:11" x14ac:dyDescent="0.35">
      <c r="A844" t="s">
        <v>1198</v>
      </c>
      <c r="B844" s="1">
        <v>45443</v>
      </c>
      <c r="C844" t="s">
        <v>24</v>
      </c>
      <c r="D844" t="s">
        <v>42</v>
      </c>
      <c r="E844" t="s">
        <v>336</v>
      </c>
      <c r="F844" t="s">
        <v>44</v>
      </c>
      <c r="G844" t="s">
        <v>45</v>
      </c>
      <c r="H844">
        <v>4</v>
      </c>
      <c r="I844">
        <v>197.03</v>
      </c>
      <c r="J844">
        <v>0.05</v>
      </c>
      <c r="K844">
        <v>748.71</v>
      </c>
    </row>
    <row r="845" spans="1:11" x14ac:dyDescent="0.35">
      <c r="A845" t="s">
        <v>1199</v>
      </c>
      <c r="B845" s="1">
        <v>45451</v>
      </c>
      <c r="C845" t="s">
        <v>41</v>
      </c>
      <c r="D845" t="s">
        <v>25</v>
      </c>
      <c r="E845" t="s">
        <v>309</v>
      </c>
      <c r="F845" t="s">
        <v>21</v>
      </c>
      <c r="G845" t="s">
        <v>194</v>
      </c>
      <c r="H845">
        <v>9</v>
      </c>
      <c r="I845">
        <v>226.38</v>
      </c>
      <c r="J845">
        <v>0</v>
      </c>
      <c r="K845">
        <v>2037.42</v>
      </c>
    </row>
    <row r="846" spans="1:11" x14ac:dyDescent="0.35">
      <c r="A846" t="s">
        <v>1200</v>
      </c>
      <c r="B846" s="1">
        <v>45504</v>
      </c>
      <c r="C846" t="s">
        <v>38</v>
      </c>
      <c r="D846" t="s">
        <v>57</v>
      </c>
      <c r="E846" t="s">
        <v>334</v>
      </c>
      <c r="F846" t="s">
        <v>44</v>
      </c>
      <c r="G846" t="s">
        <v>94</v>
      </c>
      <c r="H846">
        <v>7</v>
      </c>
      <c r="I846">
        <v>49.56</v>
      </c>
      <c r="J846">
        <v>0.1</v>
      </c>
      <c r="K846">
        <v>312.23</v>
      </c>
    </row>
    <row r="847" spans="1:11" x14ac:dyDescent="0.35">
      <c r="A847" t="s">
        <v>1201</v>
      </c>
      <c r="B847" t="s">
        <v>1202</v>
      </c>
      <c r="C847" t="s">
        <v>33</v>
      </c>
      <c r="D847" t="s">
        <v>25</v>
      </c>
      <c r="E847" t="s">
        <v>250</v>
      </c>
      <c r="F847" t="s">
        <v>44</v>
      </c>
      <c r="G847" t="s">
        <v>45</v>
      </c>
      <c r="H847">
        <v>1</v>
      </c>
      <c r="I847">
        <v>40.700000000000003</v>
      </c>
      <c r="J847">
        <v>0</v>
      </c>
      <c r="K847">
        <v>40.700000000000003</v>
      </c>
    </row>
    <row r="848" spans="1:11" x14ac:dyDescent="0.35">
      <c r="A848" t="s">
        <v>1203</v>
      </c>
      <c r="B848" s="1">
        <v>45529</v>
      </c>
      <c r="C848" t="s">
        <v>18</v>
      </c>
      <c r="D848" t="s">
        <v>19</v>
      </c>
      <c r="E848" t="s">
        <v>716</v>
      </c>
      <c r="F848" t="s">
        <v>15</v>
      </c>
      <c r="G848" t="s">
        <v>16</v>
      </c>
      <c r="H848">
        <v>3</v>
      </c>
      <c r="I848">
        <v>85.91</v>
      </c>
      <c r="J848">
        <v>0</v>
      </c>
      <c r="K848">
        <v>257.73</v>
      </c>
    </row>
    <row r="849" spans="1:11" x14ac:dyDescent="0.35">
      <c r="A849" t="s">
        <v>1204</v>
      </c>
      <c r="B849" s="1">
        <v>45623</v>
      </c>
      <c r="C849" t="s">
        <v>24</v>
      </c>
      <c r="D849" t="s">
        <v>19</v>
      </c>
      <c r="E849" t="s">
        <v>113</v>
      </c>
      <c r="F849" t="s">
        <v>53</v>
      </c>
      <c r="G849" t="s">
        <v>63</v>
      </c>
      <c r="H849">
        <v>5</v>
      </c>
      <c r="I849">
        <v>121.11</v>
      </c>
      <c r="J849">
        <v>0.1</v>
      </c>
      <c r="K849">
        <v>545</v>
      </c>
    </row>
    <row r="850" spans="1:11" x14ac:dyDescent="0.35">
      <c r="A850" t="s">
        <v>1205</v>
      </c>
      <c r="B850" s="2">
        <v>45479</v>
      </c>
      <c r="C850" t="s">
        <v>56</v>
      </c>
      <c r="D850" t="s">
        <v>25</v>
      </c>
      <c r="E850" t="s">
        <v>274</v>
      </c>
      <c r="F850" t="s">
        <v>53</v>
      </c>
      <c r="G850" t="s">
        <v>104</v>
      </c>
      <c r="H850">
        <v>10</v>
      </c>
      <c r="I850">
        <v>161.01</v>
      </c>
      <c r="J850">
        <v>0</v>
      </c>
      <c r="K850">
        <v>1610.1</v>
      </c>
    </row>
    <row r="851" spans="1:11" x14ac:dyDescent="0.35">
      <c r="A851" t="s">
        <v>1206</v>
      </c>
      <c r="B851" t="s">
        <v>1207</v>
      </c>
      <c r="C851" t="s">
        <v>38</v>
      </c>
      <c r="D851" t="s">
        <v>25</v>
      </c>
      <c r="E851" t="s">
        <v>117</v>
      </c>
      <c r="F851" t="s">
        <v>35</v>
      </c>
      <c r="G851" t="s">
        <v>177</v>
      </c>
      <c r="H851">
        <v>12</v>
      </c>
      <c r="I851">
        <v>31.91</v>
      </c>
      <c r="J851">
        <v>0</v>
      </c>
      <c r="K851">
        <v>382.92</v>
      </c>
    </row>
    <row r="852" spans="1:11" x14ac:dyDescent="0.35">
      <c r="A852" t="s">
        <v>254</v>
      </c>
      <c r="B852" t="s">
        <v>255</v>
      </c>
      <c r="C852" t="s">
        <v>38</v>
      </c>
      <c r="D852" t="s">
        <v>57</v>
      </c>
      <c r="E852" t="s">
        <v>166</v>
      </c>
      <c r="F852" t="s">
        <v>21</v>
      </c>
      <c r="G852" t="s">
        <v>70</v>
      </c>
      <c r="H852">
        <v>6</v>
      </c>
      <c r="I852">
        <v>30.94</v>
      </c>
      <c r="J852">
        <v>0</v>
      </c>
      <c r="K852">
        <v>185.64</v>
      </c>
    </row>
    <row r="853" spans="1:11" x14ac:dyDescent="0.35">
      <c r="A853" t="s">
        <v>1208</v>
      </c>
      <c r="B853" s="1">
        <v>45526</v>
      </c>
      <c r="C853" t="s">
        <v>90</v>
      </c>
      <c r="D853" t="s">
        <v>13</v>
      </c>
      <c r="E853" t="s">
        <v>180</v>
      </c>
      <c r="F853" t="s">
        <v>35</v>
      </c>
      <c r="G853" t="s">
        <v>83</v>
      </c>
      <c r="H853">
        <v>3</v>
      </c>
      <c r="I853">
        <v>24.64</v>
      </c>
      <c r="J853">
        <v>0</v>
      </c>
      <c r="K853">
        <v>73.92</v>
      </c>
    </row>
    <row r="854" spans="1:11" x14ac:dyDescent="0.35">
      <c r="A854" t="s">
        <v>1209</v>
      </c>
      <c r="B854" s="2">
        <v>45587</v>
      </c>
      <c r="C854" t="s">
        <v>38</v>
      </c>
      <c r="D854" t="s">
        <v>57</v>
      </c>
      <c r="E854" t="s">
        <v>769</v>
      </c>
      <c r="F854" t="s">
        <v>35</v>
      </c>
      <c r="G854" t="s">
        <v>67</v>
      </c>
      <c r="H854">
        <v>11</v>
      </c>
      <c r="I854">
        <v>36.57</v>
      </c>
      <c r="J854">
        <v>0.05</v>
      </c>
      <c r="K854">
        <v>382.16</v>
      </c>
    </row>
    <row r="855" spans="1:11" x14ac:dyDescent="0.35">
      <c r="A855" t="s">
        <v>1210</v>
      </c>
      <c r="B855" s="2">
        <v>45590</v>
      </c>
      <c r="C855" t="s">
        <v>24</v>
      </c>
      <c r="D855" t="s">
        <v>13</v>
      </c>
      <c r="E855" t="s">
        <v>1037</v>
      </c>
      <c r="F855" t="s">
        <v>35</v>
      </c>
      <c r="G855" t="s">
        <v>177</v>
      </c>
      <c r="H855">
        <v>11</v>
      </c>
      <c r="I855">
        <v>162.31</v>
      </c>
      <c r="J855">
        <v>0</v>
      </c>
      <c r="K855">
        <v>1785.41</v>
      </c>
    </row>
    <row r="856" spans="1:11" x14ac:dyDescent="0.35">
      <c r="A856" t="s">
        <v>1211</v>
      </c>
      <c r="B856" s="2">
        <v>45640</v>
      </c>
      <c r="C856" t="s">
        <v>38</v>
      </c>
      <c r="D856" t="s">
        <v>19</v>
      </c>
      <c r="E856" t="s">
        <v>272</v>
      </c>
      <c r="F856" t="s">
        <v>53</v>
      </c>
      <c r="G856" t="s">
        <v>63</v>
      </c>
      <c r="H856">
        <v>7</v>
      </c>
      <c r="I856">
        <v>5.48</v>
      </c>
      <c r="J856">
        <v>0.15</v>
      </c>
      <c r="K856">
        <v>32.61</v>
      </c>
    </row>
    <row r="857" spans="1:11" x14ac:dyDescent="0.35">
      <c r="A857" t="s">
        <v>1212</v>
      </c>
      <c r="B857" s="1">
        <v>45568</v>
      </c>
      <c r="C857" t="s">
        <v>33</v>
      </c>
      <c r="D857" t="s">
        <v>57</v>
      </c>
      <c r="E857" t="s">
        <v>137</v>
      </c>
      <c r="F857" t="s">
        <v>44</v>
      </c>
      <c r="G857" t="s">
        <v>107</v>
      </c>
      <c r="H857">
        <v>8</v>
      </c>
      <c r="I857">
        <v>127.42</v>
      </c>
      <c r="J857">
        <v>0</v>
      </c>
      <c r="K857">
        <v>1019.36</v>
      </c>
    </row>
    <row r="858" spans="1:11" x14ac:dyDescent="0.35">
      <c r="A858" t="s">
        <v>1213</v>
      </c>
      <c r="B858" s="2">
        <v>45364</v>
      </c>
      <c r="C858" t="s">
        <v>41</v>
      </c>
      <c r="D858" t="s">
        <v>57</v>
      </c>
      <c r="E858" t="s">
        <v>152</v>
      </c>
      <c r="F858" t="s">
        <v>15</v>
      </c>
      <c r="G858" t="s">
        <v>27</v>
      </c>
      <c r="H858">
        <v>9</v>
      </c>
      <c r="I858">
        <v>88.63</v>
      </c>
      <c r="J858">
        <v>0</v>
      </c>
      <c r="K858">
        <v>797.67</v>
      </c>
    </row>
    <row r="859" spans="1:11" x14ac:dyDescent="0.35">
      <c r="A859" t="s">
        <v>1214</v>
      </c>
      <c r="B859" t="s">
        <v>423</v>
      </c>
      <c r="C859" t="s">
        <v>41</v>
      </c>
      <c r="D859" t="s">
        <v>57</v>
      </c>
      <c r="E859" t="s">
        <v>460</v>
      </c>
      <c r="F859" t="s">
        <v>35</v>
      </c>
      <c r="G859" t="s">
        <v>177</v>
      </c>
      <c r="H859">
        <v>4</v>
      </c>
      <c r="I859">
        <v>104.08</v>
      </c>
      <c r="J859">
        <v>0</v>
      </c>
      <c r="K859">
        <v>416.32</v>
      </c>
    </row>
    <row r="860" spans="1:11" x14ac:dyDescent="0.35">
      <c r="A860" t="s">
        <v>1215</v>
      </c>
      <c r="B860" s="1">
        <v>45602</v>
      </c>
      <c r="C860" t="s">
        <v>29</v>
      </c>
      <c r="D860" t="s">
        <v>57</v>
      </c>
      <c r="E860" t="s">
        <v>659</v>
      </c>
      <c r="F860" t="s">
        <v>35</v>
      </c>
      <c r="G860" t="s">
        <v>36</v>
      </c>
      <c r="H860">
        <v>1</v>
      </c>
      <c r="I860">
        <v>245.59</v>
      </c>
      <c r="J860">
        <v>0.15</v>
      </c>
      <c r="K860">
        <v>208.75</v>
      </c>
    </row>
    <row r="861" spans="1:11" x14ac:dyDescent="0.35">
      <c r="A861" t="s">
        <v>1216</v>
      </c>
      <c r="B861" s="1">
        <v>45380</v>
      </c>
      <c r="C861" t="s">
        <v>90</v>
      </c>
      <c r="D861" t="s">
        <v>13</v>
      </c>
      <c r="E861" t="s">
        <v>155</v>
      </c>
      <c r="F861" t="s">
        <v>35</v>
      </c>
      <c r="G861" t="s">
        <v>83</v>
      </c>
      <c r="H861">
        <v>12</v>
      </c>
      <c r="I861">
        <v>186.14</v>
      </c>
      <c r="J861">
        <v>0.1</v>
      </c>
      <c r="K861">
        <v>2010.31</v>
      </c>
    </row>
    <row r="862" spans="1:11" x14ac:dyDescent="0.35">
      <c r="A862" t="s">
        <v>1217</v>
      </c>
      <c r="B862" s="2">
        <v>45489</v>
      </c>
      <c r="C862" t="s">
        <v>65</v>
      </c>
      <c r="D862" t="s">
        <v>25</v>
      </c>
      <c r="E862" t="s">
        <v>315</v>
      </c>
      <c r="F862" t="s">
        <v>21</v>
      </c>
      <c r="G862" t="s">
        <v>22</v>
      </c>
      <c r="H862">
        <v>2</v>
      </c>
      <c r="I862">
        <v>57.28</v>
      </c>
      <c r="J862">
        <v>0</v>
      </c>
      <c r="K862">
        <v>114.56</v>
      </c>
    </row>
    <row r="863" spans="1:11" x14ac:dyDescent="0.35">
      <c r="A863" t="s">
        <v>1218</v>
      </c>
      <c r="B863" s="1">
        <v>45606</v>
      </c>
      <c r="C863" t="s">
        <v>56</v>
      </c>
      <c r="D863" t="s">
        <v>19</v>
      </c>
      <c r="E863" t="s">
        <v>106</v>
      </c>
      <c r="F863" t="s">
        <v>35</v>
      </c>
      <c r="G863" t="s">
        <v>67</v>
      </c>
      <c r="H863">
        <v>0</v>
      </c>
      <c r="I863">
        <v>84.34</v>
      </c>
      <c r="J863">
        <v>0.05</v>
      </c>
      <c r="K863">
        <v>320.49</v>
      </c>
    </row>
    <row r="864" spans="1:11" x14ac:dyDescent="0.35">
      <c r="A864" t="s">
        <v>1219</v>
      </c>
      <c r="B864" s="2">
        <v>45393</v>
      </c>
      <c r="C864" t="s">
        <v>24</v>
      </c>
      <c r="D864" t="s">
        <v>25</v>
      </c>
      <c r="E864" t="s">
        <v>296</v>
      </c>
      <c r="F864" t="s">
        <v>21</v>
      </c>
      <c r="G864" t="s">
        <v>194</v>
      </c>
      <c r="H864">
        <v>12</v>
      </c>
      <c r="I864">
        <v>47.38</v>
      </c>
      <c r="J864">
        <v>0</v>
      </c>
      <c r="K864">
        <v>568.55999999999995</v>
      </c>
    </row>
    <row r="865" spans="1:11" x14ac:dyDescent="0.35">
      <c r="A865" t="s">
        <v>1220</v>
      </c>
      <c r="B865" t="s">
        <v>1221</v>
      </c>
      <c r="C865" t="s">
        <v>48</v>
      </c>
      <c r="D865" t="s">
        <v>13</v>
      </c>
      <c r="E865" t="s">
        <v>454</v>
      </c>
      <c r="F865" t="s">
        <v>15</v>
      </c>
      <c r="G865" t="s">
        <v>111</v>
      </c>
      <c r="H865">
        <v>11</v>
      </c>
      <c r="I865">
        <v>128.54</v>
      </c>
      <c r="J865">
        <v>0.1</v>
      </c>
      <c r="K865">
        <v>1272.55</v>
      </c>
    </row>
    <row r="866" spans="1:11" x14ac:dyDescent="0.35">
      <c r="A866" t="s">
        <v>1222</v>
      </c>
      <c r="B866" s="1">
        <v>45467</v>
      </c>
      <c r="C866" t="s">
        <v>102</v>
      </c>
      <c r="D866" t="s">
        <v>57</v>
      </c>
      <c r="E866" t="s">
        <v>128</v>
      </c>
      <c r="F866" t="s">
        <v>53</v>
      </c>
      <c r="G866" t="s">
        <v>59</v>
      </c>
      <c r="H866">
        <v>3</v>
      </c>
      <c r="I866">
        <v>170.9</v>
      </c>
      <c r="J866">
        <v>0.15</v>
      </c>
      <c r="K866">
        <v>435.8</v>
      </c>
    </row>
    <row r="867" spans="1:11" x14ac:dyDescent="0.35">
      <c r="A867" t="s">
        <v>1223</v>
      </c>
      <c r="B867" t="s">
        <v>1224</v>
      </c>
      <c r="C867" t="s">
        <v>90</v>
      </c>
      <c r="D867" t="s">
        <v>19</v>
      </c>
      <c r="E867" t="s">
        <v>400</v>
      </c>
      <c r="F867" t="s">
        <v>15</v>
      </c>
      <c r="G867" t="s">
        <v>74</v>
      </c>
      <c r="H867">
        <v>5</v>
      </c>
      <c r="I867">
        <v>169.56</v>
      </c>
      <c r="J867">
        <v>0.05</v>
      </c>
      <c r="K867">
        <v>805.41</v>
      </c>
    </row>
    <row r="868" spans="1:11" x14ac:dyDescent="0.35">
      <c r="A868" t="s">
        <v>1225</v>
      </c>
      <c r="B868" t="s">
        <v>617</v>
      </c>
      <c r="C868" t="s">
        <v>24</v>
      </c>
      <c r="D868" t="s">
        <v>13</v>
      </c>
      <c r="E868" t="s">
        <v>317</v>
      </c>
      <c r="F868" t="s">
        <v>53</v>
      </c>
      <c r="G868" t="s">
        <v>54</v>
      </c>
      <c r="H868">
        <v>6</v>
      </c>
      <c r="I868">
        <v>210.83</v>
      </c>
      <c r="J868">
        <v>0</v>
      </c>
      <c r="K868">
        <v>1264.98</v>
      </c>
    </row>
    <row r="869" spans="1:11" x14ac:dyDescent="0.35">
      <c r="A869" t="s">
        <v>1226</v>
      </c>
      <c r="B869" s="1">
        <v>45511</v>
      </c>
      <c r="C869" t="s">
        <v>48</v>
      </c>
      <c r="D869" t="s">
        <v>19</v>
      </c>
      <c r="E869" t="s">
        <v>562</v>
      </c>
      <c r="F869" t="s">
        <v>44</v>
      </c>
      <c r="G869" t="s">
        <v>86</v>
      </c>
      <c r="H869">
        <v>5</v>
      </c>
      <c r="I869">
        <v>111.41</v>
      </c>
      <c r="J869">
        <v>0</v>
      </c>
      <c r="K869">
        <v>557.04999999999995</v>
      </c>
    </row>
    <row r="870" spans="1:11" x14ac:dyDescent="0.35">
      <c r="A870" t="s">
        <v>1227</v>
      </c>
      <c r="B870" s="1">
        <v>45618</v>
      </c>
      <c r="C870" t="s">
        <v>12</v>
      </c>
      <c r="D870" t="s">
        <v>57</v>
      </c>
      <c r="E870" t="s">
        <v>80</v>
      </c>
      <c r="F870" t="s">
        <v>35</v>
      </c>
      <c r="G870" t="s">
        <v>177</v>
      </c>
      <c r="H870">
        <v>2</v>
      </c>
      <c r="I870">
        <v>177.2</v>
      </c>
      <c r="J870">
        <v>0.05</v>
      </c>
      <c r="K870">
        <v>336.68</v>
      </c>
    </row>
    <row r="871" spans="1:11" x14ac:dyDescent="0.35">
      <c r="A871" t="s">
        <v>1228</v>
      </c>
      <c r="B871" s="1">
        <v>45524</v>
      </c>
      <c r="C871" t="s">
        <v>24</v>
      </c>
      <c r="D871" t="s">
        <v>19</v>
      </c>
      <c r="E871" t="s">
        <v>282</v>
      </c>
      <c r="F871" t="s">
        <v>35</v>
      </c>
      <c r="G871" t="s">
        <v>134</v>
      </c>
      <c r="H871">
        <v>6</v>
      </c>
      <c r="I871">
        <v>85.06</v>
      </c>
      <c r="J871">
        <v>0</v>
      </c>
      <c r="K871">
        <v>510.36</v>
      </c>
    </row>
    <row r="872" spans="1:11" x14ac:dyDescent="0.35">
      <c r="A872" t="s">
        <v>1229</v>
      </c>
      <c r="B872" s="1">
        <v>45427</v>
      </c>
      <c r="C872" t="s">
        <v>29</v>
      </c>
      <c r="D872" t="s">
        <v>13</v>
      </c>
      <c r="E872" t="s">
        <v>683</v>
      </c>
      <c r="F872" t="s">
        <v>21</v>
      </c>
      <c r="G872" t="s">
        <v>70</v>
      </c>
      <c r="H872">
        <v>7</v>
      </c>
      <c r="I872">
        <v>36.06</v>
      </c>
      <c r="J872">
        <v>0.1</v>
      </c>
      <c r="K872">
        <v>227.18</v>
      </c>
    </row>
    <row r="873" spans="1:11" x14ac:dyDescent="0.35">
      <c r="A873" t="s">
        <v>1230</v>
      </c>
      <c r="B873" s="2">
        <v>45590</v>
      </c>
      <c r="C873" t="s">
        <v>56</v>
      </c>
      <c r="D873" t="s">
        <v>19</v>
      </c>
      <c r="E873" t="s">
        <v>313</v>
      </c>
      <c r="F873" t="s">
        <v>21</v>
      </c>
      <c r="G873" t="s">
        <v>70</v>
      </c>
      <c r="H873">
        <v>8</v>
      </c>
      <c r="I873">
        <v>26.01</v>
      </c>
      <c r="J873">
        <v>0</v>
      </c>
      <c r="K873">
        <v>208.08</v>
      </c>
    </row>
    <row r="874" spans="1:11" x14ac:dyDescent="0.35">
      <c r="A874" t="s">
        <v>1231</v>
      </c>
      <c r="B874" s="1">
        <v>45323</v>
      </c>
      <c r="C874" t="s">
        <v>79</v>
      </c>
      <c r="D874" t="s">
        <v>19</v>
      </c>
      <c r="E874" t="s">
        <v>835</v>
      </c>
      <c r="F874" t="s">
        <v>35</v>
      </c>
      <c r="G874" t="s">
        <v>83</v>
      </c>
      <c r="H874">
        <v>3</v>
      </c>
      <c r="I874">
        <v>149.66</v>
      </c>
      <c r="J874">
        <v>0</v>
      </c>
      <c r="K874">
        <v>448.98</v>
      </c>
    </row>
    <row r="875" spans="1:11" x14ac:dyDescent="0.35">
      <c r="A875" t="s">
        <v>1232</v>
      </c>
      <c r="B875" s="1">
        <v>45293</v>
      </c>
      <c r="C875" t="s">
        <v>102</v>
      </c>
      <c r="D875" t="s">
        <v>19</v>
      </c>
      <c r="E875" t="s">
        <v>454</v>
      </c>
      <c r="F875" t="s">
        <v>35</v>
      </c>
      <c r="G875" t="s">
        <v>67</v>
      </c>
      <c r="H875">
        <v>11</v>
      </c>
      <c r="I875">
        <v>191.92</v>
      </c>
      <c r="J875">
        <v>0</v>
      </c>
      <c r="K875">
        <v>2111.12</v>
      </c>
    </row>
    <row r="876" spans="1:11" x14ac:dyDescent="0.35">
      <c r="A876" t="s">
        <v>1233</v>
      </c>
      <c r="B876" s="1">
        <v>45524</v>
      </c>
      <c r="C876" t="s">
        <v>41</v>
      </c>
      <c r="D876" t="s">
        <v>19</v>
      </c>
      <c r="E876" t="s">
        <v>394</v>
      </c>
      <c r="F876" t="s">
        <v>15</v>
      </c>
      <c r="G876" t="s">
        <v>16</v>
      </c>
      <c r="H876">
        <v>11</v>
      </c>
      <c r="I876">
        <v>191.68</v>
      </c>
      <c r="J876">
        <v>0.15</v>
      </c>
      <c r="K876">
        <v>1792.21</v>
      </c>
    </row>
    <row r="877" spans="1:11" x14ac:dyDescent="0.35">
      <c r="A877" t="s">
        <v>1234</v>
      </c>
      <c r="B877" s="1">
        <v>45386</v>
      </c>
      <c r="C877" t="s">
        <v>38</v>
      </c>
      <c r="D877" t="s">
        <v>57</v>
      </c>
      <c r="E877" t="s">
        <v>246</v>
      </c>
      <c r="F877" t="s">
        <v>15</v>
      </c>
      <c r="G877" t="s">
        <v>111</v>
      </c>
      <c r="H877">
        <v>6</v>
      </c>
      <c r="I877">
        <v>18.489999999999998</v>
      </c>
      <c r="J877">
        <v>0</v>
      </c>
      <c r="K877">
        <v>110.94</v>
      </c>
    </row>
    <row r="878" spans="1:11" x14ac:dyDescent="0.35">
      <c r="A878" t="s">
        <v>1235</v>
      </c>
      <c r="B878" s="1">
        <v>45465</v>
      </c>
      <c r="C878" t="s">
        <v>41</v>
      </c>
      <c r="D878" t="s">
        <v>42</v>
      </c>
      <c r="E878" t="s">
        <v>381</v>
      </c>
      <c r="F878" t="s">
        <v>15</v>
      </c>
      <c r="G878" t="s">
        <v>147</v>
      </c>
      <c r="H878">
        <v>11</v>
      </c>
      <c r="I878">
        <v>198.36</v>
      </c>
      <c r="J878">
        <v>0</v>
      </c>
      <c r="K878">
        <v>2181.96</v>
      </c>
    </row>
    <row r="879" spans="1:11" x14ac:dyDescent="0.35">
      <c r="A879" t="s">
        <v>1236</v>
      </c>
      <c r="B879" s="1">
        <v>45574</v>
      </c>
      <c r="C879" t="s">
        <v>65</v>
      </c>
      <c r="D879" t="s">
        <v>25</v>
      </c>
      <c r="E879" t="s">
        <v>638</v>
      </c>
      <c r="F879" t="s">
        <v>53</v>
      </c>
      <c r="G879" t="s">
        <v>63</v>
      </c>
      <c r="H879">
        <v>11</v>
      </c>
      <c r="I879">
        <v>149.82</v>
      </c>
      <c r="J879">
        <v>0</v>
      </c>
      <c r="K879">
        <v>1648.02</v>
      </c>
    </row>
    <row r="880" spans="1:11" x14ac:dyDescent="0.35">
      <c r="A880" t="s">
        <v>1237</v>
      </c>
      <c r="B880" s="1">
        <v>45379</v>
      </c>
      <c r="C880" t="s">
        <v>33</v>
      </c>
      <c r="D880" t="s">
        <v>25</v>
      </c>
      <c r="E880" t="s">
        <v>238</v>
      </c>
      <c r="F880" t="s">
        <v>15</v>
      </c>
      <c r="G880" t="s">
        <v>16</v>
      </c>
      <c r="H880">
        <v>6</v>
      </c>
      <c r="I880">
        <v>13.61</v>
      </c>
      <c r="J880">
        <v>0</v>
      </c>
      <c r="K880">
        <v>81.66</v>
      </c>
    </row>
    <row r="881" spans="1:11" x14ac:dyDescent="0.35">
      <c r="A881" t="s">
        <v>1238</v>
      </c>
      <c r="B881" s="1">
        <v>45527</v>
      </c>
      <c r="C881" t="s">
        <v>24</v>
      </c>
      <c r="D881" t="s">
        <v>57</v>
      </c>
      <c r="E881" t="s">
        <v>731</v>
      </c>
      <c r="F881" t="s">
        <v>21</v>
      </c>
      <c r="G881" t="s">
        <v>167</v>
      </c>
      <c r="H881">
        <v>5</v>
      </c>
      <c r="I881">
        <v>31.23</v>
      </c>
      <c r="J881">
        <v>0</v>
      </c>
      <c r="K881">
        <v>156.15</v>
      </c>
    </row>
    <row r="882" spans="1:11" x14ac:dyDescent="0.35">
      <c r="A882" t="s">
        <v>1239</v>
      </c>
      <c r="B882" s="2">
        <v>45501</v>
      </c>
      <c r="C882" t="s">
        <v>12</v>
      </c>
      <c r="D882" t="s">
        <v>42</v>
      </c>
      <c r="E882" t="s">
        <v>120</v>
      </c>
      <c r="F882" t="s">
        <v>21</v>
      </c>
      <c r="G882" t="s">
        <v>129</v>
      </c>
      <c r="H882">
        <v>10</v>
      </c>
      <c r="I882">
        <v>24.45</v>
      </c>
      <c r="J882">
        <v>0</v>
      </c>
      <c r="K882">
        <v>244.5</v>
      </c>
    </row>
    <row r="883" spans="1:11" x14ac:dyDescent="0.35">
      <c r="A883" t="s">
        <v>1240</v>
      </c>
      <c r="B883" s="1">
        <v>45342</v>
      </c>
      <c r="C883" t="s">
        <v>90</v>
      </c>
      <c r="D883" t="s">
        <v>25</v>
      </c>
      <c r="E883" t="s">
        <v>88</v>
      </c>
      <c r="F883" t="s">
        <v>44</v>
      </c>
      <c r="G883" t="s">
        <v>94</v>
      </c>
      <c r="H883">
        <v>7</v>
      </c>
      <c r="I883">
        <v>46.83</v>
      </c>
      <c r="J883">
        <v>0</v>
      </c>
      <c r="K883">
        <v>327.81</v>
      </c>
    </row>
    <row r="884" spans="1:11" x14ac:dyDescent="0.35">
      <c r="A884" t="s">
        <v>1241</v>
      </c>
      <c r="B884" s="1">
        <v>45586</v>
      </c>
      <c r="C884" t="s">
        <v>72</v>
      </c>
      <c r="D884" t="s">
        <v>57</v>
      </c>
      <c r="E884" t="s">
        <v>164</v>
      </c>
      <c r="F884" t="s">
        <v>53</v>
      </c>
      <c r="G884" t="s">
        <v>125</v>
      </c>
      <c r="H884">
        <v>9</v>
      </c>
      <c r="I884">
        <v>63.5</v>
      </c>
      <c r="J884">
        <v>0</v>
      </c>
      <c r="K884">
        <v>571.5</v>
      </c>
    </row>
    <row r="885" spans="1:11" x14ac:dyDescent="0.35">
      <c r="A885" t="s">
        <v>1242</v>
      </c>
      <c r="B885" s="2">
        <v>45511</v>
      </c>
      <c r="C885" t="s">
        <v>29</v>
      </c>
      <c r="D885" t="s">
        <v>42</v>
      </c>
      <c r="E885" t="s">
        <v>229</v>
      </c>
      <c r="F885" t="s">
        <v>53</v>
      </c>
      <c r="G885" t="s">
        <v>59</v>
      </c>
      <c r="H885">
        <v>12</v>
      </c>
      <c r="I885">
        <v>241.74</v>
      </c>
      <c r="J885">
        <v>0</v>
      </c>
      <c r="K885">
        <v>2900.88</v>
      </c>
    </row>
    <row r="886" spans="1:11" x14ac:dyDescent="0.35">
      <c r="A886" t="s">
        <v>283</v>
      </c>
      <c r="B886" s="2">
        <v>45498</v>
      </c>
      <c r="C886" t="s">
        <v>56</v>
      </c>
      <c r="D886" t="s">
        <v>42</v>
      </c>
      <c r="E886" t="s">
        <v>284</v>
      </c>
      <c r="F886" t="s">
        <v>21</v>
      </c>
      <c r="G886" t="s">
        <v>194</v>
      </c>
      <c r="H886">
        <v>8</v>
      </c>
      <c r="I886">
        <v>97.38</v>
      </c>
      <c r="J886">
        <v>0</v>
      </c>
      <c r="K886">
        <v>779.04</v>
      </c>
    </row>
    <row r="887" spans="1:11" x14ac:dyDescent="0.35">
      <c r="A887" t="s">
        <v>1243</v>
      </c>
      <c r="B887" s="2">
        <v>45460</v>
      </c>
      <c r="C887" t="s">
        <v>102</v>
      </c>
      <c r="D887" t="s">
        <v>13</v>
      </c>
      <c r="E887" t="s">
        <v>193</v>
      </c>
      <c r="F887" t="s">
        <v>35</v>
      </c>
      <c r="G887" t="s">
        <v>134</v>
      </c>
      <c r="H887">
        <v>5</v>
      </c>
      <c r="I887">
        <v>174.95</v>
      </c>
      <c r="J887">
        <v>0.15</v>
      </c>
      <c r="K887">
        <v>743.54</v>
      </c>
    </row>
    <row r="888" spans="1:11" x14ac:dyDescent="0.35">
      <c r="A888" t="s">
        <v>1244</v>
      </c>
      <c r="B888" s="1">
        <v>45468</v>
      </c>
      <c r="C888" t="s">
        <v>38</v>
      </c>
      <c r="D888" t="s">
        <v>42</v>
      </c>
      <c r="E888" t="s">
        <v>484</v>
      </c>
      <c r="F888" t="s">
        <v>15</v>
      </c>
      <c r="G888" t="s">
        <v>27</v>
      </c>
      <c r="H888">
        <v>9</v>
      </c>
      <c r="I888">
        <v>111.92</v>
      </c>
      <c r="J888">
        <v>0</v>
      </c>
      <c r="K888">
        <v>1007.28</v>
      </c>
    </row>
    <row r="889" spans="1:11" x14ac:dyDescent="0.35">
      <c r="A889" t="s">
        <v>1245</v>
      </c>
      <c r="B889" t="s">
        <v>1246</v>
      </c>
      <c r="C889" t="s">
        <v>33</v>
      </c>
      <c r="D889" t="s">
        <v>13</v>
      </c>
      <c r="E889" t="s">
        <v>197</v>
      </c>
      <c r="F889" t="s">
        <v>21</v>
      </c>
      <c r="G889" t="s">
        <v>70</v>
      </c>
      <c r="H889">
        <v>12</v>
      </c>
      <c r="I889">
        <v>239.06</v>
      </c>
      <c r="J889">
        <v>0.05</v>
      </c>
      <c r="K889">
        <v>2725.28</v>
      </c>
    </row>
    <row r="890" spans="1:11" x14ac:dyDescent="0.35">
      <c r="A890" t="s">
        <v>1247</v>
      </c>
      <c r="B890" t="s">
        <v>1248</v>
      </c>
      <c r="C890" t="s">
        <v>12</v>
      </c>
      <c r="D890" t="s">
        <v>42</v>
      </c>
      <c r="E890" t="s">
        <v>73</v>
      </c>
      <c r="F890" t="s">
        <v>35</v>
      </c>
      <c r="G890" t="s">
        <v>36</v>
      </c>
      <c r="H890">
        <v>12</v>
      </c>
      <c r="I890">
        <v>111.69</v>
      </c>
      <c r="J890">
        <v>0.1</v>
      </c>
      <c r="K890">
        <v>1206.25</v>
      </c>
    </row>
    <row r="891" spans="1:11" x14ac:dyDescent="0.35">
      <c r="A891" t="s">
        <v>1249</v>
      </c>
      <c r="B891" s="1">
        <v>45562</v>
      </c>
      <c r="C891" t="s">
        <v>41</v>
      </c>
      <c r="D891" t="s">
        <v>42</v>
      </c>
      <c r="E891" t="s">
        <v>309</v>
      </c>
      <c r="F891" t="s">
        <v>21</v>
      </c>
      <c r="G891" t="s">
        <v>70</v>
      </c>
      <c r="H891">
        <v>10</v>
      </c>
      <c r="I891">
        <v>24.14</v>
      </c>
      <c r="J891">
        <v>0</v>
      </c>
      <c r="K891">
        <v>241.4</v>
      </c>
    </row>
    <row r="892" spans="1:11" x14ac:dyDescent="0.35">
      <c r="A892" t="s">
        <v>1250</v>
      </c>
      <c r="B892" s="2">
        <v>45339</v>
      </c>
      <c r="C892" t="s">
        <v>79</v>
      </c>
      <c r="D892" t="s">
        <v>19</v>
      </c>
      <c r="E892" t="s">
        <v>620</v>
      </c>
      <c r="F892" t="s">
        <v>15</v>
      </c>
      <c r="G892" t="s">
        <v>111</v>
      </c>
      <c r="H892">
        <v>6</v>
      </c>
      <c r="I892">
        <v>145.36000000000001</v>
      </c>
      <c r="J892">
        <v>0.05</v>
      </c>
      <c r="K892">
        <v>828.55</v>
      </c>
    </row>
    <row r="893" spans="1:11" x14ac:dyDescent="0.35">
      <c r="A893" t="s">
        <v>1251</v>
      </c>
      <c r="B893" s="2">
        <v>45554</v>
      </c>
      <c r="C893" t="s">
        <v>29</v>
      </c>
      <c r="D893" t="s">
        <v>42</v>
      </c>
      <c r="E893" t="s">
        <v>472</v>
      </c>
      <c r="F893" t="s">
        <v>44</v>
      </c>
      <c r="G893" t="s">
        <v>94</v>
      </c>
      <c r="H893">
        <v>5</v>
      </c>
      <c r="I893">
        <v>230.98</v>
      </c>
      <c r="J893">
        <v>0</v>
      </c>
      <c r="K893">
        <v>1154.9000000000001</v>
      </c>
    </row>
    <row r="894" spans="1:11" x14ac:dyDescent="0.35">
      <c r="A894" t="s">
        <v>1252</v>
      </c>
      <c r="B894" s="1">
        <v>45307</v>
      </c>
      <c r="C894" t="s">
        <v>18</v>
      </c>
      <c r="D894" t="s">
        <v>42</v>
      </c>
      <c r="E894" t="s">
        <v>212</v>
      </c>
      <c r="F894" t="s">
        <v>21</v>
      </c>
      <c r="G894" t="s">
        <v>129</v>
      </c>
      <c r="H894">
        <v>8</v>
      </c>
      <c r="I894">
        <v>126.87</v>
      </c>
      <c r="J894">
        <v>0.05</v>
      </c>
      <c r="K894">
        <v>964.21</v>
      </c>
    </row>
    <row r="895" spans="1:11" x14ac:dyDescent="0.35">
      <c r="A895" t="s">
        <v>1253</v>
      </c>
      <c r="B895" s="1">
        <v>45506</v>
      </c>
      <c r="C895" t="s">
        <v>56</v>
      </c>
      <c r="D895" t="s">
        <v>25</v>
      </c>
      <c r="E895" t="s">
        <v>206</v>
      </c>
      <c r="F895" t="s">
        <v>53</v>
      </c>
      <c r="G895" t="s">
        <v>63</v>
      </c>
      <c r="H895">
        <v>3</v>
      </c>
      <c r="I895">
        <v>106.54</v>
      </c>
      <c r="J895">
        <v>0.1</v>
      </c>
      <c r="K895">
        <v>287.66000000000003</v>
      </c>
    </row>
    <row r="896" spans="1:11" x14ac:dyDescent="0.35">
      <c r="A896" t="s">
        <v>1254</v>
      </c>
      <c r="B896" s="1">
        <v>45332</v>
      </c>
      <c r="C896" t="s">
        <v>72</v>
      </c>
      <c r="D896" t="s">
        <v>25</v>
      </c>
      <c r="E896" t="s">
        <v>445</v>
      </c>
      <c r="F896" t="s">
        <v>53</v>
      </c>
      <c r="G896" t="s">
        <v>59</v>
      </c>
      <c r="H896">
        <v>11</v>
      </c>
      <c r="I896">
        <v>227.05</v>
      </c>
      <c r="J896">
        <v>0</v>
      </c>
      <c r="K896">
        <v>2497.5500000000002</v>
      </c>
    </row>
    <row r="897" spans="1:11" x14ac:dyDescent="0.35">
      <c r="A897" t="s">
        <v>1255</v>
      </c>
      <c r="B897" s="1">
        <v>45400</v>
      </c>
      <c r="C897" t="s">
        <v>24</v>
      </c>
      <c r="D897" t="s">
        <v>57</v>
      </c>
      <c r="E897" t="s">
        <v>346</v>
      </c>
      <c r="F897" t="s">
        <v>21</v>
      </c>
      <c r="G897" t="s">
        <v>167</v>
      </c>
      <c r="H897">
        <v>8</v>
      </c>
      <c r="I897">
        <v>169.27</v>
      </c>
      <c r="J897">
        <v>0.05</v>
      </c>
      <c r="K897">
        <v>1286.45</v>
      </c>
    </row>
    <row r="898" spans="1:11" x14ac:dyDescent="0.35">
      <c r="A898" t="s">
        <v>1256</v>
      </c>
      <c r="B898" s="1">
        <v>45408</v>
      </c>
      <c r="C898" t="s">
        <v>65</v>
      </c>
      <c r="D898" t="s">
        <v>57</v>
      </c>
      <c r="E898" t="s">
        <v>448</v>
      </c>
      <c r="F898" t="s">
        <v>15</v>
      </c>
      <c r="G898" t="s">
        <v>147</v>
      </c>
      <c r="H898">
        <v>11</v>
      </c>
      <c r="I898">
        <v>160.30000000000001</v>
      </c>
      <c r="J898">
        <v>0.05</v>
      </c>
      <c r="K898">
        <v>1675.13</v>
      </c>
    </row>
    <row r="899" spans="1:11" x14ac:dyDescent="0.35">
      <c r="A899" t="s">
        <v>1257</v>
      </c>
      <c r="B899" s="1">
        <v>45414</v>
      </c>
      <c r="C899" t="s">
        <v>90</v>
      </c>
      <c r="D899" t="s">
        <v>25</v>
      </c>
      <c r="E899" t="s">
        <v>426</v>
      </c>
      <c r="F899" t="s">
        <v>15</v>
      </c>
      <c r="G899" t="s">
        <v>16</v>
      </c>
      <c r="H899">
        <v>5</v>
      </c>
      <c r="I899">
        <v>159.63</v>
      </c>
      <c r="J899">
        <v>0</v>
      </c>
      <c r="K899">
        <v>798.15</v>
      </c>
    </row>
    <row r="900" spans="1:11" x14ac:dyDescent="0.35">
      <c r="A900" t="s">
        <v>1258</v>
      </c>
      <c r="B900" s="1">
        <v>45644</v>
      </c>
      <c r="C900" t="s">
        <v>90</v>
      </c>
      <c r="D900" t="s">
        <v>19</v>
      </c>
      <c r="E900" t="s">
        <v>535</v>
      </c>
      <c r="F900" t="s">
        <v>15</v>
      </c>
      <c r="G900" t="s">
        <v>111</v>
      </c>
      <c r="H900">
        <v>10</v>
      </c>
      <c r="I900">
        <v>85.2</v>
      </c>
      <c r="J900">
        <v>0</v>
      </c>
      <c r="K900">
        <v>852</v>
      </c>
    </row>
    <row r="901" spans="1:11" x14ac:dyDescent="0.35">
      <c r="A901" t="s">
        <v>1259</v>
      </c>
      <c r="B901" t="s">
        <v>268</v>
      </c>
      <c r="C901" t="s">
        <v>65</v>
      </c>
      <c r="E901" t="s">
        <v>535</v>
      </c>
      <c r="F901" t="s">
        <v>44</v>
      </c>
      <c r="G901" t="s">
        <v>107</v>
      </c>
      <c r="H901">
        <v>8</v>
      </c>
      <c r="I901">
        <v>67.069999999999993</v>
      </c>
      <c r="J901">
        <v>0.15</v>
      </c>
      <c r="K901">
        <v>456.08</v>
      </c>
    </row>
    <row r="902" spans="1:11" x14ac:dyDescent="0.35">
      <c r="A902" t="s">
        <v>1260</v>
      </c>
      <c r="B902" s="2">
        <v>45390</v>
      </c>
      <c r="C902" t="s">
        <v>90</v>
      </c>
      <c r="D902" t="s">
        <v>13</v>
      </c>
      <c r="E902" t="s">
        <v>238</v>
      </c>
      <c r="F902" t="s">
        <v>53</v>
      </c>
      <c r="G902" t="s">
        <v>260</v>
      </c>
      <c r="H902">
        <v>6</v>
      </c>
      <c r="I902">
        <v>175.12</v>
      </c>
      <c r="J902">
        <v>0.1</v>
      </c>
      <c r="K902">
        <v>945.65</v>
      </c>
    </row>
    <row r="903" spans="1:11" x14ac:dyDescent="0.35">
      <c r="A903" t="s">
        <v>1261</v>
      </c>
      <c r="B903" s="1">
        <v>45447</v>
      </c>
      <c r="C903" t="s">
        <v>29</v>
      </c>
      <c r="D903" t="s">
        <v>19</v>
      </c>
      <c r="E903" t="s">
        <v>902</v>
      </c>
      <c r="F903" t="s">
        <v>15</v>
      </c>
      <c r="G903" t="s">
        <v>147</v>
      </c>
      <c r="H903">
        <v>4</v>
      </c>
      <c r="I903">
        <v>131.74</v>
      </c>
      <c r="J903">
        <v>0</v>
      </c>
      <c r="K903">
        <v>526.96</v>
      </c>
    </row>
    <row r="904" spans="1:11" x14ac:dyDescent="0.35">
      <c r="A904" t="s">
        <v>1262</v>
      </c>
      <c r="B904" s="2">
        <v>45295</v>
      </c>
      <c r="C904" t="s">
        <v>24</v>
      </c>
      <c r="E904" t="s">
        <v>638</v>
      </c>
      <c r="F904" t="s">
        <v>53</v>
      </c>
      <c r="G904" t="s">
        <v>125</v>
      </c>
      <c r="H904">
        <v>7</v>
      </c>
      <c r="I904">
        <v>152.1</v>
      </c>
      <c r="J904">
        <v>0</v>
      </c>
      <c r="K904">
        <v>1064.7</v>
      </c>
    </row>
    <row r="905" spans="1:11" x14ac:dyDescent="0.35">
      <c r="A905" t="s">
        <v>1263</v>
      </c>
      <c r="B905" s="1">
        <v>45331</v>
      </c>
      <c r="C905" t="s">
        <v>18</v>
      </c>
      <c r="D905" t="s">
        <v>13</v>
      </c>
      <c r="E905" t="s">
        <v>93</v>
      </c>
      <c r="F905" t="s">
        <v>15</v>
      </c>
      <c r="G905" t="s">
        <v>16</v>
      </c>
      <c r="H905">
        <v>3</v>
      </c>
      <c r="I905">
        <v>112.34</v>
      </c>
      <c r="J905">
        <v>0</v>
      </c>
      <c r="K905">
        <v>337.02</v>
      </c>
    </row>
    <row r="906" spans="1:11" x14ac:dyDescent="0.35">
      <c r="A906" t="s">
        <v>1264</v>
      </c>
      <c r="B906" s="1">
        <v>45623</v>
      </c>
      <c r="C906" t="s">
        <v>90</v>
      </c>
      <c r="E906" t="s">
        <v>263</v>
      </c>
      <c r="F906" t="s">
        <v>35</v>
      </c>
      <c r="G906" t="s">
        <v>83</v>
      </c>
      <c r="H906">
        <v>10</v>
      </c>
      <c r="I906">
        <v>53.67</v>
      </c>
      <c r="J906">
        <v>0.05</v>
      </c>
      <c r="K906">
        <v>509.87</v>
      </c>
    </row>
    <row r="907" spans="1:11" x14ac:dyDescent="0.35">
      <c r="A907" t="s">
        <v>1265</v>
      </c>
      <c r="B907" s="1">
        <v>45570</v>
      </c>
      <c r="C907" t="s">
        <v>56</v>
      </c>
      <c r="D907" t="s">
        <v>42</v>
      </c>
      <c r="E907" t="s">
        <v>810</v>
      </c>
      <c r="F907" t="s">
        <v>44</v>
      </c>
      <c r="G907" t="s">
        <v>94</v>
      </c>
      <c r="H907">
        <v>3</v>
      </c>
      <c r="I907">
        <v>23.98</v>
      </c>
      <c r="J907">
        <v>0</v>
      </c>
      <c r="K907">
        <v>71.94</v>
      </c>
    </row>
    <row r="908" spans="1:11" x14ac:dyDescent="0.35">
      <c r="A908" t="s">
        <v>1266</v>
      </c>
      <c r="B908" s="2">
        <v>45516</v>
      </c>
      <c r="C908" t="s">
        <v>29</v>
      </c>
      <c r="D908" t="s">
        <v>57</v>
      </c>
      <c r="E908" t="s">
        <v>521</v>
      </c>
      <c r="F908" t="s">
        <v>21</v>
      </c>
      <c r="G908" t="s">
        <v>70</v>
      </c>
      <c r="H908">
        <v>2</v>
      </c>
      <c r="I908">
        <v>240.85</v>
      </c>
      <c r="J908">
        <v>0</v>
      </c>
      <c r="K908">
        <v>481.7</v>
      </c>
    </row>
    <row r="909" spans="1:11" x14ac:dyDescent="0.35">
      <c r="A909" t="s">
        <v>1267</v>
      </c>
      <c r="B909" s="1">
        <v>45400</v>
      </c>
      <c r="C909" t="s">
        <v>38</v>
      </c>
      <c r="D909" t="s">
        <v>57</v>
      </c>
      <c r="E909" t="s">
        <v>278</v>
      </c>
      <c r="F909" t="s">
        <v>15</v>
      </c>
      <c r="G909" t="s">
        <v>16</v>
      </c>
      <c r="H909">
        <v>1</v>
      </c>
      <c r="I909">
        <v>41.35</v>
      </c>
      <c r="J909">
        <v>0</v>
      </c>
      <c r="K909">
        <v>41.35</v>
      </c>
    </row>
    <row r="910" spans="1:11" x14ac:dyDescent="0.35">
      <c r="A910" t="s">
        <v>1268</v>
      </c>
      <c r="B910" t="s">
        <v>1010</v>
      </c>
      <c r="C910" t="s">
        <v>48</v>
      </c>
      <c r="D910" t="s">
        <v>57</v>
      </c>
      <c r="E910" t="s">
        <v>392</v>
      </c>
      <c r="F910" t="s">
        <v>44</v>
      </c>
      <c r="G910" t="s">
        <v>86</v>
      </c>
      <c r="H910">
        <v>8</v>
      </c>
      <c r="I910">
        <v>45.92</v>
      </c>
      <c r="J910">
        <v>0</v>
      </c>
      <c r="K910">
        <v>367.36</v>
      </c>
    </row>
    <row r="911" spans="1:11" x14ac:dyDescent="0.35">
      <c r="A911" t="s">
        <v>1269</v>
      </c>
      <c r="B911" s="2">
        <v>45451</v>
      </c>
      <c r="C911" t="s">
        <v>102</v>
      </c>
      <c r="D911" t="s">
        <v>57</v>
      </c>
      <c r="E911" t="s">
        <v>158</v>
      </c>
      <c r="F911" t="s">
        <v>44</v>
      </c>
      <c r="G911" t="s">
        <v>50</v>
      </c>
      <c r="H911">
        <v>5</v>
      </c>
      <c r="I911">
        <v>120.02</v>
      </c>
      <c r="J911">
        <v>0</v>
      </c>
      <c r="K911">
        <v>600.1</v>
      </c>
    </row>
    <row r="912" spans="1:11" x14ac:dyDescent="0.35">
      <c r="A912" t="s">
        <v>1270</v>
      </c>
      <c r="B912" s="1">
        <v>45631</v>
      </c>
      <c r="C912" t="s">
        <v>24</v>
      </c>
      <c r="D912" t="s">
        <v>42</v>
      </c>
      <c r="E912" t="s">
        <v>867</v>
      </c>
      <c r="F912" t="s">
        <v>15</v>
      </c>
      <c r="G912" t="s">
        <v>147</v>
      </c>
      <c r="H912">
        <v>6</v>
      </c>
      <c r="I912">
        <v>168.66</v>
      </c>
      <c r="J912">
        <v>0.1</v>
      </c>
      <c r="K912">
        <v>910.76</v>
      </c>
    </row>
    <row r="913" spans="1:11" x14ac:dyDescent="0.35">
      <c r="A913" t="s">
        <v>1271</v>
      </c>
      <c r="B913" s="1">
        <v>45408</v>
      </c>
      <c r="C913" t="s">
        <v>41</v>
      </c>
      <c r="D913" t="s">
        <v>25</v>
      </c>
      <c r="E913" t="s">
        <v>160</v>
      </c>
      <c r="F913" t="s">
        <v>21</v>
      </c>
      <c r="G913" t="s">
        <v>194</v>
      </c>
      <c r="H913">
        <v>1</v>
      </c>
      <c r="I913">
        <v>95.54</v>
      </c>
      <c r="J913">
        <v>0</v>
      </c>
      <c r="K913">
        <v>95.54</v>
      </c>
    </row>
    <row r="914" spans="1:11" x14ac:dyDescent="0.35">
      <c r="A914" t="s">
        <v>1272</v>
      </c>
      <c r="B914" t="s">
        <v>983</v>
      </c>
      <c r="C914" t="s">
        <v>41</v>
      </c>
      <c r="E914" t="s">
        <v>299</v>
      </c>
      <c r="F914" t="s">
        <v>44</v>
      </c>
      <c r="G914" t="s">
        <v>50</v>
      </c>
      <c r="H914">
        <v>10</v>
      </c>
      <c r="I914">
        <v>205.17</v>
      </c>
      <c r="J914">
        <v>0.15</v>
      </c>
      <c r="K914">
        <v>1743.94</v>
      </c>
    </row>
    <row r="915" spans="1:11" x14ac:dyDescent="0.35">
      <c r="A915" t="s">
        <v>1273</v>
      </c>
      <c r="B915" t="s">
        <v>1274</v>
      </c>
      <c r="C915" t="s">
        <v>38</v>
      </c>
      <c r="D915" t="s">
        <v>57</v>
      </c>
      <c r="E915" t="s">
        <v>133</v>
      </c>
      <c r="F915" t="s">
        <v>35</v>
      </c>
      <c r="G915" t="s">
        <v>134</v>
      </c>
      <c r="H915">
        <v>2</v>
      </c>
      <c r="I915">
        <v>5.78</v>
      </c>
      <c r="J915">
        <v>0.05</v>
      </c>
      <c r="K915">
        <v>10.98</v>
      </c>
    </row>
    <row r="916" spans="1:11" x14ac:dyDescent="0.35">
      <c r="A916" t="s">
        <v>1275</v>
      </c>
      <c r="B916" s="1">
        <v>45326</v>
      </c>
      <c r="C916" t="s">
        <v>33</v>
      </c>
      <c r="D916" t="s">
        <v>13</v>
      </c>
      <c r="E916" t="s">
        <v>484</v>
      </c>
      <c r="F916" t="s">
        <v>35</v>
      </c>
      <c r="G916" t="s">
        <v>67</v>
      </c>
      <c r="H916">
        <v>9</v>
      </c>
      <c r="I916">
        <v>227.19</v>
      </c>
      <c r="J916">
        <v>0</v>
      </c>
      <c r="K916">
        <v>2044.71</v>
      </c>
    </row>
    <row r="917" spans="1:11" x14ac:dyDescent="0.35">
      <c r="A917" t="s">
        <v>1276</v>
      </c>
      <c r="B917" s="1">
        <v>45337</v>
      </c>
      <c r="C917" t="s">
        <v>41</v>
      </c>
      <c r="D917" t="s">
        <v>57</v>
      </c>
      <c r="E917" t="s">
        <v>117</v>
      </c>
      <c r="F917" t="s">
        <v>35</v>
      </c>
      <c r="G917" t="s">
        <v>134</v>
      </c>
      <c r="H917">
        <v>11</v>
      </c>
      <c r="I917">
        <v>64.12</v>
      </c>
      <c r="J917">
        <v>0.05</v>
      </c>
      <c r="K917">
        <v>670.05</v>
      </c>
    </row>
    <row r="918" spans="1:11" x14ac:dyDescent="0.35">
      <c r="A918" t="s">
        <v>1277</v>
      </c>
      <c r="B918" s="1">
        <v>45298</v>
      </c>
      <c r="C918" t="s">
        <v>65</v>
      </c>
      <c r="D918" t="s">
        <v>25</v>
      </c>
      <c r="E918" t="s">
        <v>110</v>
      </c>
      <c r="F918" t="s">
        <v>53</v>
      </c>
      <c r="G918" t="s">
        <v>54</v>
      </c>
      <c r="H918">
        <v>7</v>
      </c>
      <c r="I918">
        <v>102.46</v>
      </c>
      <c r="J918">
        <v>0.1</v>
      </c>
      <c r="K918">
        <v>645.5</v>
      </c>
    </row>
    <row r="919" spans="1:11" x14ac:dyDescent="0.35">
      <c r="A919" t="s">
        <v>1278</v>
      </c>
      <c r="B919" s="2">
        <v>45395</v>
      </c>
      <c r="C919" t="s">
        <v>79</v>
      </c>
      <c r="D919" t="s">
        <v>13</v>
      </c>
      <c r="E919" t="s">
        <v>34</v>
      </c>
      <c r="F919" t="s">
        <v>44</v>
      </c>
      <c r="G919" t="s">
        <v>94</v>
      </c>
      <c r="H919">
        <v>3</v>
      </c>
      <c r="I919">
        <v>61.87</v>
      </c>
      <c r="J919">
        <v>0</v>
      </c>
      <c r="K919">
        <v>185.61</v>
      </c>
    </row>
    <row r="920" spans="1:11" x14ac:dyDescent="0.35">
      <c r="A920" t="s">
        <v>1279</v>
      </c>
      <c r="B920" s="1">
        <v>45627</v>
      </c>
      <c r="C920" t="s">
        <v>24</v>
      </c>
      <c r="D920" t="s">
        <v>25</v>
      </c>
      <c r="E920" t="s">
        <v>166</v>
      </c>
      <c r="F920" t="s">
        <v>44</v>
      </c>
      <c r="G920" t="s">
        <v>86</v>
      </c>
      <c r="H920">
        <v>10</v>
      </c>
      <c r="I920">
        <v>179.34</v>
      </c>
      <c r="J920">
        <v>0</v>
      </c>
      <c r="K920">
        <v>1793.4</v>
      </c>
    </row>
    <row r="921" spans="1:11" x14ac:dyDescent="0.35">
      <c r="A921" t="s">
        <v>1280</v>
      </c>
      <c r="B921" s="1">
        <v>45442</v>
      </c>
      <c r="C921" t="s">
        <v>56</v>
      </c>
      <c r="D921" t="s">
        <v>25</v>
      </c>
      <c r="E921" t="s">
        <v>62</v>
      </c>
      <c r="F921" t="s">
        <v>44</v>
      </c>
      <c r="G921" t="s">
        <v>50</v>
      </c>
      <c r="H921">
        <v>7</v>
      </c>
      <c r="I921">
        <v>157.80000000000001</v>
      </c>
      <c r="J921">
        <v>0</v>
      </c>
      <c r="K921">
        <v>1104.5999999999999</v>
      </c>
    </row>
    <row r="922" spans="1:11" x14ac:dyDescent="0.35">
      <c r="A922" t="s">
        <v>1281</v>
      </c>
      <c r="B922" s="1">
        <v>45422</v>
      </c>
      <c r="C922" t="s">
        <v>65</v>
      </c>
      <c r="D922" t="s">
        <v>57</v>
      </c>
      <c r="E922" t="s">
        <v>407</v>
      </c>
      <c r="F922" t="s">
        <v>53</v>
      </c>
      <c r="G922" t="s">
        <v>104</v>
      </c>
      <c r="H922">
        <v>4</v>
      </c>
      <c r="I922">
        <v>180.12</v>
      </c>
      <c r="J922">
        <v>0</v>
      </c>
      <c r="K922">
        <v>720.48</v>
      </c>
    </row>
    <row r="923" spans="1:11" x14ac:dyDescent="0.35">
      <c r="A923" t="s">
        <v>1282</v>
      </c>
      <c r="B923" s="1">
        <v>45511</v>
      </c>
      <c r="C923" t="s">
        <v>56</v>
      </c>
      <c r="D923" t="s">
        <v>57</v>
      </c>
      <c r="E923" t="s">
        <v>484</v>
      </c>
      <c r="F923" t="s">
        <v>21</v>
      </c>
      <c r="G923" t="s">
        <v>22</v>
      </c>
      <c r="H923">
        <v>4</v>
      </c>
      <c r="I923">
        <v>164.32</v>
      </c>
      <c r="J923">
        <v>0.15</v>
      </c>
      <c r="K923">
        <v>558.69000000000005</v>
      </c>
    </row>
    <row r="924" spans="1:11" x14ac:dyDescent="0.35">
      <c r="A924" t="s">
        <v>1283</v>
      </c>
      <c r="B924" s="1">
        <v>45379</v>
      </c>
      <c r="C924" t="s">
        <v>72</v>
      </c>
      <c r="D924" t="s">
        <v>25</v>
      </c>
      <c r="E924" t="s">
        <v>825</v>
      </c>
      <c r="F924" t="s">
        <v>53</v>
      </c>
      <c r="G924" t="s">
        <v>59</v>
      </c>
      <c r="H924">
        <v>2</v>
      </c>
      <c r="I924">
        <v>205.36</v>
      </c>
      <c r="J924">
        <v>0</v>
      </c>
      <c r="K924">
        <v>410.72</v>
      </c>
    </row>
    <row r="925" spans="1:11" x14ac:dyDescent="0.35">
      <c r="A925" t="s">
        <v>1284</v>
      </c>
      <c r="B925" s="1">
        <v>45511</v>
      </c>
      <c r="C925" t="s">
        <v>79</v>
      </c>
      <c r="E925" t="s">
        <v>480</v>
      </c>
      <c r="F925" t="s">
        <v>21</v>
      </c>
      <c r="G925" t="s">
        <v>22</v>
      </c>
      <c r="H925">
        <v>5</v>
      </c>
      <c r="I925">
        <v>241.02</v>
      </c>
      <c r="J925">
        <v>0</v>
      </c>
      <c r="K925">
        <v>1205.0999999999999</v>
      </c>
    </row>
    <row r="926" spans="1:11" x14ac:dyDescent="0.35">
      <c r="A926" t="s">
        <v>1285</v>
      </c>
      <c r="B926" s="1">
        <v>45479</v>
      </c>
      <c r="C926" t="s">
        <v>48</v>
      </c>
      <c r="D926" t="s">
        <v>25</v>
      </c>
      <c r="E926" t="s">
        <v>517</v>
      </c>
      <c r="F926" t="s">
        <v>44</v>
      </c>
      <c r="G926" t="s">
        <v>86</v>
      </c>
      <c r="H926">
        <v>4</v>
      </c>
      <c r="I926">
        <v>238.56</v>
      </c>
      <c r="J926">
        <v>0</v>
      </c>
      <c r="K926">
        <v>954.24</v>
      </c>
    </row>
    <row r="927" spans="1:11" x14ac:dyDescent="0.35">
      <c r="A927" t="s">
        <v>1286</v>
      </c>
      <c r="B927" s="1">
        <v>45530</v>
      </c>
      <c r="C927" t="s">
        <v>56</v>
      </c>
      <c r="D927" t="s">
        <v>13</v>
      </c>
      <c r="E927" t="s">
        <v>293</v>
      </c>
      <c r="F927" t="s">
        <v>35</v>
      </c>
      <c r="G927" t="s">
        <v>134</v>
      </c>
      <c r="H927">
        <v>10</v>
      </c>
      <c r="I927">
        <v>170.91</v>
      </c>
      <c r="J927">
        <v>0.05</v>
      </c>
      <c r="K927">
        <v>1623.64</v>
      </c>
    </row>
    <row r="928" spans="1:11" x14ac:dyDescent="0.35">
      <c r="A928" t="s">
        <v>1287</v>
      </c>
      <c r="B928" s="2">
        <v>45380</v>
      </c>
      <c r="C928" t="s">
        <v>65</v>
      </c>
      <c r="D928" t="s">
        <v>25</v>
      </c>
      <c r="F928" t="s">
        <v>21</v>
      </c>
      <c r="G928" t="s">
        <v>194</v>
      </c>
      <c r="H928">
        <v>11</v>
      </c>
      <c r="I928">
        <v>195.08</v>
      </c>
      <c r="J928">
        <v>0.15</v>
      </c>
      <c r="K928">
        <v>1824</v>
      </c>
    </row>
    <row r="929" spans="1:11" x14ac:dyDescent="0.35">
      <c r="A929" t="s">
        <v>1288</v>
      </c>
      <c r="B929" s="1">
        <v>45603</v>
      </c>
      <c r="C929" t="s">
        <v>72</v>
      </c>
      <c r="D929" t="s">
        <v>13</v>
      </c>
      <c r="E929" t="s">
        <v>334</v>
      </c>
      <c r="F929" t="s">
        <v>15</v>
      </c>
      <c r="G929" t="s">
        <v>16</v>
      </c>
      <c r="H929">
        <v>4</v>
      </c>
      <c r="I929">
        <v>162.30000000000001</v>
      </c>
      <c r="J929">
        <v>0.15</v>
      </c>
      <c r="K929">
        <v>551.82000000000005</v>
      </c>
    </row>
    <row r="930" spans="1:11" x14ac:dyDescent="0.35">
      <c r="A930" t="s">
        <v>1289</v>
      </c>
      <c r="B930" s="1">
        <v>45305</v>
      </c>
      <c r="C930" t="s">
        <v>56</v>
      </c>
      <c r="D930" t="s">
        <v>13</v>
      </c>
      <c r="E930" t="s">
        <v>233</v>
      </c>
      <c r="F930" t="s">
        <v>21</v>
      </c>
      <c r="G930" t="s">
        <v>167</v>
      </c>
      <c r="H930">
        <v>2</v>
      </c>
      <c r="I930">
        <v>78.02</v>
      </c>
      <c r="J930">
        <v>0</v>
      </c>
      <c r="K930">
        <v>156.04</v>
      </c>
    </row>
    <row r="931" spans="1:11" x14ac:dyDescent="0.35">
      <c r="A931" t="s">
        <v>1290</v>
      </c>
      <c r="B931" s="2">
        <v>45589</v>
      </c>
      <c r="C931" t="s">
        <v>41</v>
      </c>
      <c r="E931" t="s">
        <v>14</v>
      </c>
      <c r="F931" t="s">
        <v>35</v>
      </c>
      <c r="G931" t="s">
        <v>67</v>
      </c>
      <c r="H931">
        <v>4</v>
      </c>
      <c r="I931">
        <v>43.13</v>
      </c>
      <c r="J931">
        <v>0.15</v>
      </c>
      <c r="K931">
        <v>146.63999999999999</v>
      </c>
    </row>
    <row r="932" spans="1:11" x14ac:dyDescent="0.35">
      <c r="A932" t="s">
        <v>1291</v>
      </c>
      <c r="B932" s="1">
        <v>45610</v>
      </c>
      <c r="C932" t="s">
        <v>102</v>
      </c>
      <c r="D932" t="s">
        <v>19</v>
      </c>
      <c r="E932" t="s">
        <v>152</v>
      </c>
      <c r="F932" t="s">
        <v>44</v>
      </c>
      <c r="G932" t="s">
        <v>50</v>
      </c>
      <c r="H932">
        <v>10</v>
      </c>
      <c r="I932">
        <v>95.87</v>
      </c>
      <c r="J932">
        <v>0.15</v>
      </c>
      <c r="K932">
        <v>814.89</v>
      </c>
    </row>
    <row r="933" spans="1:11" x14ac:dyDescent="0.35">
      <c r="A933" t="s">
        <v>1292</v>
      </c>
      <c r="B933" s="2">
        <v>45464</v>
      </c>
      <c r="C933" t="s">
        <v>79</v>
      </c>
      <c r="D933" t="s">
        <v>42</v>
      </c>
      <c r="E933" t="s">
        <v>34</v>
      </c>
      <c r="F933" t="s">
        <v>44</v>
      </c>
      <c r="G933" t="s">
        <v>107</v>
      </c>
      <c r="H933">
        <v>11</v>
      </c>
      <c r="I933">
        <v>84.44</v>
      </c>
      <c r="J933">
        <v>0.1</v>
      </c>
      <c r="K933">
        <v>835.96</v>
      </c>
    </row>
    <row r="934" spans="1:11" x14ac:dyDescent="0.35">
      <c r="A934" t="s">
        <v>1293</v>
      </c>
      <c r="B934" s="1">
        <v>45484</v>
      </c>
      <c r="C934" t="s">
        <v>24</v>
      </c>
      <c r="D934" t="s">
        <v>19</v>
      </c>
      <c r="E934" t="s">
        <v>272</v>
      </c>
      <c r="F934" t="s">
        <v>35</v>
      </c>
      <c r="G934" t="s">
        <v>177</v>
      </c>
      <c r="H934">
        <v>8</v>
      </c>
      <c r="I934">
        <v>51.64</v>
      </c>
      <c r="J934">
        <v>0</v>
      </c>
      <c r="K934">
        <v>413.12</v>
      </c>
    </row>
    <row r="935" spans="1:11" x14ac:dyDescent="0.35">
      <c r="A935" t="s">
        <v>1294</v>
      </c>
      <c r="B935" s="1">
        <v>45484</v>
      </c>
      <c r="C935" t="s">
        <v>29</v>
      </c>
      <c r="D935" t="s">
        <v>19</v>
      </c>
      <c r="E935" t="s">
        <v>366</v>
      </c>
      <c r="F935" t="s">
        <v>44</v>
      </c>
      <c r="G935" t="s">
        <v>50</v>
      </c>
      <c r="H935">
        <v>11</v>
      </c>
      <c r="I935">
        <v>159.08000000000001</v>
      </c>
      <c r="J935">
        <v>0</v>
      </c>
      <c r="K935">
        <v>1749.88</v>
      </c>
    </row>
    <row r="936" spans="1:11" x14ac:dyDescent="0.35">
      <c r="A936" t="s">
        <v>1295</v>
      </c>
      <c r="B936" s="2">
        <v>45550</v>
      </c>
      <c r="C936" t="s">
        <v>12</v>
      </c>
      <c r="D936" t="s">
        <v>25</v>
      </c>
      <c r="E936" t="s">
        <v>847</v>
      </c>
      <c r="F936" t="s">
        <v>53</v>
      </c>
      <c r="G936" t="s">
        <v>63</v>
      </c>
      <c r="H936">
        <v>6</v>
      </c>
      <c r="I936">
        <v>190.81</v>
      </c>
      <c r="J936">
        <v>0.05</v>
      </c>
      <c r="K936">
        <v>1087.6199999999999</v>
      </c>
    </row>
    <row r="937" spans="1:11" x14ac:dyDescent="0.35">
      <c r="A937" t="s">
        <v>1296</v>
      </c>
      <c r="B937" s="2">
        <v>45353</v>
      </c>
      <c r="C937" t="s">
        <v>12</v>
      </c>
      <c r="D937" t="s">
        <v>13</v>
      </c>
      <c r="E937" t="s">
        <v>526</v>
      </c>
      <c r="F937" t="s">
        <v>15</v>
      </c>
      <c r="G937" t="s">
        <v>147</v>
      </c>
      <c r="H937">
        <v>6</v>
      </c>
      <c r="I937">
        <v>236.97</v>
      </c>
      <c r="J937">
        <v>0.1</v>
      </c>
      <c r="K937">
        <v>1279.6400000000001</v>
      </c>
    </row>
    <row r="938" spans="1:11" x14ac:dyDescent="0.35">
      <c r="A938" t="s">
        <v>1297</v>
      </c>
      <c r="B938" s="1">
        <v>45429</v>
      </c>
      <c r="C938" t="s">
        <v>12</v>
      </c>
      <c r="D938" t="s">
        <v>19</v>
      </c>
      <c r="E938" t="s">
        <v>642</v>
      </c>
      <c r="F938" t="s">
        <v>53</v>
      </c>
      <c r="G938" t="s">
        <v>59</v>
      </c>
      <c r="H938">
        <v>2</v>
      </c>
      <c r="I938">
        <v>38.54</v>
      </c>
      <c r="J938">
        <v>0.1</v>
      </c>
      <c r="K938">
        <v>69.37</v>
      </c>
    </row>
    <row r="939" spans="1:11" x14ac:dyDescent="0.35">
      <c r="A939" t="s">
        <v>1298</v>
      </c>
      <c r="B939" s="1">
        <v>45517</v>
      </c>
      <c r="C939" t="s">
        <v>41</v>
      </c>
      <c r="D939" t="s">
        <v>25</v>
      </c>
      <c r="E939" t="s">
        <v>858</v>
      </c>
      <c r="F939" t="s">
        <v>21</v>
      </c>
      <c r="G939" t="s">
        <v>167</v>
      </c>
      <c r="H939">
        <v>12</v>
      </c>
      <c r="I939">
        <v>15.28</v>
      </c>
      <c r="J939">
        <v>0</v>
      </c>
      <c r="K939">
        <v>183.36</v>
      </c>
    </row>
    <row r="940" spans="1:11" x14ac:dyDescent="0.35">
      <c r="A940" t="s">
        <v>1299</v>
      </c>
      <c r="B940" s="1">
        <v>45497</v>
      </c>
      <c r="C940" t="s">
        <v>41</v>
      </c>
      <c r="D940" t="s">
        <v>25</v>
      </c>
      <c r="E940" t="s">
        <v>291</v>
      </c>
      <c r="F940" t="s">
        <v>15</v>
      </c>
      <c r="G940" t="s">
        <v>147</v>
      </c>
      <c r="H940">
        <v>6</v>
      </c>
      <c r="I940">
        <v>119.53</v>
      </c>
      <c r="J940">
        <v>0</v>
      </c>
      <c r="K940">
        <v>717.18</v>
      </c>
    </row>
    <row r="941" spans="1:11" x14ac:dyDescent="0.35">
      <c r="A941" t="s">
        <v>1300</v>
      </c>
      <c r="B941" s="2">
        <v>45433</v>
      </c>
      <c r="C941" t="s">
        <v>24</v>
      </c>
      <c r="D941" t="s">
        <v>42</v>
      </c>
      <c r="E941" t="s">
        <v>311</v>
      </c>
      <c r="F941" t="s">
        <v>21</v>
      </c>
      <c r="G941" t="s">
        <v>129</v>
      </c>
      <c r="H941">
        <v>1</v>
      </c>
      <c r="I941">
        <v>58.96</v>
      </c>
      <c r="J941">
        <v>0</v>
      </c>
      <c r="K941">
        <v>58.96</v>
      </c>
    </row>
    <row r="942" spans="1:11" x14ac:dyDescent="0.35">
      <c r="A942" t="s">
        <v>1301</v>
      </c>
      <c r="B942" t="s">
        <v>784</v>
      </c>
      <c r="C942" t="s">
        <v>90</v>
      </c>
      <c r="D942" t="s">
        <v>19</v>
      </c>
      <c r="E942" t="s">
        <v>243</v>
      </c>
      <c r="F942" t="s">
        <v>44</v>
      </c>
      <c r="G942" t="s">
        <v>50</v>
      </c>
      <c r="H942">
        <v>2</v>
      </c>
      <c r="I942">
        <v>129.83000000000001</v>
      </c>
      <c r="J942">
        <v>0</v>
      </c>
      <c r="K942">
        <v>259.66000000000003</v>
      </c>
    </row>
    <row r="943" spans="1:11" x14ac:dyDescent="0.35">
      <c r="A943" t="s">
        <v>1302</v>
      </c>
      <c r="B943" s="2">
        <v>45302</v>
      </c>
      <c r="C943" t="s">
        <v>24</v>
      </c>
      <c r="D943" t="s">
        <v>57</v>
      </c>
      <c r="E943" t="s">
        <v>472</v>
      </c>
      <c r="F943" t="s">
        <v>53</v>
      </c>
      <c r="G943" t="s">
        <v>125</v>
      </c>
      <c r="H943">
        <v>5</v>
      </c>
      <c r="I943">
        <v>209.9</v>
      </c>
      <c r="J943">
        <v>0</v>
      </c>
      <c r="K943">
        <v>1049.5</v>
      </c>
    </row>
    <row r="944" spans="1:11" x14ac:dyDescent="0.35">
      <c r="A944" t="s">
        <v>1303</v>
      </c>
      <c r="B944" s="1">
        <v>45383</v>
      </c>
      <c r="C944" t="s">
        <v>29</v>
      </c>
      <c r="D944" t="s">
        <v>19</v>
      </c>
      <c r="E944" t="s">
        <v>470</v>
      </c>
      <c r="F944" t="s">
        <v>21</v>
      </c>
      <c r="G944" t="s">
        <v>22</v>
      </c>
      <c r="H944">
        <v>7</v>
      </c>
      <c r="I944">
        <v>76.86</v>
      </c>
      <c r="J944">
        <v>0.05</v>
      </c>
      <c r="K944">
        <v>511.12</v>
      </c>
    </row>
    <row r="945" spans="1:11" x14ac:dyDescent="0.35">
      <c r="A945" t="s">
        <v>1304</v>
      </c>
      <c r="B945" s="1">
        <v>45485</v>
      </c>
      <c r="C945" t="s">
        <v>102</v>
      </c>
      <c r="D945" t="s">
        <v>42</v>
      </c>
      <c r="E945" t="s">
        <v>241</v>
      </c>
      <c r="F945" t="s">
        <v>44</v>
      </c>
      <c r="G945" t="s">
        <v>86</v>
      </c>
      <c r="H945">
        <v>2</v>
      </c>
      <c r="I945">
        <v>229.22</v>
      </c>
      <c r="J945">
        <v>0</v>
      </c>
      <c r="K945">
        <v>458.44</v>
      </c>
    </row>
    <row r="946" spans="1:11" x14ac:dyDescent="0.35">
      <c r="A946" t="s">
        <v>1305</v>
      </c>
      <c r="B946" s="1">
        <v>45434</v>
      </c>
      <c r="C946" t="s">
        <v>41</v>
      </c>
      <c r="D946" t="s">
        <v>13</v>
      </c>
      <c r="E946" t="s">
        <v>769</v>
      </c>
      <c r="F946" t="s">
        <v>21</v>
      </c>
      <c r="G946" t="s">
        <v>70</v>
      </c>
      <c r="H946">
        <v>7</v>
      </c>
      <c r="I946">
        <v>239.97</v>
      </c>
      <c r="J946">
        <v>0</v>
      </c>
      <c r="K946">
        <v>1679.79</v>
      </c>
    </row>
    <row r="947" spans="1:11" x14ac:dyDescent="0.35">
      <c r="A947" t="s">
        <v>1306</v>
      </c>
      <c r="B947" s="1">
        <v>45368</v>
      </c>
      <c r="C947" t="s">
        <v>41</v>
      </c>
      <c r="D947" t="s">
        <v>57</v>
      </c>
      <c r="E947" t="s">
        <v>445</v>
      </c>
      <c r="F947" t="s">
        <v>21</v>
      </c>
      <c r="G947" t="s">
        <v>194</v>
      </c>
      <c r="H947">
        <v>2</v>
      </c>
      <c r="I947">
        <v>48.15</v>
      </c>
      <c r="J947">
        <v>0</v>
      </c>
      <c r="K947">
        <v>96.3</v>
      </c>
    </row>
    <row r="948" spans="1:11" x14ac:dyDescent="0.35">
      <c r="A948" t="s">
        <v>1307</v>
      </c>
      <c r="B948" t="s">
        <v>1185</v>
      </c>
      <c r="C948" t="s">
        <v>29</v>
      </c>
      <c r="D948" t="s">
        <v>19</v>
      </c>
      <c r="E948" t="s">
        <v>348</v>
      </c>
      <c r="F948" t="s">
        <v>35</v>
      </c>
      <c r="G948" t="s">
        <v>83</v>
      </c>
      <c r="H948">
        <v>12</v>
      </c>
      <c r="I948">
        <v>244.09</v>
      </c>
      <c r="J948">
        <v>0.05</v>
      </c>
      <c r="K948">
        <v>2782.63</v>
      </c>
    </row>
    <row r="949" spans="1:11" x14ac:dyDescent="0.35">
      <c r="A949" t="s">
        <v>1308</v>
      </c>
      <c r="B949" s="1">
        <v>45359</v>
      </c>
      <c r="C949" t="s">
        <v>38</v>
      </c>
      <c r="D949" t="s">
        <v>13</v>
      </c>
      <c r="E949" t="s">
        <v>415</v>
      </c>
      <c r="F949" t="s">
        <v>35</v>
      </c>
      <c r="G949" t="s">
        <v>36</v>
      </c>
      <c r="H949">
        <v>6</v>
      </c>
      <c r="I949">
        <v>112.33</v>
      </c>
      <c r="J949">
        <v>0.15</v>
      </c>
      <c r="K949">
        <v>572.88</v>
      </c>
    </row>
    <row r="950" spans="1:11" x14ac:dyDescent="0.35">
      <c r="A950" t="s">
        <v>1309</v>
      </c>
      <c r="B950" s="1">
        <v>45338</v>
      </c>
      <c r="C950" t="s">
        <v>79</v>
      </c>
      <c r="D950" t="s">
        <v>42</v>
      </c>
      <c r="E950" t="s">
        <v>460</v>
      </c>
      <c r="F950" t="s">
        <v>44</v>
      </c>
      <c r="G950" t="s">
        <v>45</v>
      </c>
      <c r="H950">
        <v>4</v>
      </c>
      <c r="I950">
        <v>231.29</v>
      </c>
      <c r="J950">
        <v>0.1</v>
      </c>
      <c r="K950">
        <v>832.64</v>
      </c>
    </row>
    <row r="951" spans="1:11" x14ac:dyDescent="0.35">
      <c r="A951" t="s">
        <v>1310</v>
      </c>
      <c r="B951" s="2">
        <v>45384</v>
      </c>
      <c r="C951" t="s">
        <v>41</v>
      </c>
      <c r="D951" t="s">
        <v>19</v>
      </c>
      <c r="E951" t="s">
        <v>263</v>
      </c>
      <c r="F951" t="s">
        <v>21</v>
      </c>
      <c r="G951" t="s">
        <v>194</v>
      </c>
      <c r="H951">
        <v>8</v>
      </c>
      <c r="I951">
        <v>160.52000000000001</v>
      </c>
      <c r="J951">
        <v>0</v>
      </c>
      <c r="K951">
        <v>1284.1600000000001</v>
      </c>
    </row>
    <row r="952" spans="1:11" x14ac:dyDescent="0.35">
      <c r="A952" t="s">
        <v>1311</v>
      </c>
      <c r="B952" s="1">
        <v>45537</v>
      </c>
      <c r="C952" t="s">
        <v>90</v>
      </c>
      <c r="D952" t="s">
        <v>42</v>
      </c>
      <c r="E952" t="s">
        <v>457</v>
      </c>
      <c r="F952" t="s">
        <v>21</v>
      </c>
      <c r="G952" t="s">
        <v>129</v>
      </c>
      <c r="H952">
        <v>1</v>
      </c>
      <c r="I952">
        <v>32.29</v>
      </c>
      <c r="J952">
        <v>0.05</v>
      </c>
      <c r="K952">
        <v>30.68</v>
      </c>
    </row>
    <row r="953" spans="1:11" x14ac:dyDescent="0.35">
      <c r="A953" t="s">
        <v>1312</v>
      </c>
      <c r="B953" s="2">
        <v>45482</v>
      </c>
      <c r="C953" t="s">
        <v>24</v>
      </c>
      <c r="D953" t="s">
        <v>13</v>
      </c>
      <c r="E953" t="s">
        <v>346</v>
      </c>
      <c r="F953" t="s">
        <v>15</v>
      </c>
      <c r="G953" t="s">
        <v>16</v>
      </c>
      <c r="H953">
        <v>5</v>
      </c>
      <c r="I953">
        <v>208.22</v>
      </c>
      <c r="J953">
        <v>0</v>
      </c>
      <c r="K953">
        <v>1041.0999999999999</v>
      </c>
    </row>
    <row r="954" spans="1:11" x14ac:dyDescent="0.35">
      <c r="A954" t="s">
        <v>1313</v>
      </c>
      <c r="B954" s="2">
        <v>45424</v>
      </c>
      <c r="C954" t="s">
        <v>90</v>
      </c>
      <c r="D954" t="s">
        <v>19</v>
      </c>
      <c r="E954" t="s">
        <v>43</v>
      </c>
      <c r="F954" t="s">
        <v>15</v>
      </c>
      <c r="G954" t="s">
        <v>74</v>
      </c>
      <c r="H954">
        <v>12</v>
      </c>
      <c r="I954">
        <v>104.13</v>
      </c>
      <c r="J954">
        <v>0</v>
      </c>
      <c r="K954">
        <v>1249.56</v>
      </c>
    </row>
    <row r="955" spans="1:11" x14ac:dyDescent="0.35">
      <c r="A955" t="s">
        <v>1314</v>
      </c>
      <c r="B955" s="2">
        <v>45615</v>
      </c>
      <c r="C955" t="s">
        <v>48</v>
      </c>
      <c r="D955" t="s">
        <v>57</v>
      </c>
      <c r="E955" t="s">
        <v>30</v>
      </c>
      <c r="F955" t="s">
        <v>35</v>
      </c>
      <c r="G955" t="s">
        <v>36</v>
      </c>
      <c r="H955">
        <v>3</v>
      </c>
      <c r="I955">
        <v>185.15</v>
      </c>
      <c r="J955">
        <v>0</v>
      </c>
      <c r="K955">
        <v>555.45000000000005</v>
      </c>
    </row>
    <row r="956" spans="1:11" x14ac:dyDescent="0.35">
      <c r="A956" t="s">
        <v>1315</v>
      </c>
      <c r="B956" s="1">
        <v>45537</v>
      </c>
      <c r="C956" t="s">
        <v>79</v>
      </c>
      <c r="D956" t="s">
        <v>42</v>
      </c>
      <c r="E956" t="s">
        <v>317</v>
      </c>
      <c r="F956" t="s">
        <v>44</v>
      </c>
      <c r="G956" t="s">
        <v>86</v>
      </c>
      <c r="H956">
        <v>4</v>
      </c>
      <c r="I956">
        <v>115.85</v>
      </c>
      <c r="J956">
        <v>0</v>
      </c>
      <c r="K956">
        <v>463.4</v>
      </c>
    </row>
    <row r="957" spans="1:11" x14ac:dyDescent="0.35">
      <c r="A957" t="s">
        <v>1316</v>
      </c>
      <c r="B957" s="2">
        <v>45563</v>
      </c>
      <c r="C957" t="s">
        <v>29</v>
      </c>
      <c r="D957" t="s">
        <v>13</v>
      </c>
      <c r="E957" t="s">
        <v>291</v>
      </c>
      <c r="F957" t="s">
        <v>15</v>
      </c>
      <c r="G957" t="s">
        <v>147</v>
      </c>
      <c r="H957">
        <v>3</v>
      </c>
      <c r="I957">
        <v>143.65</v>
      </c>
      <c r="J957">
        <v>0</v>
      </c>
      <c r="K957">
        <v>430.95</v>
      </c>
    </row>
    <row r="958" spans="1:11" x14ac:dyDescent="0.35">
      <c r="A958" t="s">
        <v>1317</v>
      </c>
      <c r="B958" s="1">
        <v>45539</v>
      </c>
      <c r="C958" t="s">
        <v>29</v>
      </c>
      <c r="D958" t="s">
        <v>19</v>
      </c>
      <c r="E958" t="s">
        <v>842</v>
      </c>
      <c r="F958" t="s">
        <v>21</v>
      </c>
      <c r="G958" t="s">
        <v>70</v>
      </c>
      <c r="H958">
        <v>1</v>
      </c>
      <c r="I958">
        <v>69.86</v>
      </c>
      <c r="J958">
        <v>0.15</v>
      </c>
      <c r="K958">
        <v>59.38</v>
      </c>
    </row>
    <row r="959" spans="1:11" x14ac:dyDescent="0.35">
      <c r="A959" t="s">
        <v>1318</v>
      </c>
      <c r="B959" s="2">
        <v>45413</v>
      </c>
      <c r="C959" t="s">
        <v>41</v>
      </c>
      <c r="D959" t="s">
        <v>19</v>
      </c>
      <c r="E959" t="s">
        <v>521</v>
      </c>
      <c r="F959" t="s">
        <v>21</v>
      </c>
      <c r="G959" t="s">
        <v>167</v>
      </c>
      <c r="H959">
        <v>10</v>
      </c>
      <c r="I959">
        <v>190.53</v>
      </c>
      <c r="J959">
        <v>0</v>
      </c>
      <c r="K959">
        <v>1905.3</v>
      </c>
    </row>
    <row r="960" spans="1:11" x14ac:dyDescent="0.35">
      <c r="A960" t="s">
        <v>1319</v>
      </c>
      <c r="B960" s="1">
        <v>45587</v>
      </c>
      <c r="C960" t="s">
        <v>24</v>
      </c>
      <c r="D960" t="s">
        <v>19</v>
      </c>
      <c r="E960" t="s">
        <v>477</v>
      </c>
      <c r="F960" t="s">
        <v>15</v>
      </c>
      <c r="G960" t="s">
        <v>16</v>
      </c>
      <c r="H960">
        <v>3</v>
      </c>
      <c r="I960">
        <v>176.09</v>
      </c>
      <c r="J960">
        <v>0</v>
      </c>
      <c r="K960">
        <v>528.27</v>
      </c>
    </row>
    <row r="961" spans="1:11" x14ac:dyDescent="0.35">
      <c r="A961" t="s">
        <v>1320</v>
      </c>
      <c r="B961" t="s">
        <v>1321</v>
      </c>
      <c r="C961" t="s">
        <v>41</v>
      </c>
      <c r="D961" t="s">
        <v>57</v>
      </c>
      <c r="E961" t="s">
        <v>595</v>
      </c>
      <c r="F961" t="s">
        <v>44</v>
      </c>
      <c r="G961" t="s">
        <v>86</v>
      </c>
      <c r="H961">
        <v>4</v>
      </c>
      <c r="I961">
        <v>211.42</v>
      </c>
      <c r="J961">
        <v>0</v>
      </c>
      <c r="K961">
        <v>845.68</v>
      </c>
    </row>
    <row r="962" spans="1:11" x14ac:dyDescent="0.35">
      <c r="A962" t="s">
        <v>1322</v>
      </c>
      <c r="B962" s="2">
        <v>45438</v>
      </c>
      <c r="C962" t="s">
        <v>72</v>
      </c>
      <c r="D962" t="s">
        <v>13</v>
      </c>
      <c r="E962" t="s">
        <v>385</v>
      </c>
      <c r="F962" t="s">
        <v>53</v>
      </c>
      <c r="G962" t="s">
        <v>260</v>
      </c>
      <c r="H962">
        <v>10</v>
      </c>
      <c r="I962">
        <v>73.64</v>
      </c>
      <c r="J962">
        <v>0</v>
      </c>
      <c r="K962">
        <v>736.4</v>
      </c>
    </row>
    <row r="963" spans="1:11" x14ac:dyDescent="0.35">
      <c r="A963" t="s">
        <v>1323</v>
      </c>
      <c r="B963" s="1">
        <v>45326</v>
      </c>
      <c r="C963" t="s">
        <v>56</v>
      </c>
      <c r="D963" t="s">
        <v>57</v>
      </c>
      <c r="E963" t="s">
        <v>77</v>
      </c>
      <c r="F963" t="s">
        <v>53</v>
      </c>
      <c r="G963" t="s">
        <v>54</v>
      </c>
      <c r="H963">
        <v>2</v>
      </c>
      <c r="I963">
        <v>42.49</v>
      </c>
      <c r="J963">
        <v>0.1</v>
      </c>
      <c r="K963">
        <v>76.48</v>
      </c>
    </row>
    <row r="964" spans="1:11" x14ac:dyDescent="0.35">
      <c r="A964" t="s">
        <v>1324</v>
      </c>
      <c r="B964" s="2">
        <v>45511</v>
      </c>
      <c r="C964" t="s">
        <v>24</v>
      </c>
      <c r="D964" t="s">
        <v>13</v>
      </c>
      <c r="E964" t="s">
        <v>248</v>
      </c>
      <c r="F964" t="s">
        <v>21</v>
      </c>
      <c r="G964" t="s">
        <v>70</v>
      </c>
      <c r="H964">
        <v>8</v>
      </c>
      <c r="I964">
        <v>229.91</v>
      </c>
      <c r="J964">
        <v>0.1</v>
      </c>
      <c r="K964">
        <v>1655.35</v>
      </c>
    </row>
    <row r="965" spans="1:11" x14ac:dyDescent="0.35">
      <c r="A965" t="s">
        <v>1325</v>
      </c>
      <c r="B965" t="s">
        <v>1326</v>
      </c>
      <c r="C965" t="s">
        <v>41</v>
      </c>
      <c r="D965" t="s">
        <v>19</v>
      </c>
      <c r="E965" t="s">
        <v>867</v>
      </c>
      <c r="F965" t="s">
        <v>53</v>
      </c>
      <c r="G965" t="s">
        <v>104</v>
      </c>
      <c r="H965">
        <v>12</v>
      </c>
      <c r="I965">
        <v>181.43</v>
      </c>
      <c r="J965">
        <v>0.15</v>
      </c>
      <c r="K965">
        <v>1850.59</v>
      </c>
    </row>
    <row r="966" spans="1:11" x14ac:dyDescent="0.35">
      <c r="A966" t="s">
        <v>1327</v>
      </c>
      <c r="B966" s="2">
        <v>45576</v>
      </c>
      <c r="C966" t="s">
        <v>72</v>
      </c>
      <c r="D966" t="s">
        <v>57</v>
      </c>
      <c r="E966" t="s">
        <v>679</v>
      </c>
      <c r="F966" t="s">
        <v>53</v>
      </c>
      <c r="G966" t="s">
        <v>125</v>
      </c>
      <c r="H966">
        <v>2</v>
      </c>
      <c r="I966">
        <v>201.13</v>
      </c>
      <c r="J966">
        <v>0</v>
      </c>
      <c r="K966">
        <v>402.26</v>
      </c>
    </row>
    <row r="967" spans="1:11" x14ac:dyDescent="0.35">
      <c r="A967" t="s">
        <v>1328</v>
      </c>
      <c r="B967" s="1">
        <v>45439</v>
      </c>
      <c r="C967" t="s">
        <v>18</v>
      </c>
      <c r="D967" t="s">
        <v>25</v>
      </c>
      <c r="E967" t="s">
        <v>124</v>
      </c>
      <c r="F967" t="s">
        <v>44</v>
      </c>
      <c r="G967" t="s">
        <v>45</v>
      </c>
      <c r="H967">
        <v>8</v>
      </c>
      <c r="I967">
        <v>99.66</v>
      </c>
      <c r="J967">
        <v>0.1</v>
      </c>
      <c r="K967">
        <v>717.55</v>
      </c>
    </row>
    <row r="968" spans="1:11" x14ac:dyDescent="0.35">
      <c r="A968" t="s">
        <v>1329</v>
      </c>
      <c r="B968" s="1">
        <v>45614</v>
      </c>
      <c r="C968" t="s">
        <v>41</v>
      </c>
      <c r="D968" t="s">
        <v>25</v>
      </c>
      <c r="E968" t="s">
        <v>272</v>
      </c>
      <c r="F968" t="s">
        <v>15</v>
      </c>
      <c r="G968" t="s">
        <v>111</v>
      </c>
      <c r="H968">
        <v>12</v>
      </c>
      <c r="I968">
        <v>138.94</v>
      </c>
      <c r="J968">
        <v>0</v>
      </c>
      <c r="K968">
        <v>1667.28</v>
      </c>
    </row>
    <row r="969" spans="1:11" x14ac:dyDescent="0.35">
      <c r="A969" t="s">
        <v>1330</v>
      </c>
      <c r="B969" s="2">
        <v>45544</v>
      </c>
      <c r="C969" t="s">
        <v>56</v>
      </c>
      <c r="D969" t="s">
        <v>57</v>
      </c>
      <c r="E969" t="s">
        <v>73</v>
      </c>
      <c r="F969" t="s">
        <v>15</v>
      </c>
      <c r="G969" t="s">
        <v>27</v>
      </c>
      <c r="H969">
        <v>9</v>
      </c>
      <c r="I969">
        <v>138.55000000000001</v>
      </c>
      <c r="J969">
        <v>0.05</v>
      </c>
      <c r="K969">
        <v>1184.5999999999999</v>
      </c>
    </row>
    <row r="970" spans="1:11" x14ac:dyDescent="0.35">
      <c r="A970" t="s">
        <v>1331</v>
      </c>
      <c r="B970" s="1">
        <v>45445</v>
      </c>
      <c r="C970" t="s">
        <v>29</v>
      </c>
      <c r="D970" t="s">
        <v>13</v>
      </c>
      <c r="E970" t="s">
        <v>69</v>
      </c>
      <c r="F970" t="s">
        <v>35</v>
      </c>
      <c r="G970" t="s">
        <v>177</v>
      </c>
      <c r="H970">
        <v>11</v>
      </c>
      <c r="I970">
        <v>165.17</v>
      </c>
      <c r="J970">
        <v>0</v>
      </c>
      <c r="K970">
        <v>1816.87</v>
      </c>
    </row>
    <row r="971" spans="1:11" x14ac:dyDescent="0.35">
      <c r="A971" t="s">
        <v>1332</v>
      </c>
      <c r="B971" s="1">
        <v>45508</v>
      </c>
      <c r="C971" t="s">
        <v>41</v>
      </c>
      <c r="D971" t="s">
        <v>13</v>
      </c>
      <c r="E971" t="s">
        <v>26</v>
      </c>
      <c r="F971" t="s">
        <v>53</v>
      </c>
      <c r="G971" t="s">
        <v>54</v>
      </c>
      <c r="H971">
        <v>2</v>
      </c>
      <c r="I971">
        <v>15.46</v>
      </c>
      <c r="J971">
        <v>0.15</v>
      </c>
      <c r="K971">
        <v>26.28</v>
      </c>
    </row>
    <row r="972" spans="1:11" x14ac:dyDescent="0.35">
      <c r="A972" t="s">
        <v>1333</v>
      </c>
      <c r="B972" s="1">
        <v>45637</v>
      </c>
      <c r="C972" t="s">
        <v>24</v>
      </c>
      <c r="D972" t="s">
        <v>57</v>
      </c>
      <c r="E972" t="s">
        <v>542</v>
      </c>
      <c r="F972" t="s">
        <v>53</v>
      </c>
      <c r="G972" t="s">
        <v>125</v>
      </c>
      <c r="H972">
        <v>2</v>
      </c>
      <c r="I972">
        <v>231.95</v>
      </c>
      <c r="J972">
        <v>0.05</v>
      </c>
      <c r="K972">
        <v>440.7</v>
      </c>
    </row>
    <row r="973" spans="1:11" x14ac:dyDescent="0.35">
      <c r="A973" t="s">
        <v>1334</v>
      </c>
      <c r="B973" s="1">
        <v>45296</v>
      </c>
      <c r="C973" t="s">
        <v>24</v>
      </c>
      <c r="D973" t="s">
        <v>13</v>
      </c>
      <c r="F973" t="s">
        <v>15</v>
      </c>
      <c r="G973" t="s">
        <v>74</v>
      </c>
      <c r="H973">
        <v>6</v>
      </c>
      <c r="I973">
        <v>84.65</v>
      </c>
      <c r="J973">
        <v>0.15</v>
      </c>
      <c r="K973">
        <v>431.72</v>
      </c>
    </row>
    <row r="974" spans="1:11" x14ac:dyDescent="0.35">
      <c r="A974" t="s">
        <v>1335</v>
      </c>
      <c r="B974" s="1">
        <v>45385</v>
      </c>
      <c r="C974" t="s">
        <v>48</v>
      </c>
      <c r="D974" t="s">
        <v>42</v>
      </c>
      <c r="E974" t="s">
        <v>433</v>
      </c>
      <c r="F974" t="s">
        <v>35</v>
      </c>
      <c r="G974" t="s">
        <v>134</v>
      </c>
      <c r="H974">
        <v>8</v>
      </c>
      <c r="I974">
        <v>31.63</v>
      </c>
      <c r="J974">
        <v>0.15</v>
      </c>
      <c r="K974">
        <v>215.08</v>
      </c>
    </row>
    <row r="975" spans="1:11" x14ac:dyDescent="0.35">
      <c r="A975" t="s">
        <v>1336</v>
      </c>
      <c r="B975" s="1">
        <v>45508</v>
      </c>
      <c r="C975" t="s">
        <v>29</v>
      </c>
      <c r="D975" t="s">
        <v>25</v>
      </c>
      <c r="E975" t="s">
        <v>339</v>
      </c>
      <c r="F975" t="s">
        <v>21</v>
      </c>
      <c r="G975" t="s">
        <v>167</v>
      </c>
      <c r="H975">
        <v>1</v>
      </c>
      <c r="I975">
        <v>91.88</v>
      </c>
      <c r="J975">
        <v>0.05</v>
      </c>
      <c r="K975">
        <v>87.29</v>
      </c>
    </row>
    <row r="976" spans="1:11" x14ac:dyDescent="0.35">
      <c r="A976" t="s">
        <v>1337</v>
      </c>
      <c r="B976" s="2">
        <v>45614</v>
      </c>
      <c r="C976" t="s">
        <v>41</v>
      </c>
      <c r="D976" t="s">
        <v>42</v>
      </c>
      <c r="E976" t="s">
        <v>30</v>
      </c>
      <c r="F976" t="s">
        <v>53</v>
      </c>
      <c r="G976" t="s">
        <v>260</v>
      </c>
      <c r="H976">
        <v>7</v>
      </c>
      <c r="I976">
        <v>186.47</v>
      </c>
      <c r="J976">
        <v>0</v>
      </c>
      <c r="K976">
        <v>1305.29</v>
      </c>
    </row>
    <row r="977" spans="1:11" x14ac:dyDescent="0.35">
      <c r="A977" t="s">
        <v>1338</v>
      </c>
      <c r="B977" s="1">
        <v>45495</v>
      </c>
      <c r="C977" t="s">
        <v>65</v>
      </c>
      <c r="D977" t="s">
        <v>13</v>
      </c>
      <c r="E977" t="s">
        <v>160</v>
      </c>
      <c r="F977" t="s">
        <v>44</v>
      </c>
      <c r="G977" t="s">
        <v>94</v>
      </c>
      <c r="H977">
        <v>3</v>
      </c>
      <c r="I977">
        <v>6.57</v>
      </c>
      <c r="J977">
        <v>0.05</v>
      </c>
      <c r="K977">
        <v>18.72</v>
      </c>
    </row>
    <row r="978" spans="1:11" x14ac:dyDescent="0.35">
      <c r="A978" t="s">
        <v>1339</v>
      </c>
      <c r="B978" s="1">
        <v>45417</v>
      </c>
      <c r="C978" t="s">
        <v>18</v>
      </c>
      <c r="D978" t="s">
        <v>57</v>
      </c>
      <c r="E978" t="s">
        <v>201</v>
      </c>
      <c r="F978" t="s">
        <v>35</v>
      </c>
      <c r="G978" t="s">
        <v>134</v>
      </c>
      <c r="H978">
        <v>12</v>
      </c>
      <c r="I978">
        <v>116.4</v>
      </c>
      <c r="J978">
        <v>0</v>
      </c>
      <c r="K978">
        <v>1396.8</v>
      </c>
    </row>
    <row r="979" spans="1:11" x14ac:dyDescent="0.35">
      <c r="A979" t="s">
        <v>1340</v>
      </c>
      <c r="B979" s="1">
        <v>45390</v>
      </c>
      <c r="C979" t="s">
        <v>38</v>
      </c>
      <c r="D979" t="s">
        <v>57</v>
      </c>
      <c r="E979" t="s">
        <v>881</v>
      </c>
      <c r="F979" t="s">
        <v>35</v>
      </c>
      <c r="G979" t="s">
        <v>36</v>
      </c>
      <c r="H979">
        <v>4</v>
      </c>
      <c r="I979">
        <v>122.04</v>
      </c>
      <c r="J979">
        <v>0.05</v>
      </c>
      <c r="K979">
        <v>463.75</v>
      </c>
    </row>
    <row r="980" spans="1:11" x14ac:dyDescent="0.35">
      <c r="A980" t="s">
        <v>1341</v>
      </c>
      <c r="B980" s="1">
        <v>45409</v>
      </c>
      <c r="C980" t="s">
        <v>102</v>
      </c>
      <c r="D980" t="s">
        <v>57</v>
      </c>
      <c r="E980" t="s">
        <v>302</v>
      </c>
      <c r="F980" t="s">
        <v>15</v>
      </c>
      <c r="G980" t="s">
        <v>111</v>
      </c>
      <c r="H980">
        <v>7</v>
      </c>
      <c r="I980">
        <v>202.24</v>
      </c>
      <c r="J980">
        <v>0</v>
      </c>
      <c r="K980">
        <v>1415.68</v>
      </c>
    </row>
    <row r="981" spans="1:11" x14ac:dyDescent="0.35">
      <c r="A981" t="s">
        <v>1342</v>
      </c>
      <c r="B981" s="1">
        <v>45373</v>
      </c>
      <c r="C981" t="s">
        <v>29</v>
      </c>
      <c r="D981" t="s">
        <v>19</v>
      </c>
      <c r="E981" t="s">
        <v>590</v>
      </c>
      <c r="F981" t="s">
        <v>44</v>
      </c>
      <c r="G981" t="s">
        <v>107</v>
      </c>
      <c r="H981">
        <v>11</v>
      </c>
      <c r="I981">
        <v>171.7</v>
      </c>
      <c r="J981">
        <v>0.15</v>
      </c>
      <c r="K981">
        <v>1605.39</v>
      </c>
    </row>
    <row r="982" spans="1:11" x14ac:dyDescent="0.35">
      <c r="A982" t="s">
        <v>1343</v>
      </c>
      <c r="B982" s="1">
        <v>45293</v>
      </c>
      <c r="C982" t="s">
        <v>38</v>
      </c>
      <c r="D982" t="s">
        <v>19</v>
      </c>
      <c r="E982" t="s">
        <v>521</v>
      </c>
      <c r="F982" t="s">
        <v>21</v>
      </c>
      <c r="G982" t="s">
        <v>70</v>
      </c>
      <c r="H982">
        <v>9</v>
      </c>
      <c r="I982">
        <v>133.26</v>
      </c>
      <c r="J982">
        <v>0</v>
      </c>
      <c r="K982">
        <v>1199.3399999999999</v>
      </c>
    </row>
    <row r="983" spans="1:11" x14ac:dyDescent="0.35">
      <c r="A983" t="s">
        <v>1344</v>
      </c>
      <c r="B983" s="1">
        <v>45637</v>
      </c>
      <c r="C983" t="s">
        <v>12</v>
      </c>
      <c r="D983" t="s">
        <v>25</v>
      </c>
      <c r="E983" t="s">
        <v>477</v>
      </c>
      <c r="F983" t="s">
        <v>21</v>
      </c>
      <c r="G983" t="s">
        <v>167</v>
      </c>
      <c r="H983">
        <v>9</v>
      </c>
      <c r="I983">
        <v>65.349999999999994</v>
      </c>
      <c r="J983">
        <v>0.15</v>
      </c>
      <c r="K983">
        <v>499.93</v>
      </c>
    </row>
    <row r="984" spans="1:11" x14ac:dyDescent="0.35">
      <c r="A984" t="s">
        <v>1345</v>
      </c>
      <c r="B984" s="1">
        <v>45330</v>
      </c>
      <c r="C984" t="s">
        <v>56</v>
      </c>
      <c r="D984" t="s">
        <v>25</v>
      </c>
      <c r="E984" t="s">
        <v>131</v>
      </c>
      <c r="F984" t="s">
        <v>35</v>
      </c>
      <c r="G984" t="s">
        <v>134</v>
      </c>
      <c r="H984">
        <v>10</v>
      </c>
      <c r="I984">
        <v>205.14</v>
      </c>
      <c r="J984">
        <v>0</v>
      </c>
      <c r="K984">
        <v>2051.4</v>
      </c>
    </row>
    <row r="985" spans="1:11" x14ac:dyDescent="0.35">
      <c r="A985" t="s">
        <v>1346</v>
      </c>
      <c r="B985" s="1">
        <v>45469</v>
      </c>
      <c r="C985" t="s">
        <v>41</v>
      </c>
      <c r="D985" t="s">
        <v>13</v>
      </c>
      <c r="E985" t="s">
        <v>82</v>
      </c>
      <c r="F985" t="s">
        <v>15</v>
      </c>
      <c r="G985" t="s">
        <v>74</v>
      </c>
      <c r="H985">
        <v>5</v>
      </c>
      <c r="I985">
        <v>212.25</v>
      </c>
      <c r="J985">
        <v>0</v>
      </c>
      <c r="K985">
        <v>1061.25</v>
      </c>
    </row>
    <row r="986" spans="1:11" x14ac:dyDescent="0.35">
      <c r="A986" t="s">
        <v>1347</v>
      </c>
      <c r="B986" t="s">
        <v>1348</v>
      </c>
      <c r="C986" t="s">
        <v>33</v>
      </c>
      <c r="D986" t="s">
        <v>42</v>
      </c>
      <c r="E986" t="s">
        <v>902</v>
      </c>
      <c r="F986" t="s">
        <v>15</v>
      </c>
      <c r="G986" t="s">
        <v>27</v>
      </c>
      <c r="H986">
        <v>12</v>
      </c>
      <c r="I986">
        <v>184.13</v>
      </c>
      <c r="J986">
        <v>0.1</v>
      </c>
      <c r="K986">
        <v>1988.6</v>
      </c>
    </row>
    <row r="987" spans="1:11" x14ac:dyDescent="0.35">
      <c r="A987" t="s">
        <v>1349</v>
      </c>
      <c r="B987" s="1">
        <v>45637</v>
      </c>
      <c r="C987" t="s">
        <v>41</v>
      </c>
      <c r="D987" t="s">
        <v>25</v>
      </c>
      <c r="E987" t="s">
        <v>683</v>
      </c>
      <c r="F987" t="s">
        <v>53</v>
      </c>
      <c r="G987" t="s">
        <v>104</v>
      </c>
      <c r="H987">
        <v>2</v>
      </c>
      <c r="I987">
        <v>222.55</v>
      </c>
      <c r="J987">
        <v>0.05</v>
      </c>
      <c r="K987">
        <v>422.85</v>
      </c>
    </row>
    <row r="988" spans="1:11" x14ac:dyDescent="0.35">
      <c r="A988" t="s">
        <v>1350</v>
      </c>
      <c r="B988" s="1">
        <v>45606</v>
      </c>
      <c r="C988" t="s">
        <v>24</v>
      </c>
      <c r="D988" t="s">
        <v>42</v>
      </c>
      <c r="E988" t="s">
        <v>193</v>
      </c>
      <c r="F988" t="s">
        <v>35</v>
      </c>
      <c r="G988" t="s">
        <v>83</v>
      </c>
      <c r="H988">
        <v>8</v>
      </c>
      <c r="I988">
        <v>194.24</v>
      </c>
      <c r="J988">
        <v>0</v>
      </c>
      <c r="K988">
        <v>1553.92</v>
      </c>
    </row>
    <row r="989" spans="1:11" x14ac:dyDescent="0.35">
      <c r="A989" t="s">
        <v>1351</v>
      </c>
      <c r="B989" s="1">
        <v>45418</v>
      </c>
      <c r="C989" t="s">
        <v>79</v>
      </c>
      <c r="D989" t="s">
        <v>19</v>
      </c>
      <c r="E989" t="s">
        <v>454</v>
      </c>
      <c r="F989" t="s">
        <v>35</v>
      </c>
      <c r="G989" t="s">
        <v>67</v>
      </c>
      <c r="H989">
        <v>5</v>
      </c>
      <c r="I989">
        <v>144.91</v>
      </c>
      <c r="J989">
        <v>0</v>
      </c>
      <c r="K989">
        <v>724.55</v>
      </c>
    </row>
    <row r="990" spans="1:11" x14ac:dyDescent="0.35">
      <c r="A990" t="s">
        <v>1352</v>
      </c>
      <c r="B990" s="1">
        <v>45605</v>
      </c>
      <c r="C990" t="s">
        <v>29</v>
      </c>
      <c r="D990" t="s">
        <v>42</v>
      </c>
      <c r="E990" t="s">
        <v>542</v>
      </c>
      <c r="F990" t="s">
        <v>21</v>
      </c>
      <c r="G990" t="s">
        <v>22</v>
      </c>
      <c r="H990">
        <v>9</v>
      </c>
      <c r="I990">
        <v>151.78</v>
      </c>
      <c r="J990">
        <v>0</v>
      </c>
      <c r="K990">
        <v>1366.02</v>
      </c>
    </row>
    <row r="991" spans="1:11" x14ac:dyDescent="0.35">
      <c r="A991" t="s">
        <v>1353</v>
      </c>
      <c r="B991" s="1">
        <v>45577</v>
      </c>
      <c r="C991" t="s">
        <v>90</v>
      </c>
      <c r="D991" t="s">
        <v>42</v>
      </c>
      <c r="E991" t="s">
        <v>183</v>
      </c>
      <c r="F991" t="s">
        <v>44</v>
      </c>
      <c r="G991" t="s">
        <v>94</v>
      </c>
      <c r="H991">
        <v>6</v>
      </c>
      <c r="I991">
        <v>89.02</v>
      </c>
      <c r="J991">
        <v>0</v>
      </c>
      <c r="K991">
        <v>534.12</v>
      </c>
    </row>
    <row r="992" spans="1:11" x14ac:dyDescent="0.35">
      <c r="A992" t="s">
        <v>1354</v>
      </c>
      <c r="B992" s="1">
        <v>45361</v>
      </c>
      <c r="C992" t="s">
        <v>56</v>
      </c>
      <c r="D992" t="s">
        <v>13</v>
      </c>
      <c r="E992" t="s">
        <v>115</v>
      </c>
      <c r="F992" t="s">
        <v>15</v>
      </c>
      <c r="G992" t="s">
        <v>27</v>
      </c>
      <c r="H992">
        <v>8</v>
      </c>
      <c r="I992">
        <v>212.67</v>
      </c>
      <c r="J992">
        <v>0</v>
      </c>
      <c r="K992">
        <v>1701.36</v>
      </c>
    </row>
    <row r="993" spans="1:11" x14ac:dyDescent="0.35">
      <c r="A993" t="s">
        <v>1355</v>
      </c>
      <c r="B993" s="2">
        <v>45417</v>
      </c>
      <c r="C993" t="s">
        <v>24</v>
      </c>
      <c r="D993" t="s">
        <v>25</v>
      </c>
      <c r="F993" t="s">
        <v>21</v>
      </c>
      <c r="G993" t="s">
        <v>129</v>
      </c>
      <c r="H993">
        <v>11</v>
      </c>
      <c r="I993">
        <v>193.75</v>
      </c>
      <c r="J993">
        <v>0</v>
      </c>
      <c r="K993">
        <v>2131.25</v>
      </c>
    </row>
    <row r="994" spans="1:11" x14ac:dyDescent="0.35">
      <c r="A994" t="s">
        <v>1356</v>
      </c>
      <c r="B994" s="1">
        <v>45445</v>
      </c>
      <c r="C994" t="s">
        <v>65</v>
      </c>
      <c r="D994" t="s">
        <v>25</v>
      </c>
      <c r="E994" t="s">
        <v>881</v>
      </c>
      <c r="F994" t="s">
        <v>53</v>
      </c>
      <c r="G994" t="s">
        <v>63</v>
      </c>
      <c r="H994">
        <v>8</v>
      </c>
      <c r="I994">
        <v>147.77000000000001</v>
      </c>
      <c r="J994">
        <v>0.15</v>
      </c>
      <c r="K994">
        <v>1004.84</v>
      </c>
    </row>
    <row r="995" spans="1:11" x14ac:dyDescent="0.35">
      <c r="A995" t="s">
        <v>1357</v>
      </c>
      <c r="B995" s="1">
        <v>45534</v>
      </c>
      <c r="C995" t="s">
        <v>24</v>
      </c>
      <c r="D995" t="s">
        <v>57</v>
      </c>
      <c r="E995" t="s">
        <v>180</v>
      </c>
      <c r="F995" t="s">
        <v>35</v>
      </c>
      <c r="G995" t="s">
        <v>36</v>
      </c>
      <c r="H995">
        <v>12</v>
      </c>
      <c r="I995">
        <v>108.51</v>
      </c>
      <c r="J995">
        <v>0</v>
      </c>
      <c r="K995">
        <v>1302.1199999999999</v>
      </c>
    </row>
    <row r="996" spans="1:11" x14ac:dyDescent="0.35">
      <c r="A996" t="s">
        <v>1358</v>
      </c>
      <c r="B996" s="2">
        <v>45339</v>
      </c>
      <c r="C996" t="s">
        <v>90</v>
      </c>
      <c r="D996" t="s">
        <v>13</v>
      </c>
      <c r="E996" t="s">
        <v>52</v>
      </c>
      <c r="F996" t="s">
        <v>21</v>
      </c>
      <c r="G996" t="s">
        <v>167</v>
      </c>
      <c r="H996">
        <v>8</v>
      </c>
      <c r="I996">
        <v>128.97</v>
      </c>
      <c r="J996">
        <v>0.1</v>
      </c>
      <c r="K996">
        <v>928.58</v>
      </c>
    </row>
    <row r="997" spans="1:11" x14ac:dyDescent="0.35">
      <c r="A997" t="s">
        <v>1359</v>
      </c>
      <c r="B997" s="1">
        <v>45537</v>
      </c>
      <c r="C997" t="s">
        <v>102</v>
      </c>
      <c r="D997" t="s">
        <v>19</v>
      </c>
      <c r="E997" t="s">
        <v>155</v>
      </c>
      <c r="F997" t="s">
        <v>15</v>
      </c>
      <c r="G997" t="s">
        <v>74</v>
      </c>
      <c r="H997">
        <v>12</v>
      </c>
      <c r="I997">
        <v>83.81</v>
      </c>
      <c r="J997">
        <v>0</v>
      </c>
      <c r="K997">
        <v>1005.72</v>
      </c>
    </row>
    <row r="998" spans="1:11" x14ac:dyDescent="0.35">
      <c r="A998" t="s">
        <v>1360</v>
      </c>
      <c r="B998" s="2">
        <v>45598</v>
      </c>
      <c r="C998" t="s">
        <v>90</v>
      </c>
      <c r="D998" t="s">
        <v>19</v>
      </c>
      <c r="E998" t="s">
        <v>429</v>
      </c>
      <c r="F998" t="s">
        <v>53</v>
      </c>
      <c r="G998" t="s">
        <v>260</v>
      </c>
      <c r="H998">
        <v>2</v>
      </c>
      <c r="I998">
        <v>245.86</v>
      </c>
      <c r="J998">
        <v>0.15</v>
      </c>
      <c r="K998">
        <v>417.96</v>
      </c>
    </row>
    <row r="999" spans="1:11" x14ac:dyDescent="0.35">
      <c r="A999" t="s">
        <v>1361</v>
      </c>
      <c r="B999" s="1">
        <v>45460</v>
      </c>
      <c r="C999" t="s">
        <v>24</v>
      </c>
      <c r="D999" t="s">
        <v>25</v>
      </c>
      <c r="E999" t="s">
        <v>204</v>
      </c>
      <c r="F999" t="s">
        <v>15</v>
      </c>
      <c r="G999" t="s">
        <v>147</v>
      </c>
      <c r="H999">
        <v>3</v>
      </c>
      <c r="I999">
        <v>228.93</v>
      </c>
      <c r="J999">
        <v>0.15</v>
      </c>
      <c r="K999">
        <v>583.77</v>
      </c>
    </row>
    <row r="1000" spans="1:11" x14ac:dyDescent="0.35">
      <c r="A1000" t="s">
        <v>1362</v>
      </c>
      <c r="B1000" s="1">
        <v>45542</v>
      </c>
      <c r="C1000" t="s">
        <v>38</v>
      </c>
      <c r="D1000" t="s">
        <v>42</v>
      </c>
      <c r="E1000" t="s">
        <v>317</v>
      </c>
      <c r="F1000" t="s">
        <v>15</v>
      </c>
      <c r="G1000" t="s">
        <v>74</v>
      </c>
      <c r="H1000">
        <v>9</v>
      </c>
      <c r="I1000">
        <v>172.92</v>
      </c>
      <c r="J1000">
        <v>0.05</v>
      </c>
      <c r="K1000">
        <v>1478.47</v>
      </c>
    </row>
    <row r="1001" spans="1:11" x14ac:dyDescent="0.35">
      <c r="A1001" t="s">
        <v>1363</v>
      </c>
      <c r="B1001" s="2">
        <v>45559</v>
      </c>
      <c r="C1001" t="s">
        <v>79</v>
      </c>
      <c r="D1001" t="s">
        <v>19</v>
      </c>
      <c r="E1001" t="s">
        <v>439</v>
      </c>
      <c r="F1001" t="s">
        <v>35</v>
      </c>
      <c r="G1001" t="s">
        <v>67</v>
      </c>
      <c r="H1001">
        <v>3</v>
      </c>
      <c r="I1001">
        <v>105.95</v>
      </c>
      <c r="J1001">
        <v>0.1</v>
      </c>
      <c r="K1001">
        <v>286.07</v>
      </c>
    </row>
    <row r="1002" spans="1:11" x14ac:dyDescent="0.35">
      <c r="A1002" t="s">
        <v>1364</v>
      </c>
      <c r="B1002" s="2">
        <v>45541</v>
      </c>
      <c r="C1002" t="s">
        <v>29</v>
      </c>
      <c r="D1002" t="s">
        <v>13</v>
      </c>
      <c r="E1002" t="s">
        <v>562</v>
      </c>
      <c r="F1002" t="s">
        <v>21</v>
      </c>
      <c r="G1002" t="s">
        <v>129</v>
      </c>
      <c r="H1002">
        <v>11</v>
      </c>
      <c r="I1002">
        <v>78.28</v>
      </c>
      <c r="J1002">
        <v>0</v>
      </c>
      <c r="K1002">
        <v>861.08</v>
      </c>
    </row>
    <row r="1003" spans="1:11" x14ac:dyDescent="0.35">
      <c r="A1003" t="s">
        <v>1365</v>
      </c>
      <c r="B1003" s="2">
        <v>45468</v>
      </c>
      <c r="C1003" t="s">
        <v>56</v>
      </c>
      <c r="D1003" t="s">
        <v>19</v>
      </c>
      <c r="E1003" t="s">
        <v>110</v>
      </c>
      <c r="F1003" t="s">
        <v>35</v>
      </c>
      <c r="G1003" t="s">
        <v>67</v>
      </c>
      <c r="H1003">
        <v>3</v>
      </c>
      <c r="I1003">
        <v>122.39</v>
      </c>
      <c r="J1003">
        <v>0.05</v>
      </c>
      <c r="K1003">
        <v>348.81</v>
      </c>
    </row>
    <row r="1004" spans="1:11" x14ac:dyDescent="0.35">
      <c r="A1004" t="s">
        <v>1366</v>
      </c>
      <c r="B1004" s="2">
        <v>45434</v>
      </c>
      <c r="C1004" t="s">
        <v>33</v>
      </c>
      <c r="D1004" t="s">
        <v>13</v>
      </c>
      <c r="E1004" t="s">
        <v>620</v>
      </c>
      <c r="F1004" t="s">
        <v>44</v>
      </c>
      <c r="G1004" t="s">
        <v>50</v>
      </c>
      <c r="H1004">
        <v>2</v>
      </c>
      <c r="I1004">
        <v>66.2</v>
      </c>
      <c r="J1004">
        <v>0.05</v>
      </c>
      <c r="K1004">
        <v>125.78</v>
      </c>
    </row>
    <row r="1005" spans="1:11" x14ac:dyDescent="0.35">
      <c r="A1005" t="s">
        <v>1367</v>
      </c>
      <c r="B1005" t="s">
        <v>255</v>
      </c>
      <c r="C1005" t="s">
        <v>12</v>
      </c>
      <c r="D1005" t="s">
        <v>57</v>
      </c>
      <c r="E1005" t="s">
        <v>185</v>
      </c>
      <c r="F1005" t="s">
        <v>15</v>
      </c>
      <c r="G1005" t="s">
        <v>111</v>
      </c>
      <c r="H1005">
        <v>5</v>
      </c>
      <c r="I1005">
        <v>80.260000000000005</v>
      </c>
      <c r="J1005">
        <v>0</v>
      </c>
      <c r="K1005">
        <v>401.3</v>
      </c>
    </row>
    <row r="1006" spans="1:11" x14ac:dyDescent="0.35">
      <c r="A1006" t="s">
        <v>1368</v>
      </c>
      <c r="B1006" t="s">
        <v>245</v>
      </c>
      <c r="C1006" t="s">
        <v>79</v>
      </c>
      <c r="D1006" t="s">
        <v>13</v>
      </c>
      <c r="E1006" t="s">
        <v>113</v>
      </c>
      <c r="F1006" t="s">
        <v>21</v>
      </c>
      <c r="G1006" t="s">
        <v>22</v>
      </c>
      <c r="H1006">
        <v>4</v>
      </c>
      <c r="I1006">
        <v>86.1</v>
      </c>
      <c r="J1006">
        <v>0</v>
      </c>
      <c r="K1006">
        <v>344.4</v>
      </c>
    </row>
    <row r="1007" spans="1:11" x14ac:dyDescent="0.35">
      <c r="A1007" t="s">
        <v>1369</v>
      </c>
      <c r="B1007" s="1">
        <v>45325</v>
      </c>
      <c r="C1007" t="s">
        <v>12</v>
      </c>
      <c r="D1007" t="s">
        <v>57</v>
      </c>
      <c r="E1007" t="s">
        <v>330</v>
      </c>
      <c r="F1007" t="s">
        <v>53</v>
      </c>
      <c r="G1007" t="s">
        <v>54</v>
      </c>
      <c r="H1007">
        <v>12</v>
      </c>
      <c r="I1007">
        <v>101.73</v>
      </c>
      <c r="J1007">
        <v>0.1</v>
      </c>
      <c r="K1007">
        <v>1098.68</v>
      </c>
    </row>
    <row r="1008" spans="1:11" x14ac:dyDescent="0.35">
      <c r="A1008" t="s">
        <v>1370</v>
      </c>
      <c r="B1008" s="2">
        <v>45584</v>
      </c>
      <c r="C1008" t="s">
        <v>33</v>
      </c>
      <c r="D1008" t="s">
        <v>19</v>
      </c>
      <c r="E1008" t="s">
        <v>96</v>
      </c>
      <c r="F1008" t="s">
        <v>35</v>
      </c>
      <c r="G1008" t="s">
        <v>36</v>
      </c>
      <c r="H1008">
        <v>9</v>
      </c>
      <c r="I1008">
        <v>184.36</v>
      </c>
      <c r="J1008">
        <v>0</v>
      </c>
      <c r="K1008">
        <v>1659.24</v>
      </c>
    </row>
    <row r="1009" spans="1:11" x14ac:dyDescent="0.35">
      <c r="A1009" t="s">
        <v>1371</v>
      </c>
      <c r="B1009" s="2">
        <v>45476</v>
      </c>
      <c r="C1009" t="s">
        <v>79</v>
      </c>
      <c r="D1009" t="s">
        <v>19</v>
      </c>
      <c r="E1009" t="s">
        <v>480</v>
      </c>
      <c r="F1009" t="s">
        <v>21</v>
      </c>
      <c r="G1009" t="s">
        <v>22</v>
      </c>
      <c r="H1009">
        <v>6</v>
      </c>
      <c r="I1009">
        <v>160.88</v>
      </c>
      <c r="J1009">
        <v>0</v>
      </c>
      <c r="K1009">
        <v>965.28</v>
      </c>
    </row>
    <row r="1010" spans="1:11" x14ac:dyDescent="0.35">
      <c r="A1010" t="s">
        <v>1372</v>
      </c>
      <c r="B1010" s="2">
        <v>45502</v>
      </c>
      <c r="C1010" t="s">
        <v>48</v>
      </c>
      <c r="D1010" t="s">
        <v>19</v>
      </c>
      <c r="E1010" t="s">
        <v>14</v>
      </c>
      <c r="F1010" t="s">
        <v>53</v>
      </c>
      <c r="G1010" t="s">
        <v>104</v>
      </c>
      <c r="H1010">
        <v>7</v>
      </c>
      <c r="I1010">
        <v>203.21</v>
      </c>
      <c r="J1010">
        <v>0.05</v>
      </c>
      <c r="K1010">
        <v>1351.35</v>
      </c>
    </row>
    <row r="1011" spans="1:11" x14ac:dyDescent="0.35">
      <c r="A1011" t="s">
        <v>1373</v>
      </c>
      <c r="B1011" t="s">
        <v>1374</v>
      </c>
      <c r="C1011" t="s">
        <v>79</v>
      </c>
      <c r="D1011" t="s">
        <v>13</v>
      </c>
      <c r="E1011" t="s">
        <v>547</v>
      </c>
      <c r="F1011" t="s">
        <v>35</v>
      </c>
      <c r="G1011" t="s">
        <v>177</v>
      </c>
      <c r="H1011">
        <v>5</v>
      </c>
      <c r="I1011">
        <v>12.14</v>
      </c>
      <c r="J1011">
        <v>0.15</v>
      </c>
      <c r="K1011">
        <v>51.59</v>
      </c>
    </row>
    <row r="1012" spans="1:11" x14ac:dyDescent="0.35">
      <c r="A1012" t="s">
        <v>1375</v>
      </c>
      <c r="B1012" s="1">
        <v>45413</v>
      </c>
      <c r="C1012" t="s">
        <v>72</v>
      </c>
      <c r="D1012" t="s">
        <v>25</v>
      </c>
      <c r="E1012" t="s">
        <v>193</v>
      </c>
      <c r="F1012" t="s">
        <v>53</v>
      </c>
      <c r="G1012" t="s">
        <v>260</v>
      </c>
      <c r="H1012">
        <v>4</v>
      </c>
      <c r="I1012">
        <v>168.9</v>
      </c>
      <c r="J1012">
        <v>0.1</v>
      </c>
      <c r="K1012">
        <v>608.04</v>
      </c>
    </row>
    <row r="1013" spans="1:11" x14ac:dyDescent="0.35">
      <c r="A1013" t="s">
        <v>1376</v>
      </c>
      <c r="B1013" s="1">
        <v>45591</v>
      </c>
      <c r="C1013" t="s">
        <v>41</v>
      </c>
      <c r="D1013" t="s">
        <v>42</v>
      </c>
      <c r="E1013" t="s">
        <v>360</v>
      </c>
      <c r="F1013" t="s">
        <v>35</v>
      </c>
      <c r="G1013" t="s">
        <v>177</v>
      </c>
      <c r="H1013">
        <v>4</v>
      </c>
      <c r="I1013">
        <v>154.72</v>
      </c>
      <c r="J1013">
        <v>0</v>
      </c>
      <c r="K1013">
        <v>618.88</v>
      </c>
    </row>
    <row r="1014" spans="1:11" x14ac:dyDescent="0.35">
      <c r="A1014" t="s">
        <v>1377</v>
      </c>
      <c r="B1014" t="s">
        <v>612</v>
      </c>
      <c r="C1014" t="s">
        <v>18</v>
      </c>
      <c r="D1014" t="s">
        <v>57</v>
      </c>
      <c r="E1014" t="s">
        <v>620</v>
      </c>
      <c r="F1014" t="s">
        <v>44</v>
      </c>
      <c r="G1014" t="s">
        <v>86</v>
      </c>
      <c r="H1014">
        <v>2</v>
      </c>
      <c r="I1014">
        <v>184.28</v>
      </c>
      <c r="J1014">
        <v>0</v>
      </c>
      <c r="K1014">
        <v>368.56</v>
      </c>
    </row>
    <row r="1015" spans="1:11" x14ac:dyDescent="0.35">
      <c r="A1015" t="s">
        <v>1378</v>
      </c>
      <c r="B1015" s="1">
        <v>45414</v>
      </c>
      <c r="C1015" t="s">
        <v>48</v>
      </c>
      <c r="D1015" t="s">
        <v>25</v>
      </c>
      <c r="E1015" t="s">
        <v>313</v>
      </c>
      <c r="F1015" t="s">
        <v>44</v>
      </c>
      <c r="G1015" t="s">
        <v>94</v>
      </c>
      <c r="H1015">
        <v>8</v>
      </c>
      <c r="I1015">
        <v>241.57</v>
      </c>
      <c r="J1015">
        <v>0</v>
      </c>
      <c r="K1015">
        <v>1932.56</v>
      </c>
    </row>
    <row r="1016" spans="1:11" x14ac:dyDescent="0.35">
      <c r="A1016" t="s">
        <v>1379</v>
      </c>
      <c r="B1016" s="1">
        <v>45612</v>
      </c>
      <c r="C1016" t="s">
        <v>65</v>
      </c>
      <c r="D1016" t="s">
        <v>25</v>
      </c>
      <c r="E1016" t="s">
        <v>82</v>
      </c>
      <c r="F1016" t="s">
        <v>21</v>
      </c>
      <c r="G1016" t="s">
        <v>167</v>
      </c>
      <c r="H1016">
        <v>1</v>
      </c>
      <c r="I1016">
        <v>192.85</v>
      </c>
      <c r="J1016">
        <v>0</v>
      </c>
      <c r="K1016">
        <v>192.85</v>
      </c>
    </row>
    <row r="1017" spans="1:11" x14ac:dyDescent="0.35">
      <c r="A1017" t="s">
        <v>1380</v>
      </c>
      <c r="B1017" t="s">
        <v>1092</v>
      </c>
      <c r="C1017" t="s">
        <v>38</v>
      </c>
      <c r="D1017" t="s">
        <v>13</v>
      </c>
      <c r="E1017" t="s">
        <v>426</v>
      </c>
      <c r="F1017" t="s">
        <v>35</v>
      </c>
      <c r="G1017" t="s">
        <v>36</v>
      </c>
      <c r="H1017">
        <v>12</v>
      </c>
      <c r="I1017">
        <v>78.58</v>
      </c>
      <c r="J1017">
        <v>0.15</v>
      </c>
      <c r="K1017">
        <v>801.52</v>
      </c>
    </row>
    <row r="1018" spans="1:11" x14ac:dyDescent="0.35">
      <c r="A1018" t="s">
        <v>1381</v>
      </c>
      <c r="B1018" s="1">
        <v>45428</v>
      </c>
      <c r="C1018" t="s">
        <v>29</v>
      </c>
      <c r="D1018" t="s">
        <v>19</v>
      </c>
      <c r="E1018" t="s">
        <v>370</v>
      </c>
      <c r="F1018" t="s">
        <v>35</v>
      </c>
      <c r="G1018" t="s">
        <v>83</v>
      </c>
      <c r="H1018">
        <v>10</v>
      </c>
      <c r="I1018">
        <v>67.56</v>
      </c>
      <c r="J1018">
        <v>0.05</v>
      </c>
      <c r="K1018">
        <v>641.82000000000005</v>
      </c>
    </row>
    <row r="1019" spans="1:11" x14ac:dyDescent="0.35">
      <c r="A1019" t="s">
        <v>1382</v>
      </c>
      <c r="B1019" t="s">
        <v>1383</v>
      </c>
      <c r="C1019" t="s">
        <v>65</v>
      </c>
      <c r="D1019" t="s">
        <v>13</v>
      </c>
      <c r="E1019" t="s">
        <v>204</v>
      </c>
      <c r="F1019" t="s">
        <v>21</v>
      </c>
      <c r="G1019" t="s">
        <v>167</v>
      </c>
      <c r="H1019">
        <v>11</v>
      </c>
      <c r="I1019">
        <v>111.77</v>
      </c>
      <c r="J1019">
        <v>0.1</v>
      </c>
      <c r="K1019">
        <v>1106.52</v>
      </c>
    </row>
    <row r="1020" spans="1:11" x14ac:dyDescent="0.35">
      <c r="A1020" t="s">
        <v>1384</v>
      </c>
      <c r="B1020" s="1">
        <v>45644</v>
      </c>
      <c r="C1020" t="s">
        <v>29</v>
      </c>
      <c r="D1020" t="s">
        <v>42</v>
      </c>
      <c r="E1020" t="s">
        <v>562</v>
      </c>
      <c r="F1020" t="s">
        <v>44</v>
      </c>
      <c r="G1020" t="s">
        <v>45</v>
      </c>
      <c r="H1020">
        <v>11</v>
      </c>
      <c r="I1020">
        <v>137.56</v>
      </c>
      <c r="J1020">
        <v>0.15</v>
      </c>
      <c r="K1020">
        <v>1286.19</v>
      </c>
    </row>
    <row r="1021" spans="1:11" x14ac:dyDescent="0.35">
      <c r="A1021" t="s">
        <v>1385</v>
      </c>
      <c r="B1021" s="1">
        <v>45641</v>
      </c>
      <c r="C1021" t="s">
        <v>72</v>
      </c>
      <c r="D1021" t="s">
        <v>57</v>
      </c>
      <c r="E1021" t="s">
        <v>608</v>
      </c>
      <c r="F1021" t="s">
        <v>53</v>
      </c>
      <c r="G1021" t="s">
        <v>54</v>
      </c>
      <c r="H1021">
        <v>12</v>
      </c>
      <c r="I1021">
        <v>168.62</v>
      </c>
      <c r="J1021">
        <v>0</v>
      </c>
      <c r="K1021">
        <v>2023.44</v>
      </c>
    </row>
    <row r="1022" spans="1:11" x14ac:dyDescent="0.35">
      <c r="A1022" t="s">
        <v>1386</v>
      </c>
      <c r="B1022" t="s">
        <v>1383</v>
      </c>
      <c r="C1022" t="s">
        <v>90</v>
      </c>
      <c r="D1022" t="s">
        <v>42</v>
      </c>
      <c r="E1022" t="s">
        <v>902</v>
      </c>
      <c r="F1022" t="s">
        <v>53</v>
      </c>
      <c r="G1022" t="s">
        <v>104</v>
      </c>
      <c r="H1022">
        <v>2</v>
      </c>
      <c r="I1022">
        <v>103.01</v>
      </c>
      <c r="J1022">
        <v>0</v>
      </c>
      <c r="K1022">
        <v>206.02</v>
      </c>
    </row>
    <row r="1023" spans="1:11" x14ac:dyDescent="0.35">
      <c r="A1023" t="s">
        <v>1387</v>
      </c>
      <c r="B1023" s="1">
        <v>45502</v>
      </c>
      <c r="C1023" t="s">
        <v>24</v>
      </c>
      <c r="D1023" t="s">
        <v>19</v>
      </c>
      <c r="E1023" t="s">
        <v>160</v>
      </c>
      <c r="F1023" t="s">
        <v>15</v>
      </c>
      <c r="G1023" t="s">
        <v>16</v>
      </c>
      <c r="H1023">
        <v>6</v>
      </c>
      <c r="I1023">
        <v>243.91</v>
      </c>
      <c r="J1023">
        <v>0</v>
      </c>
      <c r="K1023">
        <v>1463.46</v>
      </c>
    </row>
    <row r="1024" spans="1:11" x14ac:dyDescent="0.35">
      <c r="A1024" t="s">
        <v>1388</v>
      </c>
      <c r="B1024" s="1">
        <v>45302</v>
      </c>
      <c r="C1024" t="s">
        <v>12</v>
      </c>
      <c r="D1024" t="s">
        <v>19</v>
      </c>
      <c r="E1024" t="s">
        <v>62</v>
      </c>
      <c r="F1024" t="s">
        <v>35</v>
      </c>
      <c r="G1024" t="s">
        <v>134</v>
      </c>
      <c r="H1024">
        <v>9</v>
      </c>
      <c r="I1024">
        <v>200.21</v>
      </c>
      <c r="J1024">
        <v>0</v>
      </c>
      <c r="K1024">
        <v>1801.89</v>
      </c>
    </row>
    <row r="1025" spans="1:11" x14ac:dyDescent="0.35">
      <c r="A1025" t="s">
        <v>1389</v>
      </c>
      <c r="B1025" s="1">
        <v>45538</v>
      </c>
      <c r="C1025" t="s">
        <v>41</v>
      </c>
      <c r="D1025" t="s">
        <v>42</v>
      </c>
      <c r="E1025" t="s">
        <v>14</v>
      </c>
      <c r="F1025" t="s">
        <v>15</v>
      </c>
      <c r="G1025" t="s">
        <v>16</v>
      </c>
      <c r="H1025">
        <v>12</v>
      </c>
      <c r="I1025">
        <v>106.12</v>
      </c>
      <c r="J1025">
        <v>0.15</v>
      </c>
      <c r="K1025">
        <v>1082.42</v>
      </c>
    </row>
    <row r="1026" spans="1:11" x14ac:dyDescent="0.35">
      <c r="A1026" t="s">
        <v>1390</v>
      </c>
      <c r="B1026" t="s">
        <v>1391</v>
      </c>
      <c r="C1026" t="s">
        <v>24</v>
      </c>
      <c r="D1026" t="s">
        <v>42</v>
      </c>
      <c r="E1026" t="s">
        <v>263</v>
      </c>
      <c r="F1026" t="s">
        <v>21</v>
      </c>
      <c r="G1026" t="s">
        <v>70</v>
      </c>
      <c r="H1026">
        <v>7</v>
      </c>
      <c r="I1026">
        <v>216.98</v>
      </c>
      <c r="J1026">
        <v>0</v>
      </c>
      <c r="K1026">
        <v>1518.86</v>
      </c>
    </row>
    <row r="1027" spans="1:11" x14ac:dyDescent="0.35">
      <c r="A1027" t="s">
        <v>1392</v>
      </c>
      <c r="B1027" s="1">
        <v>45525</v>
      </c>
      <c r="C1027" t="s">
        <v>72</v>
      </c>
      <c r="D1027" t="s">
        <v>57</v>
      </c>
      <c r="E1027" t="s">
        <v>547</v>
      </c>
      <c r="F1027" t="s">
        <v>21</v>
      </c>
      <c r="G1027" t="s">
        <v>129</v>
      </c>
      <c r="H1027">
        <v>12</v>
      </c>
      <c r="I1027">
        <v>229.92</v>
      </c>
      <c r="J1027">
        <v>0</v>
      </c>
      <c r="K1027">
        <v>2759.04</v>
      </c>
    </row>
    <row r="1028" spans="1:11" x14ac:dyDescent="0.35">
      <c r="A1028" t="s">
        <v>1393</v>
      </c>
      <c r="B1028" s="1">
        <v>45575</v>
      </c>
      <c r="C1028" t="s">
        <v>65</v>
      </c>
      <c r="D1028" t="s">
        <v>13</v>
      </c>
      <c r="E1028" t="s">
        <v>315</v>
      </c>
      <c r="F1028" t="s">
        <v>15</v>
      </c>
      <c r="G1028" t="s">
        <v>111</v>
      </c>
      <c r="H1028">
        <v>9</v>
      </c>
      <c r="I1028">
        <v>211</v>
      </c>
      <c r="J1028">
        <v>0.05</v>
      </c>
      <c r="K1028">
        <v>1804.05</v>
      </c>
    </row>
    <row r="1029" spans="1:11" x14ac:dyDescent="0.35">
      <c r="A1029" t="s">
        <v>1394</v>
      </c>
      <c r="B1029" s="1">
        <v>45513</v>
      </c>
      <c r="C1029" t="s">
        <v>33</v>
      </c>
      <c r="D1029" t="s">
        <v>57</v>
      </c>
      <c r="E1029" t="s">
        <v>716</v>
      </c>
      <c r="F1029" t="s">
        <v>44</v>
      </c>
      <c r="G1029" t="s">
        <v>45</v>
      </c>
      <c r="H1029">
        <v>9</v>
      </c>
      <c r="I1029">
        <v>107.24</v>
      </c>
      <c r="J1029">
        <v>0</v>
      </c>
      <c r="K1029">
        <v>965.16</v>
      </c>
    </row>
    <row r="1030" spans="1:11" x14ac:dyDescent="0.35">
      <c r="A1030" t="s">
        <v>1395</v>
      </c>
      <c r="B1030" s="1">
        <v>45303</v>
      </c>
      <c r="C1030" t="s">
        <v>29</v>
      </c>
      <c r="D1030" t="s">
        <v>19</v>
      </c>
      <c r="F1030" t="s">
        <v>35</v>
      </c>
      <c r="G1030" t="s">
        <v>36</v>
      </c>
      <c r="H1030">
        <v>4</v>
      </c>
      <c r="I1030">
        <v>161.52000000000001</v>
      </c>
      <c r="J1030">
        <v>0</v>
      </c>
      <c r="K1030">
        <v>646.08000000000004</v>
      </c>
    </row>
    <row r="1031" spans="1:11" x14ac:dyDescent="0.35">
      <c r="A1031" t="s">
        <v>1396</v>
      </c>
      <c r="B1031" s="1">
        <v>45647</v>
      </c>
      <c r="C1031" t="s">
        <v>12</v>
      </c>
      <c r="D1031" t="s">
        <v>13</v>
      </c>
      <c r="E1031" t="s">
        <v>825</v>
      </c>
      <c r="F1031" t="s">
        <v>53</v>
      </c>
      <c r="G1031" t="s">
        <v>63</v>
      </c>
      <c r="H1031">
        <v>1</v>
      </c>
      <c r="I1031">
        <v>226.34</v>
      </c>
      <c r="J1031">
        <v>0</v>
      </c>
      <c r="K1031">
        <v>226.34</v>
      </c>
    </row>
    <row r="1032" spans="1:11" x14ac:dyDescent="0.35">
      <c r="A1032" t="s">
        <v>1397</v>
      </c>
      <c r="B1032" t="s">
        <v>677</v>
      </c>
      <c r="C1032" t="s">
        <v>29</v>
      </c>
      <c r="D1032" t="s">
        <v>25</v>
      </c>
      <c r="E1032" t="s">
        <v>769</v>
      </c>
      <c r="F1032" t="s">
        <v>53</v>
      </c>
      <c r="G1032" t="s">
        <v>63</v>
      </c>
      <c r="H1032">
        <v>3</v>
      </c>
      <c r="I1032">
        <v>213.33</v>
      </c>
      <c r="J1032">
        <v>0.05</v>
      </c>
      <c r="K1032">
        <v>607.99</v>
      </c>
    </row>
    <row r="1033" spans="1:11" x14ac:dyDescent="0.35">
      <c r="A1033" t="s">
        <v>1398</v>
      </c>
      <c r="B1033" s="2">
        <v>45648</v>
      </c>
      <c r="C1033" t="s">
        <v>33</v>
      </c>
      <c r="D1033" t="s">
        <v>42</v>
      </c>
      <c r="E1033" t="s">
        <v>833</v>
      </c>
      <c r="F1033" t="s">
        <v>15</v>
      </c>
      <c r="G1033" t="s">
        <v>111</v>
      </c>
      <c r="H1033">
        <v>3</v>
      </c>
      <c r="I1033">
        <v>159.78</v>
      </c>
      <c r="J1033">
        <v>0</v>
      </c>
      <c r="K1033">
        <v>479.34</v>
      </c>
    </row>
    <row r="1034" spans="1:11" x14ac:dyDescent="0.35">
      <c r="A1034" t="s">
        <v>1399</v>
      </c>
      <c r="B1034" t="s">
        <v>1374</v>
      </c>
      <c r="C1034" t="s">
        <v>33</v>
      </c>
      <c r="D1034" t="s">
        <v>25</v>
      </c>
      <c r="E1034" t="s">
        <v>286</v>
      </c>
      <c r="F1034" t="s">
        <v>44</v>
      </c>
      <c r="G1034" t="s">
        <v>107</v>
      </c>
      <c r="H1034">
        <v>4</v>
      </c>
      <c r="I1034">
        <v>125.7</v>
      </c>
      <c r="J1034">
        <v>0</v>
      </c>
      <c r="K1034">
        <v>502.8</v>
      </c>
    </row>
    <row r="1035" spans="1:11" x14ac:dyDescent="0.35">
      <c r="A1035" t="s">
        <v>1400</v>
      </c>
      <c r="B1035" s="1">
        <v>45506</v>
      </c>
      <c r="C1035" t="s">
        <v>33</v>
      </c>
      <c r="D1035" t="s">
        <v>13</v>
      </c>
      <c r="E1035" t="s">
        <v>332</v>
      </c>
      <c r="F1035" t="s">
        <v>15</v>
      </c>
      <c r="G1035" t="s">
        <v>16</v>
      </c>
      <c r="H1035">
        <v>9</v>
      </c>
      <c r="I1035">
        <v>100.42</v>
      </c>
      <c r="J1035">
        <v>0</v>
      </c>
      <c r="K1035">
        <v>903.78</v>
      </c>
    </row>
    <row r="1036" spans="1:11" x14ac:dyDescent="0.35">
      <c r="A1036" t="s">
        <v>1401</v>
      </c>
      <c r="B1036" s="1">
        <v>45504</v>
      </c>
      <c r="C1036" t="s">
        <v>12</v>
      </c>
      <c r="D1036" t="s">
        <v>57</v>
      </c>
      <c r="E1036" t="s">
        <v>124</v>
      </c>
      <c r="F1036" t="s">
        <v>21</v>
      </c>
      <c r="G1036" t="s">
        <v>194</v>
      </c>
      <c r="H1036">
        <v>11</v>
      </c>
      <c r="I1036">
        <v>232.02</v>
      </c>
      <c r="J1036">
        <v>0.1</v>
      </c>
      <c r="K1036">
        <v>2297</v>
      </c>
    </row>
    <row r="1037" spans="1:11" x14ac:dyDescent="0.35">
      <c r="A1037" t="s">
        <v>1402</v>
      </c>
      <c r="B1037" s="1">
        <v>45368</v>
      </c>
      <c r="C1037" t="s">
        <v>33</v>
      </c>
      <c r="D1037" t="s">
        <v>25</v>
      </c>
      <c r="E1037" t="s">
        <v>69</v>
      </c>
      <c r="F1037" t="s">
        <v>15</v>
      </c>
      <c r="G1037" t="s">
        <v>16</v>
      </c>
      <c r="H1037">
        <v>1</v>
      </c>
      <c r="I1037">
        <v>107.35</v>
      </c>
      <c r="J1037">
        <v>0</v>
      </c>
      <c r="K1037">
        <v>107.35</v>
      </c>
    </row>
    <row r="1038" spans="1:11" x14ac:dyDescent="0.35">
      <c r="A1038" t="s">
        <v>1403</v>
      </c>
      <c r="B1038" t="s">
        <v>192</v>
      </c>
      <c r="C1038" t="s">
        <v>72</v>
      </c>
      <c r="D1038" t="s">
        <v>57</v>
      </c>
      <c r="E1038" t="s">
        <v>263</v>
      </c>
      <c r="F1038" t="s">
        <v>44</v>
      </c>
      <c r="G1038" t="s">
        <v>86</v>
      </c>
      <c r="H1038">
        <v>12</v>
      </c>
      <c r="I1038">
        <v>118.48</v>
      </c>
      <c r="J1038">
        <v>0.1</v>
      </c>
      <c r="K1038">
        <v>1279.58</v>
      </c>
    </row>
    <row r="1039" spans="1:11" x14ac:dyDescent="0.35">
      <c r="A1039" t="s">
        <v>1404</v>
      </c>
      <c r="B1039" s="2">
        <v>45359</v>
      </c>
      <c r="C1039" t="s">
        <v>90</v>
      </c>
      <c r="D1039" t="s">
        <v>42</v>
      </c>
      <c r="E1039" t="s">
        <v>460</v>
      </c>
      <c r="F1039" t="s">
        <v>53</v>
      </c>
      <c r="G1039" t="s">
        <v>104</v>
      </c>
      <c r="H1039">
        <v>1</v>
      </c>
      <c r="I1039">
        <v>116.92</v>
      </c>
      <c r="J1039">
        <v>0.1</v>
      </c>
      <c r="K1039">
        <v>105.23</v>
      </c>
    </row>
    <row r="1040" spans="1:11" x14ac:dyDescent="0.35">
      <c r="A1040" t="s">
        <v>1405</v>
      </c>
      <c r="B1040" s="1">
        <v>45391</v>
      </c>
      <c r="C1040" t="s">
        <v>41</v>
      </c>
      <c r="D1040" t="s">
        <v>13</v>
      </c>
      <c r="E1040" t="s">
        <v>317</v>
      </c>
      <c r="F1040" t="s">
        <v>35</v>
      </c>
      <c r="G1040" t="s">
        <v>134</v>
      </c>
      <c r="H1040">
        <v>10</v>
      </c>
      <c r="I1040">
        <v>80.790000000000006</v>
      </c>
      <c r="J1040">
        <v>0</v>
      </c>
      <c r="K1040">
        <v>807.9</v>
      </c>
    </row>
    <row r="1041" spans="1:11" x14ac:dyDescent="0.35">
      <c r="A1041" t="s">
        <v>1406</v>
      </c>
      <c r="B1041" s="2">
        <v>45363</v>
      </c>
      <c r="C1041" t="s">
        <v>79</v>
      </c>
      <c r="D1041" t="s">
        <v>13</v>
      </c>
      <c r="E1041" t="s">
        <v>106</v>
      </c>
      <c r="F1041" t="s">
        <v>15</v>
      </c>
      <c r="G1041" t="s">
        <v>27</v>
      </c>
      <c r="H1041">
        <v>4</v>
      </c>
      <c r="I1041">
        <v>84.28</v>
      </c>
      <c r="J1041">
        <v>0</v>
      </c>
      <c r="K1041">
        <v>337.12</v>
      </c>
    </row>
    <row r="1042" spans="1:11" x14ac:dyDescent="0.35">
      <c r="A1042" t="s">
        <v>1407</v>
      </c>
      <c r="B1042" s="2">
        <v>45637</v>
      </c>
      <c r="C1042" t="s">
        <v>24</v>
      </c>
      <c r="D1042" t="s">
        <v>42</v>
      </c>
      <c r="E1042" t="s">
        <v>193</v>
      </c>
      <c r="F1042" t="s">
        <v>21</v>
      </c>
      <c r="G1042" t="s">
        <v>194</v>
      </c>
      <c r="H1042">
        <v>10</v>
      </c>
      <c r="I1042">
        <v>122.36</v>
      </c>
      <c r="J1042">
        <v>0</v>
      </c>
      <c r="K1042">
        <v>1223.5999999999999</v>
      </c>
    </row>
    <row r="1043" spans="1:11" x14ac:dyDescent="0.35">
      <c r="A1043" t="s">
        <v>1408</v>
      </c>
      <c r="B1043" t="s">
        <v>1409</v>
      </c>
      <c r="C1043" t="s">
        <v>48</v>
      </c>
      <c r="D1043" t="s">
        <v>57</v>
      </c>
      <c r="E1043" t="s">
        <v>521</v>
      </c>
      <c r="F1043" t="s">
        <v>35</v>
      </c>
      <c r="G1043" t="s">
        <v>177</v>
      </c>
      <c r="H1043">
        <v>2</v>
      </c>
      <c r="I1043">
        <v>172.8</v>
      </c>
      <c r="J1043">
        <v>0</v>
      </c>
      <c r="K1043">
        <v>345.6</v>
      </c>
    </row>
    <row r="1044" spans="1:11" x14ac:dyDescent="0.35">
      <c r="A1044" t="s">
        <v>1410</v>
      </c>
      <c r="B1044" s="1">
        <v>45325</v>
      </c>
      <c r="C1044" t="s">
        <v>38</v>
      </c>
      <c r="D1044" t="s">
        <v>13</v>
      </c>
      <c r="E1044" t="s">
        <v>902</v>
      </c>
      <c r="F1044" t="s">
        <v>53</v>
      </c>
      <c r="G1044" t="s">
        <v>63</v>
      </c>
      <c r="H1044">
        <v>6</v>
      </c>
      <c r="I1044">
        <v>20.38</v>
      </c>
      <c r="J1044">
        <v>0.15</v>
      </c>
      <c r="K1044">
        <v>103.94</v>
      </c>
    </row>
    <row r="1045" spans="1:11" x14ac:dyDescent="0.35">
      <c r="A1045" t="s">
        <v>1411</v>
      </c>
      <c r="B1045" s="1">
        <v>45378</v>
      </c>
      <c r="C1045" t="s">
        <v>24</v>
      </c>
      <c r="D1045" t="s">
        <v>19</v>
      </c>
      <c r="E1045" t="s">
        <v>225</v>
      </c>
      <c r="F1045" t="s">
        <v>15</v>
      </c>
      <c r="G1045" t="s">
        <v>147</v>
      </c>
      <c r="H1045">
        <v>8</v>
      </c>
      <c r="I1045">
        <v>155.97</v>
      </c>
      <c r="J1045">
        <v>0.1</v>
      </c>
      <c r="K1045">
        <v>1122.98</v>
      </c>
    </row>
    <row r="1046" spans="1:11" x14ac:dyDescent="0.35">
      <c r="A1046" t="s">
        <v>1412</v>
      </c>
      <c r="B1046" s="2">
        <v>45301</v>
      </c>
      <c r="C1046" t="s">
        <v>56</v>
      </c>
      <c r="D1046" t="s">
        <v>57</v>
      </c>
      <c r="E1046" t="s">
        <v>120</v>
      </c>
      <c r="F1046" t="s">
        <v>21</v>
      </c>
      <c r="G1046" t="s">
        <v>22</v>
      </c>
      <c r="H1046">
        <v>4</v>
      </c>
      <c r="I1046">
        <v>95.65</v>
      </c>
      <c r="J1046">
        <v>0</v>
      </c>
      <c r="K1046">
        <v>382.6</v>
      </c>
    </row>
    <row r="1047" spans="1:11" x14ac:dyDescent="0.35">
      <c r="A1047" t="s">
        <v>1413</v>
      </c>
      <c r="B1047" s="2">
        <v>45642</v>
      </c>
      <c r="C1047" t="s">
        <v>38</v>
      </c>
      <c r="D1047" t="s">
        <v>25</v>
      </c>
      <c r="E1047" t="s">
        <v>69</v>
      </c>
      <c r="F1047" t="s">
        <v>44</v>
      </c>
      <c r="G1047" t="s">
        <v>94</v>
      </c>
      <c r="H1047">
        <v>1</v>
      </c>
      <c r="I1047">
        <v>72.48</v>
      </c>
      <c r="J1047">
        <v>0</v>
      </c>
      <c r="K1047">
        <v>72.48</v>
      </c>
    </row>
    <row r="1048" spans="1:11" x14ac:dyDescent="0.35">
      <c r="A1048" t="s">
        <v>1414</v>
      </c>
      <c r="B1048" s="2">
        <v>45565</v>
      </c>
      <c r="C1048" t="s">
        <v>33</v>
      </c>
      <c r="D1048" t="s">
        <v>57</v>
      </c>
      <c r="E1048" t="s">
        <v>223</v>
      </c>
      <c r="F1048" t="s">
        <v>44</v>
      </c>
      <c r="G1048" t="s">
        <v>86</v>
      </c>
      <c r="H1048">
        <v>11</v>
      </c>
      <c r="I1048">
        <v>46.27</v>
      </c>
      <c r="J1048">
        <v>0</v>
      </c>
      <c r="K1048">
        <v>508.97</v>
      </c>
    </row>
    <row r="1049" spans="1:11" x14ac:dyDescent="0.35">
      <c r="A1049" t="s">
        <v>1415</v>
      </c>
      <c r="B1049" t="s">
        <v>557</v>
      </c>
      <c r="C1049" t="s">
        <v>33</v>
      </c>
      <c r="D1049" t="s">
        <v>57</v>
      </c>
      <c r="E1049" t="s">
        <v>128</v>
      </c>
      <c r="F1049" t="s">
        <v>35</v>
      </c>
      <c r="G1049" t="s">
        <v>134</v>
      </c>
      <c r="H1049">
        <v>9</v>
      </c>
      <c r="I1049">
        <v>199.58</v>
      </c>
      <c r="J1049">
        <v>0</v>
      </c>
      <c r="K1049">
        <v>1796.22</v>
      </c>
    </row>
    <row r="1050" spans="1:11" x14ac:dyDescent="0.35">
      <c r="A1050" t="s">
        <v>1416</v>
      </c>
      <c r="B1050" s="1">
        <v>45631</v>
      </c>
      <c r="C1050" t="s">
        <v>41</v>
      </c>
      <c r="D1050" t="s">
        <v>13</v>
      </c>
      <c r="E1050" t="s">
        <v>139</v>
      </c>
      <c r="F1050" t="s">
        <v>53</v>
      </c>
      <c r="G1050" t="s">
        <v>104</v>
      </c>
      <c r="H1050">
        <v>12</v>
      </c>
      <c r="I1050">
        <v>220.85</v>
      </c>
      <c r="J1050">
        <v>0</v>
      </c>
      <c r="K1050">
        <v>2650.2</v>
      </c>
    </row>
    <row r="1051" spans="1:11" x14ac:dyDescent="0.35">
      <c r="A1051" t="s">
        <v>1417</v>
      </c>
      <c r="B1051" s="2">
        <v>45524</v>
      </c>
      <c r="C1051" t="s">
        <v>90</v>
      </c>
      <c r="D1051" t="s">
        <v>13</v>
      </c>
      <c r="E1051" t="s">
        <v>510</v>
      </c>
      <c r="F1051" t="s">
        <v>15</v>
      </c>
      <c r="G1051" t="s">
        <v>147</v>
      </c>
      <c r="H1051">
        <v>5</v>
      </c>
      <c r="I1051">
        <v>145.85</v>
      </c>
      <c r="J1051">
        <v>0</v>
      </c>
      <c r="K1051">
        <v>729.25</v>
      </c>
    </row>
    <row r="1052" spans="1:11" x14ac:dyDescent="0.35">
      <c r="A1052" t="s">
        <v>1418</v>
      </c>
      <c r="B1052" t="s">
        <v>1095</v>
      </c>
      <c r="C1052" t="s">
        <v>18</v>
      </c>
      <c r="D1052" t="s">
        <v>57</v>
      </c>
      <c r="E1052" t="s">
        <v>638</v>
      </c>
      <c r="F1052" t="s">
        <v>15</v>
      </c>
      <c r="G1052" t="s">
        <v>111</v>
      </c>
      <c r="H1052">
        <v>5</v>
      </c>
      <c r="I1052">
        <v>46.85</v>
      </c>
      <c r="J1052">
        <v>0</v>
      </c>
      <c r="K1052">
        <v>234.25</v>
      </c>
    </row>
    <row r="1053" spans="1:11" x14ac:dyDescent="0.35">
      <c r="A1053" t="s">
        <v>1419</v>
      </c>
      <c r="B1053" s="1">
        <v>45413</v>
      </c>
      <c r="C1053" t="s">
        <v>18</v>
      </c>
      <c r="D1053" t="s">
        <v>19</v>
      </c>
      <c r="E1053" t="s">
        <v>472</v>
      </c>
      <c r="F1053" t="s">
        <v>15</v>
      </c>
      <c r="G1053" t="s">
        <v>74</v>
      </c>
      <c r="H1053">
        <v>9</v>
      </c>
      <c r="I1053">
        <v>92.65</v>
      </c>
      <c r="J1053">
        <v>0</v>
      </c>
      <c r="K1053">
        <v>833.85</v>
      </c>
    </row>
    <row r="1054" spans="1:11" x14ac:dyDescent="0.35">
      <c r="A1054" t="s">
        <v>1420</v>
      </c>
      <c r="B1054" s="1">
        <v>45547</v>
      </c>
      <c r="C1054" t="s">
        <v>38</v>
      </c>
      <c r="D1054" t="s">
        <v>19</v>
      </c>
      <c r="E1054" t="s">
        <v>291</v>
      </c>
      <c r="F1054" t="s">
        <v>35</v>
      </c>
      <c r="G1054" t="s">
        <v>134</v>
      </c>
      <c r="H1054">
        <v>2</v>
      </c>
      <c r="I1054">
        <v>37.9</v>
      </c>
      <c r="J1054">
        <v>0.15</v>
      </c>
      <c r="K1054">
        <v>64.430000000000007</v>
      </c>
    </row>
    <row r="1055" spans="1:11" x14ac:dyDescent="0.35">
      <c r="A1055" t="s">
        <v>1421</v>
      </c>
      <c r="B1055" s="1">
        <v>45338</v>
      </c>
      <c r="C1055" t="s">
        <v>18</v>
      </c>
      <c r="D1055" t="s">
        <v>13</v>
      </c>
      <c r="E1055" t="s">
        <v>586</v>
      </c>
      <c r="F1055" t="s">
        <v>53</v>
      </c>
      <c r="G1055" t="s">
        <v>104</v>
      </c>
      <c r="H1055">
        <v>3</v>
      </c>
      <c r="I1055">
        <v>248.72</v>
      </c>
      <c r="J1055">
        <v>0.05</v>
      </c>
      <c r="K1055">
        <v>708.85</v>
      </c>
    </row>
    <row r="1056" spans="1:11" x14ac:dyDescent="0.35">
      <c r="A1056" t="s">
        <v>1422</v>
      </c>
      <c r="B1056" s="2">
        <v>45518</v>
      </c>
      <c r="C1056" t="s">
        <v>56</v>
      </c>
      <c r="D1056" t="s">
        <v>13</v>
      </c>
      <c r="E1056" t="s">
        <v>865</v>
      </c>
      <c r="F1056" t="s">
        <v>15</v>
      </c>
      <c r="G1056" t="s">
        <v>147</v>
      </c>
      <c r="H1056">
        <v>7</v>
      </c>
      <c r="I1056">
        <v>6.93</v>
      </c>
      <c r="J1056">
        <v>0</v>
      </c>
      <c r="K1056">
        <v>48.51</v>
      </c>
    </row>
    <row r="1057" spans="1:11" x14ac:dyDescent="0.35">
      <c r="A1057" t="s">
        <v>1423</v>
      </c>
      <c r="B1057" t="s">
        <v>1424</v>
      </c>
      <c r="C1057" t="s">
        <v>102</v>
      </c>
      <c r="D1057" t="s">
        <v>13</v>
      </c>
      <c r="E1057" t="s">
        <v>346</v>
      </c>
      <c r="F1057" t="s">
        <v>21</v>
      </c>
      <c r="G1057" t="s">
        <v>194</v>
      </c>
      <c r="H1057">
        <v>3</v>
      </c>
      <c r="I1057">
        <v>204.82</v>
      </c>
      <c r="J1057">
        <v>0</v>
      </c>
      <c r="K1057">
        <v>614.46</v>
      </c>
    </row>
    <row r="1058" spans="1:11" x14ac:dyDescent="0.35">
      <c r="A1058" t="s">
        <v>1425</v>
      </c>
      <c r="B1058" s="2">
        <v>45482</v>
      </c>
      <c r="C1058" t="s">
        <v>24</v>
      </c>
      <c r="D1058" t="s">
        <v>13</v>
      </c>
      <c r="E1058" t="s">
        <v>454</v>
      </c>
      <c r="F1058" t="s">
        <v>21</v>
      </c>
      <c r="G1058" t="s">
        <v>22</v>
      </c>
      <c r="H1058">
        <v>3</v>
      </c>
      <c r="I1058">
        <v>15.97</v>
      </c>
      <c r="J1058">
        <v>0.1</v>
      </c>
      <c r="K1058">
        <v>43.12</v>
      </c>
    </row>
    <row r="1059" spans="1:11" x14ac:dyDescent="0.35">
      <c r="A1059" t="s">
        <v>1426</v>
      </c>
      <c r="B1059" s="1">
        <v>45621</v>
      </c>
      <c r="C1059" t="s">
        <v>90</v>
      </c>
      <c r="D1059" t="s">
        <v>57</v>
      </c>
      <c r="E1059" t="s">
        <v>133</v>
      </c>
      <c r="F1059" t="s">
        <v>15</v>
      </c>
      <c r="G1059" t="s">
        <v>111</v>
      </c>
      <c r="H1059">
        <v>1</v>
      </c>
      <c r="I1059">
        <v>84.18</v>
      </c>
      <c r="J1059">
        <v>0.15</v>
      </c>
      <c r="K1059">
        <v>71.55</v>
      </c>
    </row>
    <row r="1060" spans="1:11" x14ac:dyDescent="0.35">
      <c r="A1060" t="s">
        <v>1427</v>
      </c>
      <c r="B1060" s="1">
        <v>45592</v>
      </c>
      <c r="C1060" t="s">
        <v>33</v>
      </c>
      <c r="D1060" t="s">
        <v>19</v>
      </c>
      <c r="E1060" t="s">
        <v>567</v>
      </c>
      <c r="F1060" t="s">
        <v>21</v>
      </c>
      <c r="G1060" t="s">
        <v>22</v>
      </c>
      <c r="H1060">
        <v>2</v>
      </c>
      <c r="I1060">
        <v>221.45</v>
      </c>
      <c r="J1060">
        <v>0.05</v>
      </c>
      <c r="K1060">
        <v>420.75</v>
      </c>
    </row>
    <row r="1061" spans="1:11" x14ac:dyDescent="0.35">
      <c r="A1061" t="s">
        <v>1428</v>
      </c>
      <c r="B1061" s="1">
        <v>45406</v>
      </c>
      <c r="C1061" t="s">
        <v>90</v>
      </c>
      <c r="D1061" t="s">
        <v>25</v>
      </c>
      <c r="E1061" t="s">
        <v>82</v>
      </c>
      <c r="F1061" t="s">
        <v>15</v>
      </c>
      <c r="G1061" t="s">
        <v>74</v>
      </c>
      <c r="H1061">
        <v>3</v>
      </c>
      <c r="I1061">
        <v>246.36</v>
      </c>
      <c r="J1061">
        <v>0</v>
      </c>
      <c r="K1061">
        <v>739.08</v>
      </c>
    </row>
    <row r="1062" spans="1:11" x14ac:dyDescent="0.35">
      <c r="A1062" t="s">
        <v>1429</v>
      </c>
      <c r="B1062" s="1">
        <v>45430</v>
      </c>
      <c r="C1062" t="s">
        <v>56</v>
      </c>
      <c r="D1062" t="s">
        <v>57</v>
      </c>
      <c r="E1062" t="s">
        <v>189</v>
      </c>
      <c r="F1062" t="s">
        <v>15</v>
      </c>
      <c r="G1062" t="s">
        <v>111</v>
      </c>
      <c r="H1062">
        <v>7</v>
      </c>
      <c r="I1062">
        <v>41.24</v>
      </c>
      <c r="J1062">
        <v>0</v>
      </c>
      <c r="K1062">
        <v>288.68</v>
      </c>
    </row>
    <row r="1063" spans="1:11" x14ac:dyDescent="0.35">
      <c r="A1063" t="s">
        <v>1430</v>
      </c>
      <c r="B1063" s="2">
        <v>45626</v>
      </c>
      <c r="C1063" t="s">
        <v>29</v>
      </c>
      <c r="E1063" t="s">
        <v>30</v>
      </c>
      <c r="F1063" t="s">
        <v>15</v>
      </c>
      <c r="G1063" t="s">
        <v>27</v>
      </c>
      <c r="H1063">
        <v>5</v>
      </c>
      <c r="I1063">
        <v>24.14</v>
      </c>
      <c r="J1063">
        <v>0</v>
      </c>
      <c r="K1063">
        <v>120.7</v>
      </c>
    </row>
    <row r="1064" spans="1:11" x14ac:dyDescent="0.35">
      <c r="A1064" t="s">
        <v>1431</v>
      </c>
      <c r="B1064" t="s">
        <v>1432</v>
      </c>
      <c r="C1064" t="s">
        <v>18</v>
      </c>
      <c r="D1064" t="s">
        <v>42</v>
      </c>
      <c r="E1064" t="s">
        <v>58</v>
      </c>
      <c r="F1064" t="s">
        <v>53</v>
      </c>
      <c r="G1064" t="s">
        <v>54</v>
      </c>
      <c r="H1064">
        <v>1</v>
      </c>
      <c r="I1064">
        <v>239.39</v>
      </c>
      <c r="J1064">
        <v>0</v>
      </c>
      <c r="K1064">
        <v>239.39</v>
      </c>
    </row>
    <row r="1065" spans="1:11" x14ac:dyDescent="0.35">
      <c r="A1065" t="s">
        <v>1433</v>
      </c>
      <c r="B1065" s="1">
        <v>45303</v>
      </c>
      <c r="C1065" t="s">
        <v>38</v>
      </c>
      <c r="D1065" t="s">
        <v>57</v>
      </c>
      <c r="E1065" t="s">
        <v>133</v>
      </c>
      <c r="F1065" t="s">
        <v>35</v>
      </c>
      <c r="G1065" t="s">
        <v>83</v>
      </c>
      <c r="H1065">
        <v>12</v>
      </c>
      <c r="I1065">
        <v>118.44</v>
      </c>
      <c r="J1065">
        <v>0.1</v>
      </c>
      <c r="K1065">
        <v>1279.1500000000001</v>
      </c>
    </row>
    <row r="1066" spans="1:11" x14ac:dyDescent="0.35">
      <c r="A1066" t="s">
        <v>1434</v>
      </c>
      <c r="B1066" s="1">
        <v>45454</v>
      </c>
      <c r="C1066" t="s">
        <v>56</v>
      </c>
      <c r="D1066" t="s">
        <v>42</v>
      </c>
      <c r="E1066" t="s">
        <v>137</v>
      </c>
      <c r="F1066" t="s">
        <v>53</v>
      </c>
      <c r="G1066" t="s">
        <v>63</v>
      </c>
      <c r="H1066">
        <v>9</v>
      </c>
      <c r="I1066">
        <v>146.13</v>
      </c>
      <c r="J1066">
        <v>0.15</v>
      </c>
      <c r="K1066">
        <v>1117.8900000000001</v>
      </c>
    </row>
    <row r="1067" spans="1:11" x14ac:dyDescent="0.35">
      <c r="A1067" t="s">
        <v>1435</v>
      </c>
      <c r="B1067" s="1">
        <v>45470</v>
      </c>
      <c r="C1067" t="s">
        <v>41</v>
      </c>
      <c r="D1067" t="s">
        <v>13</v>
      </c>
      <c r="E1067" t="s">
        <v>510</v>
      </c>
      <c r="F1067" t="s">
        <v>15</v>
      </c>
      <c r="G1067" t="s">
        <v>147</v>
      </c>
      <c r="H1067">
        <v>6</v>
      </c>
      <c r="I1067">
        <v>52</v>
      </c>
      <c r="J1067">
        <v>0.1</v>
      </c>
      <c r="K1067">
        <v>280.8</v>
      </c>
    </row>
    <row r="1068" spans="1:11" x14ac:dyDescent="0.35">
      <c r="A1068" t="s">
        <v>1436</v>
      </c>
      <c r="B1068" s="2">
        <v>45449</v>
      </c>
      <c r="C1068" t="s">
        <v>24</v>
      </c>
      <c r="D1068" t="s">
        <v>57</v>
      </c>
      <c r="E1068" t="s">
        <v>302</v>
      </c>
      <c r="F1068" t="s">
        <v>15</v>
      </c>
      <c r="G1068" t="s">
        <v>16</v>
      </c>
      <c r="H1068">
        <v>10</v>
      </c>
      <c r="I1068">
        <v>105.4</v>
      </c>
      <c r="J1068">
        <v>0</v>
      </c>
      <c r="K1068">
        <v>1054</v>
      </c>
    </row>
    <row r="1069" spans="1:11" x14ac:dyDescent="0.35">
      <c r="A1069" t="s">
        <v>1437</v>
      </c>
      <c r="B1069" s="1">
        <v>45439</v>
      </c>
      <c r="C1069" t="s">
        <v>90</v>
      </c>
      <c r="D1069" t="s">
        <v>57</v>
      </c>
      <c r="E1069" t="s">
        <v>152</v>
      </c>
      <c r="F1069" t="s">
        <v>53</v>
      </c>
      <c r="G1069" t="s">
        <v>54</v>
      </c>
      <c r="H1069">
        <v>10</v>
      </c>
      <c r="I1069">
        <v>91.15</v>
      </c>
      <c r="J1069">
        <v>0.1</v>
      </c>
      <c r="K1069">
        <v>820.35</v>
      </c>
    </row>
    <row r="1070" spans="1:11" x14ac:dyDescent="0.35">
      <c r="A1070" t="s">
        <v>1438</v>
      </c>
      <c r="B1070" s="1">
        <v>45555</v>
      </c>
      <c r="C1070" t="s">
        <v>18</v>
      </c>
      <c r="D1070" t="s">
        <v>57</v>
      </c>
      <c r="E1070" t="s">
        <v>426</v>
      </c>
      <c r="F1070" t="s">
        <v>53</v>
      </c>
      <c r="G1070" t="s">
        <v>260</v>
      </c>
      <c r="H1070">
        <v>1</v>
      </c>
      <c r="I1070">
        <v>14.49</v>
      </c>
      <c r="J1070">
        <v>0.15</v>
      </c>
      <c r="K1070">
        <v>12.32</v>
      </c>
    </row>
    <row r="1071" spans="1:11" x14ac:dyDescent="0.35">
      <c r="A1071" t="s">
        <v>1439</v>
      </c>
      <c r="B1071" s="1">
        <v>45644</v>
      </c>
      <c r="C1071" t="s">
        <v>33</v>
      </c>
      <c r="D1071" t="s">
        <v>57</v>
      </c>
      <c r="E1071" t="s">
        <v>1159</v>
      </c>
      <c r="F1071" t="s">
        <v>53</v>
      </c>
      <c r="G1071" t="s">
        <v>125</v>
      </c>
      <c r="H1071">
        <v>1</v>
      </c>
      <c r="I1071">
        <v>68.62</v>
      </c>
      <c r="J1071">
        <v>0</v>
      </c>
      <c r="K1071">
        <v>68.62</v>
      </c>
    </row>
    <row r="1072" spans="1:11" x14ac:dyDescent="0.35">
      <c r="A1072" t="s">
        <v>1440</v>
      </c>
      <c r="B1072" s="1">
        <v>45584</v>
      </c>
      <c r="C1072" t="s">
        <v>33</v>
      </c>
      <c r="D1072" t="s">
        <v>19</v>
      </c>
      <c r="E1072" t="s">
        <v>330</v>
      </c>
      <c r="F1072" t="s">
        <v>35</v>
      </c>
      <c r="G1072" t="s">
        <v>177</v>
      </c>
      <c r="H1072">
        <v>7</v>
      </c>
      <c r="I1072">
        <v>178.79</v>
      </c>
      <c r="J1072">
        <v>0</v>
      </c>
      <c r="K1072">
        <v>1251.53</v>
      </c>
    </row>
    <row r="1073" spans="1:11" x14ac:dyDescent="0.35">
      <c r="A1073" t="s">
        <v>1441</v>
      </c>
      <c r="B1073" s="2">
        <v>45376</v>
      </c>
      <c r="C1073" t="s">
        <v>79</v>
      </c>
      <c r="D1073" t="s">
        <v>25</v>
      </c>
      <c r="E1073" t="s">
        <v>437</v>
      </c>
      <c r="F1073" t="s">
        <v>35</v>
      </c>
      <c r="G1073" t="s">
        <v>134</v>
      </c>
      <c r="H1073">
        <v>10</v>
      </c>
      <c r="I1073">
        <v>122.64</v>
      </c>
      <c r="J1073">
        <v>0</v>
      </c>
      <c r="K1073">
        <v>1226.4000000000001</v>
      </c>
    </row>
    <row r="1074" spans="1:11" x14ac:dyDescent="0.35">
      <c r="A1074" t="s">
        <v>1442</v>
      </c>
      <c r="B1074" s="1">
        <v>45412</v>
      </c>
      <c r="C1074" t="s">
        <v>102</v>
      </c>
      <c r="D1074" t="s">
        <v>42</v>
      </c>
      <c r="E1074" t="s">
        <v>381</v>
      </c>
      <c r="F1074" t="s">
        <v>44</v>
      </c>
      <c r="G1074" t="s">
        <v>94</v>
      </c>
      <c r="H1074">
        <v>4</v>
      </c>
      <c r="I1074">
        <v>168.23</v>
      </c>
      <c r="J1074">
        <v>0</v>
      </c>
      <c r="K1074">
        <v>672.92</v>
      </c>
    </row>
    <row r="1075" spans="1:11" x14ac:dyDescent="0.35">
      <c r="A1075" t="s">
        <v>1443</v>
      </c>
      <c r="B1075" t="s">
        <v>1444</v>
      </c>
      <c r="C1075" t="s">
        <v>18</v>
      </c>
      <c r="D1075" t="s">
        <v>25</v>
      </c>
      <c r="E1075" t="s">
        <v>394</v>
      </c>
      <c r="F1075" t="s">
        <v>21</v>
      </c>
      <c r="G1075" t="s">
        <v>167</v>
      </c>
      <c r="H1075">
        <v>9</v>
      </c>
      <c r="I1075">
        <v>120.99</v>
      </c>
      <c r="J1075">
        <v>0.1</v>
      </c>
      <c r="K1075">
        <v>980.02</v>
      </c>
    </row>
    <row r="1076" spans="1:11" x14ac:dyDescent="0.35">
      <c r="A1076" t="s">
        <v>1445</v>
      </c>
      <c r="B1076" s="2">
        <v>45597</v>
      </c>
      <c r="C1076" t="s">
        <v>48</v>
      </c>
      <c r="D1076" t="s">
        <v>42</v>
      </c>
      <c r="E1076" t="s">
        <v>14</v>
      </c>
      <c r="F1076" t="s">
        <v>21</v>
      </c>
      <c r="G1076" t="s">
        <v>194</v>
      </c>
      <c r="H1076">
        <v>6</v>
      </c>
      <c r="I1076">
        <v>135.86000000000001</v>
      </c>
      <c r="J1076">
        <v>0.05</v>
      </c>
      <c r="K1076">
        <v>774.4</v>
      </c>
    </row>
    <row r="1077" spans="1:11" x14ac:dyDescent="0.35">
      <c r="A1077" t="s">
        <v>1446</v>
      </c>
      <c r="B1077" s="1">
        <v>45454</v>
      </c>
      <c r="C1077" t="s">
        <v>102</v>
      </c>
      <c r="D1077" t="s">
        <v>13</v>
      </c>
      <c r="E1077" t="s">
        <v>1447</v>
      </c>
      <c r="F1077" t="s">
        <v>21</v>
      </c>
      <c r="G1077" t="s">
        <v>129</v>
      </c>
      <c r="H1077">
        <v>10</v>
      </c>
      <c r="I1077">
        <v>79.260000000000005</v>
      </c>
      <c r="J1077">
        <v>0.05</v>
      </c>
      <c r="K1077">
        <v>752.97</v>
      </c>
    </row>
    <row r="1078" spans="1:11" x14ac:dyDescent="0.35">
      <c r="A1078" t="s">
        <v>1448</v>
      </c>
      <c r="B1078" s="1">
        <v>45391</v>
      </c>
      <c r="C1078" t="s">
        <v>56</v>
      </c>
      <c r="D1078" t="s">
        <v>57</v>
      </c>
      <c r="E1078" t="s">
        <v>683</v>
      </c>
      <c r="F1078" t="s">
        <v>44</v>
      </c>
      <c r="G1078" t="s">
        <v>94</v>
      </c>
      <c r="H1078">
        <v>6</v>
      </c>
      <c r="I1078">
        <v>56.71</v>
      </c>
      <c r="J1078">
        <v>0.15</v>
      </c>
      <c r="K1078">
        <v>289.22000000000003</v>
      </c>
    </row>
    <row r="1079" spans="1:11" x14ac:dyDescent="0.35">
      <c r="A1079" t="s">
        <v>1449</v>
      </c>
      <c r="B1079" s="1">
        <v>45574</v>
      </c>
      <c r="C1079" t="s">
        <v>33</v>
      </c>
      <c r="D1079" t="s">
        <v>19</v>
      </c>
      <c r="E1079" t="s">
        <v>250</v>
      </c>
      <c r="F1079" t="s">
        <v>35</v>
      </c>
      <c r="G1079" t="s">
        <v>67</v>
      </c>
      <c r="H1079">
        <v>4</v>
      </c>
      <c r="I1079">
        <v>27.38</v>
      </c>
      <c r="J1079">
        <v>0.15</v>
      </c>
      <c r="K1079">
        <v>93.09</v>
      </c>
    </row>
    <row r="1080" spans="1:11" x14ac:dyDescent="0.35">
      <c r="A1080" t="s">
        <v>1450</v>
      </c>
      <c r="B1080" t="s">
        <v>557</v>
      </c>
      <c r="C1080" t="s">
        <v>18</v>
      </c>
      <c r="D1080" t="s">
        <v>13</v>
      </c>
      <c r="E1080" t="s">
        <v>547</v>
      </c>
      <c r="F1080" t="s">
        <v>44</v>
      </c>
      <c r="G1080" t="s">
        <v>50</v>
      </c>
      <c r="H1080">
        <v>8</v>
      </c>
      <c r="I1080">
        <v>49.87</v>
      </c>
      <c r="J1080">
        <v>0</v>
      </c>
      <c r="K1080">
        <v>398.96</v>
      </c>
    </row>
    <row r="1081" spans="1:11" x14ac:dyDescent="0.35">
      <c r="A1081" t="s">
        <v>1451</v>
      </c>
      <c r="B1081" s="1">
        <v>45545</v>
      </c>
      <c r="C1081" t="s">
        <v>90</v>
      </c>
      <c r="D1081" t="s">
        <v>42</v>
      </c>
      <c r="E1081" t="s">
        <v>638</v>
      </c>
      <c r="F1081" t="s">
        <v>35</v>
      </c>
      <c r="G1081" t="s">
        <v>177</v>
      </c>
      <c r="H1081">
        <v>10</v>
      </c>
      <c r="I1081">
        <v>98.98</v>
      </c>
      <c r="J1081">
        <v>0.1</v>
      </c>
      <c r="K1081">
        <v>890.82</v>
      </c>
    </row>
    <row r="1082" spans="1:11" x14ac:dyDescent="0.35">
      <c r="A1082" t="s">
        <v>1452</v>
      </c>
      <c r="B1082" s="1">
        <v>45534</v>
      </c>
      <c r="C1082" t="s">
        <v>102</v>
      </c>
      <c r="D1082" t="s">
        <v>25</v>
      </c>
      <c r="E1082" t="s">
        <v>484</v>
      </c>
      <c r="F1082" t="s">
        <v>44</v>
      </c>
      <c r="G1082" t="s">
        <v>45</v>
      </c>
      <c r="H1082">
        <v>3</v>
      </c>
      <c r="I1082">
        <v>153.24</v>
      </c>
      <c r="J1082">
        <v>0.05</v>
      </c>
      <c r="K1082">
        <v>436.73</v>
      </c>
    </row>
    <row r="1083" spans="1:11" x14ac:dyDescent="0.35">
      <c r="A1083" t="s">
        <v>1453</v>
      </c>
      <c r="B1083" t="s">
        <v>597</v>
      </c>
      <c r="C1083" t="s">
        <v>79</v>
      </c>
      <c r="D1083" t="s">
        <v>13</v>
      </c>
      <c r="E1083" t="s">
        <v>562</v>
      </c>
      <c r="F1083" t="s">
        <v>21</v>
      </c>
      <c r="G1083" t="s">
        <v>129</v>
      </c>
      <c r="H1083">
        <v>9</v>
      </c>
      <c r="I1083">
        <v>142.91</v>
      </c>
      <c r="J1083">
        <v>0.1</v>
      </c>
      <c r="K1083">
        <v>1157.57</v>
      </c>
    </row>
    <row r="1084" spans="1:11" x14ac:dyDescent="0.35">
      <c r="A1084" t="s">
        <v>1454</v>
      </c>
      <c r="B1084" s="2">
        <v>45385</v>
      </c>
      <c r="C1084" t="s">
        <v>56</v>
      </c>
      <c r="D1084" t="s">
        <v>25</v>
      </c>
      <c r="E1084" t="s">
        <v>206</v>
      </c>
      <c r="F1084" t="s">
        <v>21</v>
      </c>
      <c r="G1084" t="s">
        <v>70</v>
      </c>
      <c r="H1084">
        <v>1</v>
      </c>
      <c r="I1084">
        <v>244.48</v>
      </c>
      <c r="J1084">
        <v>0</v>
      </c>
      <c r="K1084">
        <v>244.48</v>
      </c>
    </row>
    <row r="1085" spans="1:11" x14ac:dyDescent="0.35">
      <c r="A1085" t="s">
        <v>1455</v>
      </c>
      <c r="B1085" s="2">
        <v>45530</v>
      </c>
      <c r="C1085" t="s">
        <v>29</v>
      </c>
      <c r="D1085" t="s">
        <v>25</v>
      </c>
      <c r="E1085" t="s">
        <v>339</v>
      </c>
      <c r="F1085" t="s">
        <v>35</v>
      </c>
      <c r="G1085" t="s">
        <v>177</v>
      </c>
      <c r="H1085">
        <v>1</v>
      </c>
      <c r="I1085">
        <v>93.56</v>
      </c>
      <c r="J1085">
        <v>0.15</v>
      </c>
      <c r="K1085">
        <v>79.53</v>
      </c>
    </row>
    <row r="1086" spans="1:11" x14ac:dyDescent="0.35">
      <c r="A1086" t="s">
        <v>1132</v>
      </c>
      <c r="B1086" t="s">
        <v>1133</v>
      </c>
      <c r="C1086" t="s">
        <v>18</v>
      </c>
      <c r="D1086" t="s">
        <v>57</v>
      </c>
      <c r="E1086" t="s">
        <v>155</v>
      </c>
      <c r="F1086" t="s">
        <v>15</v>
      </c>
      <c r="G1086" t="s">
        <v>74</v>
      </c>
      <c r="H1086">
        <v>9</v>
      </c>
      <c r="I1086">
        <v>243.05</v>
      </c>
      <c r="J1086">
        <v>0.1</v>
      </c>
      <c r="K1086">
        <v>1968.71</v>
      </c>
    </row>
    <row r="1087" spans="1:11" x14ac:dyDescent="0.35">
      <c r="A1087" t="s">
        <v>1456</v>
      </c>
      <c r="B1087" s="1">
        <v>45321</v>
      </c>
      <c r="C1087" t="s">
        <v>18</v>
      </c>
      <c r="D1087" t="s">
        <v>42</v>
      </c>
      <c r="E1087" t="s">
        <v>246</v>
      </c>
      <c r="F1087" t="s">
        <v>15</v>
      </c>
      <c r="G1087" t="s">
        <v>16</v>
      </c>
      <c r="H1087">
        <v>10</v>
      </c>
      <c r="I1087">
        <v>72.73</v>
      </c>
      <c r="J1087">
        <v>0.1</v>
      </c>
      <c r="K1087">
        <v>654.57000000000005</v>
      </c>
    </row>
    <row r="1088" spans="1:11" x14ac:dyDescent="0.35">
      <c r="A1088" t="s">
        <v>1457</v>
      </c>
      <c r="B1088" s="1">
        <v>45504</v>
      </c>
      <c r="C1088" t="s">
        <v>41</v>
      </c>
      <c r="D1088" t="s">
        <v>19</v>
      </c>
      <c r="E1088" t="s">
        <v>122</v>
      </c>
      <c r="F1088" t="s">
        <v>15</v>
      </c>
      <c r="G1088" t="s">
        <v>27</v>
      </c>
      <c r="H1088">
        <v>12</v>
      </c>
      <c r="I1088">
        <v>33.44</v>
      </c>
      <c r="J1088">
        <v>0</v>
      </c>
      <c r="K1088">
        <v>401.28</v>
      </c>
    </row>
    <row r="1089" spans="1:11" x14ac:dyDescent="0.35">
      <c r="A1089" t="s">
        <v>1458</v>
      </c>
      <c r="B1089" t="s">
        <v>364</v>
      </c>
      <c r="C1089" t="s">
        <v>24</v>
      </c>
      <c r="D1089" t="s">
        <v>13</v>
      </c>
      <c r="E1089" t="s">
        <v>1084</v>
      </c>
      <c r="F1089" t="s">
        <v>15</v>
      </c>
      <c r="G1089" t="s">
        <v>16</v>
      </c>
      <c r="H1089">
        <v>2</v>
      </c>
      <c r="I1089">
        <v>243.9</v>
      </c>
      <c r="J1089">
        <v>0</v>
      </c>
      <c r="K1089">
        <v>487.8</v>
      </c>
    </row>
    <row r="1090" spans="1:11" x14ac:dyDescent="0.35">
      <c r="A1090" t="s">
        <v>1459</v>
      </c>
      <c r="B1090" t="s">
        <v>452</v>
      </c>
      <c r="C1090" t="s">
        <v>79</v>
      </c>
      <c r="D1090" t="s">
        <v>42</v>
      </c>
      <c r="E1090" t="s">
        <v>120</v>
      </c>
      <c r="F1090" t="s">
        <v>44</v>
      </c>
      <c r="G1090" t="s">
        <v>45</v>
      </c>
      <c r="H1090">
        <v>7</v>
      </c>
      <c r="I1090">
        <v>129.13999999999999</v>
      </c>
      <c r="J1090">
        <v>0</v>
      </c>
      <c r="K1090">
        <v>903.98</v>
      </c>
    </row>
    <row r="1091" spans="1:11" x14ac:dyDescent="0.35">
      <c r="A1091" t="s">
        <v>1460</v>
      </c>
      <c r="B1091" s="1">
        <v>45446</v>
      </c>
      <c r="C1091" t="s">
        <v>90</v>
      </c>
      <c r="D1091" t="s">
        <v>42</v>
      </c>
      <c r="E1091" t="s">
        <v>233</v>
      </c>
      <c r="F1091" t="s">
        <v>15</v>
      </c>
      <c r="G1091" t="s">
        <v>111</v>
      </c>
      <c r="H1091">
        <v>1</v>
      </c>
      <c r="I1091">
        <v>35.65</v>
      </c>
      <c r="J1091">
        <v>0</v>
      </c>
      <c r="K1091">
        <v>35.65</v>
      </c>
    </row>
    <row r="1092" spans="1:11" x14ac:dyDescent="0.35">
      <c r="A1092" t="s">
        <v>1461</v>
      </c>
      <c r="B1092" t="s">
        <v>92</v>
      </c>
      <c r="C1092" t="s">
        <v>48</v>
      </c>
      <c r="D1092" t="s">
        <v>25</v>
      </c>
      <c r="E1092" t="s">
        <v>448</v>
      </c>
      <c r="F1092" t="s">
        <v>53</v>
      </c>
      <c r="G1092" t="s">
        <v>104</v>
      </c>
      <c r="H1092">
        <v>5</v>
      </c>
      <c r="I1092">
        <v>100.16</v>
      </c>
      <c r="J1092">
        <v>0</v>
      </c>
      <c r="K1092">
        <v>500.8</v>
      </c>
    </row>
    <row r="1093" spans="1:11" x14ac:dyDescent="0.35">
      <c r="A1093" t="s">
        <v>673</v>
      </c>
      <c r="B1093" s="2">
        <v>45298</v>
      </c>
      <c r="C1093" t="s">
        <v>33</v>
      </c>
      <c r="D1093" t="s">
        <v>19</v>
      </c>
      <c r="E1093" t="s">
        <v>674</v>
      </c>
      <c r="F1093" t="s">
        <v>21</v>
      </c>
      <c r="G1093" t="s">
        <v>129</v>
      </c>
      <c r="H1093">
        <v>8</v>
      </c>
      <c r="I1093">
        <v>126.92</v>
      </c>
      <c r="J1093">
        <v>0.1</v>
      </c>
      <c r="K1093">
        <v>913.82</v>
      </c>
    </row>
    <row r="1094" spans="1:11" x14ac:dyDescent="0.35">
      <c r="A1094" t="s">
        <v>1462</v>
      </c>
      <c r="B1094" s="1">
        <v>45414</v>
      </c>
      <c r="C1094" t="s">
        <v>48</v>
      </c>
      <c r="D1094" t="s">
        <v>42</v>
      </c>
      <c r="E1094" t="s">
        <v>284</v>
      </c>
      <c r="F1094" t="s">
        <v>53</v>
      </c>
      <c r="G1094" t="s">
        <v>59</v>
      </c>
      <c r="H1094">
        <v>11</v>
      </c>
      <c r="I1094">
        <v>203.32</v>
      </c>
      <c r="J1094">
        <v>0</v>
      </c>
      <c r="K1094">
        <v>2236.52</v>
      </c>
    </row>
    <row r="1095" spans="1:11" x14ac:dyDescent="0.35">
      <c r="A1095" t="s">
        <v>1463</v>
      </c>
      <c r="B1095" s="1">
        <v>45604</v>
      </c>
      <c r="C1095" t="s">
        <v>79</v>
      </c>
      <c r="D1095" t="s">
        <v>57</v>
      </c>
      <c r="E1095" t="s">
        <v>146</v>
      </c>
      <c r="F1095" t="s">
        <v>15</v>
      </c>
      <c r="G1095" t="s">
        <v>16</v>
      </c>
      <c r="H1095">
        <v>11</v>
      </c>
      <c r="I1095">
        <v>190.22</v>
      </c>
      <c r="J1095">
        <v>0</v>
      </c>
      <c r="K1095">
        <v>2092.42</v>
      </c>
    </row>
    <row r="1096" spans="1:11" x14ac:dyDescent="0.35">
      <c r="A1096" t="s">
        <v>1464</v>
      </c>
      <c r="B1096" s="1">
        <v>45635</v>
      </c>
      <c r="C1096" t="s">
        <v>38</v>
      </c>
      <c r="D1096" t="s">
        <v>42</v>
      </c>
      <c r="E1096" t="s">
        <v>989</v>
      </c>
      <c r="F1096" t="s">
        <v>21</v>
      </c>
      <c r="G1096" t="s">
        <v>194</v>
      </c>
      <c r="H1096">
        <v>11</v>
      </c>
      <c r="I1096">
        <v>248.91</v>
      </c>
      <c r="J1096">
        <v>0.1</v>
      </c>
      <c r="K1096">
        <v>2464.21</v>
      </c>
    </row>
    <row r="1097" spans="1:11" x14ac:dyDescent="0.35">
      <c r="A1097" t="s">
        <v>1465</v>
      </c>
      <c r="B1097" s="1">
        <v>45391</v>
      </c>
      <c r="C1097" t="s">
        <v>12</v>
      </c>
      <c r="D1097" t="s">
        <v>19</v>
      </c>
      <c r="E1097" t="s">
        <v>360</v>
      </c>
      <c r="F1097" t="s">
        <v>44</v>
      </c>
      <c r="G1097" t="s">
        <v>45</v>
      </c>
      <c r="H1097">
        <v>6</v>
      </c>
      <c r="I1097">
        <v>228.21</v>
      </c>
      <c r="J1097">
        <v>0</v>
      </c>
      <c r="K1097">
        <v>1369.26</v>
      </c>
    </row>
    <row r="1098" spans="1:11" x14ac:dyDescent="0.35">
      <c r="A1098" t="s">
        <v>1466</v>
      </c>
      <c r="B1098" s="1">
        <v>45600</v>
      </c>
      <c r="C1098" t="s">
        <v>24</v>
      </c>
      <c r="D1098" t="s">
        <v>19</v>
      </c>
      <c r="E1098" t="s">
        <v>73</v>
      </c>
      <c r="F1098" t="s">
        <v>44</v>
      </c>
      <c r="G1098" t="s">
        <v>50</v>
      </c>
      <c r="H1098">
        <v>8</v>
      </c>
      <c r="I1098">
        <v>17.170000000000002</v>
      </c>
      <c r="J1098">
        <v>0.05</v>
      </c>
      <c r="K1098">
        <v>130.49</v>
      </c>
    </row>
    <row r="1099" spans="1:11" x14ac:dyDescent="0.35">
      <c r="A1099" t="s">
        <v>1467</v>
      </c>
      <c r="B1099" s="1">
        <v>45331</v>
      </c>
      <c r="C1099" t="s">
        <v>41</v>
      </c>
      <c r="D1099" t="s">
        <v>25</v>
      </c>
      <c r="E1099" t="s">
        <v>388</v>
      </c>
      <c r="F1099" t="s">
        <v>15</v>
      </c>
      <c r="G1099" t="s">
        <v>16</v>
      </c>
      <c r="H1099">
        <v>10</v>
      </c>
      <c r="I1099">
        <v>66.75</v>
      </c>
      <c r="J1099">
        <v>0</v>
      </c>
      <c r="K1099">
        <v>667.5</v>
      </c>
    </row>
    <row r="1100" spans="1:11" x14ac:dyDescent="0.35">
      <c r="A1100" t="s">
        <v>1468</v>
      </c>
      <c r="B1100" s="1">
        <v>45567</v>
      </c>
      <c r="C1100" t="s">
        <v>41</v>
      </c>
      <c r="D1100" t="s">
        <v>19</v>
      </c>
      <c r="E1100" t="s">
        <v>407</v>
      </c>
      <c r="F1100" t="s">
        <v>53</v>
      </c>
      <c r="G1100" t="s">
        <v>59</v>
      </c>
      <c r="H1100">
        <v>11</v>
      </c>
      <c r="I1100">
        <v>206.82</v>
      </c>
      <c r="J1100">
        <v>0.05</v>
      </c>
      <c r="K1100">
        <v>2161.27</v>
      </c>
    </row>
    <row r="1101" spans="1:11" x14ac:dyDescent="0.35">
      <c r="A1101" t="s">
        <v>1469</v>
      </c>
      <c r="B1101" s="1">
        <v>45634</v>
      </c>
      <c r="C1101" t="s">
        <v>33</v>
      </c>
      <c r="D1101" t="s">
        <v>19</v>
      </c>
      <c r="E1101" t="s">
        <v>315</v>
      </c>
      <c r="F1101" t="s">
        <v>53</v>
      </c>
      <c r="G1101" t="s">
        <v>125</v>
      </c>
      <c r="H1101">
        <v>1</v>
      </c>
      <c r="I1101">
        <v>113.3</v>
      </c>
      <c r="J1101">
        <v>0.15</v>
      </c>
      <c r="K1101">
        <v>96.3</v>
      </c>
    </row>
    <row r="1102" spans="1:11" x14ac:dyDescent="0.35">
      <c r="A1102" t="s">
        <v>1470</v>
      </c>
      <c r="B1102" s="1">
        <v>45645</v>
      </c>
      <c r="C1102" t="s">
        <v>29</v>
      </c>
      <c r="D1102" t="s">
        <v>42</v>
      </c>
      <c r="E1102" t="s">
        <v>542</v>
      </c>
      <c r="F1102" t="s">
        <v>44</v>
      </c>
      <c r="G1102" t="s">
        <v>86</v>
      </c>
      <c r="H1102">
        <v>2</v>
      </c>
      <c r="I1102">
        <v>216.76</v>
      </c>
      <c r="J1102">
        <v>0.15</v>
      </c>
      <c r="K1102">
        <v>368.49</v>
      </c>
    </row>
    <row r="1103" spans="1:11" x14ac:dyDescent="0.35">
      <c r="A1103" t="s">
        <v>1471</v>
      </c>
      <c r="B1103" s="2">
        <v>45421</v>
      </c>
      <c r="C1103" t="s">
        <v>41</v>
      </c>
      <c r="D1103" t="s">
        <v>13</v>
      </c>
      <c r="E1103" t="s">
        <v>751</v>
      </c>
      <c r="F1103" t="s">
        <v>35</v>
      </c>
      <c r="G1103" t="s">
        <v>36</v>
      </c>
      <c r="H1103">
        <v>2</v>
      </c>
      <c r="I1103">
        <v>61.98</v>
      </c>
      <c r="J1103">
        <v>0.15</v>
      </c>
      <c r="K1103">
        <v>105.37</v>
      </c>
    </row>
    <row r="1104" spans="1:11" x14ac:dyDescent="0.35">
      <c r="A1104" t="s">
        <v>1472</v>
      </c>
      <c r="B1104" s="1">
        <v>45317</v>
      </c>
      <c r="C1104" t="s">
        <v>79</v>
      </c>
      <c r="D1104" t="s">
        <v>19</v>
      </c>
      <c r="E1104" t="s">
        <v>206</v>
      </c>
      <c r="F1104" t="s">
        <v>35</v>
      </c>
      <c r="G1104" t="s">
        <v>83</v>
      </c>
      <c r="H1104">
        <v>12</v>
      </c>
      <c r="I1104">
        <v>59.08</v>
      </c>
      <c r="J1104">
        <v>0</v>
      </c>
      <c r="K1104">
        <v>708.96</v>
      </c>
    </row>
    <row r="1105" spans="1:11" x14ac:dyDescent="0.35">
      <c r="A1105" t="s">
        <v>1473</v>
      </c>
      <c r="B1105" s="1">
        <v>45313</v>
      </c>
      <c r="C1105" t="s">
        <v>33</v>
      </c>
      <c r="D1105" t="s">
        <v>42</v>
      </c>
      <c r="E1105" t="s">
        <v>547</v>
      </c>
      <c r="F1105" t="s">
        <v>44</v>
      </c>
      <c r="G1105" t="s">
        <v>86</v>
      </c>
      <c r="H1105">
        <v>4</v>
      </c>
      <c r="I1105">
        <v>58.66</v>
      </c>
      <c r="J1105">
        <v>0</v>
      </c>
      <c r="K1105">
        <v>234.64</v>
      </c>
    </row>
    <row r="1106" spans="1:11" x14ac:dyDescent="0.35">
      <c r="A1106" t="s">
        <v>1474</v>
      </c>
      <c r="B1106" s="1">
        <v>45506</v>
      </c>
      <c r="C1106" t="s">
        <v>33</v>
      </c>
      <c r="D1106" t="s">
        <v>57</v>
      </c>
      <c r="E1106" t="s">
        <v>293</v>
      </c>
      <c r="F1106" t="s">
        <v>44</v>
      </c>
      <c r="G1106" t="s">
        <v>45</v>
      </c>
      <c r="H1106">
        <v>12</v>
      </c>
      <c r="I1106">
        <v>44.3</v>
      </c>
      <c r="J1106">
        <v>0.05</v>
      </c>
      <c r="K1106">
        <v>505.02</v>
      </c>
    </row>
    <row r="1107" spans="1:11" x14ac:dyDescent="0.35">
      <c r="A1107" t="s">
        <v>1475</v>
      </c>
      <c r="B1107" s="1">
        <v>45546</v>
      </c>
      <c r="C1107" t="s">
        <v>24</v>
      </c>
      <c r="D1107" t="s">
        <v>13</v>
      </c>
      <c r="E1107" t="s">
        <v>357</v>
      </c>
      <c r="F1107" t="s">
        <v>53</v>
      </c>
      <c r="G1107" t="s">
        <v>260</v>
      </c>
      <c r="H1107">
        <v>12</v>
      </c>
      <c r="I1107">
        <v>133.13999999999999</v>
      </c>
      <c r="J1107">
        <v>0</v>
      </c>
      <c r="K1107">
        <v>1597.68</v>
      </c>
    </row>
    <row r="1108" spans="1:11" x14ac:dyDescent="0.35">
      <c r="A1108" t="s">
        <v>1476</v>
      </c>
      <c r="B1108" s="1">
        <v>45415</v>
      </c>
      <c r="C1108" t="s">
        <v>90</v>
      </c>
      <c r="D1108" t="s">
        <v>25</v>
      </c>
      <c r="E1108" t="s">
        <v>620</v>
      </c>
      <c r="F1108" t="s">
        <v>35</v>
      </c>
      <c r="G1108" t="s">
        <v>134</v>
      </c>
      <c r="H1108">
        <v>6</v>
      </c>
      <c r="I1108">
        <v>34.159999999999997</v>
      </c>
      <c r="J1108">
        <v>0.1</v>
      </c>
      <c r="K1108">
        <v>184.46</v>
      </c>
    </row>
    <row r="1109" spans="1:11" x14ac:dyDescent="0.35">
      <c r="A1109" t="s">
        <v>1477</v>
      </c>
      <c r="B1109" s="2">
        <v>45640</v>
      </c>
      <c r="C1109" t="s">
        <v>102</v>
      </c>
      <c r="D1109" t="s">
        <v>25</v>
      </c>
      <c r="E1109" t="s">
        <v>88</v>
      </c>
      <c r="F1109" t="s">
        <v>21</v>
      </c>
      <c r="G1109" t="s">
        <v>129</v>
      </c>
      <c r="H1109">
        <v>10</v>
      </c>
      <c r="I1109">
        <v>215.53</v>
      </c>
      <c r="J1109">
        <v>0</v>
      </c>
      <c r="K1109">
        <v>2155.3000000000002</v>
      </c>
    </row>
    <row r="1110" spans="1:11" x14ac:dyDescent="0.35">
      <c r="A1110" t="s">
        <v>1478</v>
      </c>
      <c r="B1110" s="2">
        <v>45322</v>
      </c>
      <c r="C1110" t="s">
        <v>12</v>
      </c>
      <c r="D1110" t="s">
        <v>19</v>
      </c>
      <c r="E1110" t="s">
        <v>221</v>
      </c>
      <c r="F1110" t="s">
        <v>35</v>
      </c>
      <c r="G1110" t="s">
        <v>67</v>
      </c>
      <c r="H1110">
        <v>11</v>
      </c>
      <c r="I1110">
        <v>65.41</v>
      </c>
      <c r="J1110">
        <v>0</v>
      </c>
      <c r="K1110">
        <v>719.51</v>
      </c>
    </row>
    <row r="1111" spans="1:11" x14ac:dyDescent="0.35">
      <c r="A1111" t="s">
        <v>1479</v>
      </c>
      <c r="B1111" s="2">
        <v>45578</v>
      </c>
      <c r="C1111" t="s">
        <v>48</v>
      </c>
      <c r="D1111" t="s">
        <v>25</v>
      </c>
      <c r="E1111" t="s">
        <v>506</v>
      </c>
      <c r="F1111" t="s">
        <v>53</v>
      </c>
      <c r="G1111" t="s">
        <v>59</v>
      </c>
      <c r="H1111">
        <v>10</v>
      </c>
      <c r="I1111">
        <v>218.64</v>
      </c>
      <c r="J1111">
        <v>0.05</v>
      </c>
      <c r="K1111">
        <v>2077.08</v>
      </c>
    </row>
    <row r="1112" spans="1:11" x14ac:dyDescent="0.35">
      <c r="A1112" t="s">
        <v>1480</v>
      </c>
      <c r="B1112" s="1">
        <v>45387</v>
      </c>
      <c r="C1112" t="s">
        <v>33</v>
      </c>
      <c r="D1112" t="s">
        <v>25</v>
      </c>
      <c r="E1112" t="s">
        <v>85</v>
      </c>
      <c r="F1112" t="s">
        <v>21</v>
      </c>
      <c r="G1112" t="s">
        <v>194</v>
      </c>
      <c r="H1112">
        <v>8</v>
      </c>
      <c r="I1112">
        <v>67.680000000000007</v>
      </c>
      <c r="J1112">
        <v>0</v>
      </c>
      <c r="K1112">
        <v>541.44000000000005</v>
      </c>
    </row>
    <row r="1113" spans="1:11" x14ac:dyDescent="0.35">
      <c r="A1113" t="s">
        <v>1481</v>
      </c>
      <c r="B1113" t="s">
        <v>1409</v>
      </c>
      <c r="C1113" t="s">
        <v>90</v>
      </c>
      <c r="D1113" t="s">
        <v>25</v>
      </c>
      <c r="E1113" t="s">
        <v>106</v>
      </c>
      <c r="F1113" t="s">
        <v>35</v>
      </c>
      <c r="G1113" t="s">
        <v>67</v>
      </c>
      <c r="H1113">
        <v>6</v>
      </c>
      <c r="I1113">
        <v>121.32</v>
      </c>
      <c r="J1113">
        <v>0.1</v>
      </c>
      <c r="K1113">
        <v>655.13</v>
      </c>
    </row>
    <row r="1114" spans="1:11" x14ac:dyDescent="0.35">
      <c r="A1114" t="s">
        <v>1482</v>
      </c>
      <c r="B1114" t="s">
        <v>1424</v>
      </c>
      <c r="C1114" t="s">
        <v>18</v>
      </c>
      <c r="D1114" t="s">
        <v>13</v>
      </c>
      <c r="E1114" t="s">
        <v>248</v>
      </c>
      <c r="F1114" t="s">
        <v>53</v>
      </c>
      <c r="G1114" t="s">
        <v>125</v>
      </c>
      <c r="H1114">
        <v>4</v>
      </c>
      <c r="I1114">
        <v>223.51</v>
      </c>
      <c r="J1114">
        <v>0</v>
      </c>
      <c r="K1114">
        <v>894.04</v>
      </c>
    </row>
    <row r="1115" spans="1:11" x14ac:dyDescent="0.35">
      <c r="A1115" t="s">
        <v>1483</v>
      </c>
      <c r="B1115" s="1">
        <v>45579</v>
      </c>
      <c r="C1115" t="s">
        <v>18</v>
      </c>
      <c r="D1115" t="s">
        <v>13</v>
      </c>
      <c r="E1115" t="s">
        <v>542</v>
      </c>
      <c r="F1115" t="s">
        <v>21</v>
      </c>
      <c r="G1115" t="s">
        <v>70</v>
      </c>
      <c r="H1115">
        <v>6</v>
      </c>
      <c r="I1115">
        <v>112.37</v>
      </c>
      <c r="J1115">
        <v>0.1</v>
      </c>
      <c r="K1115">
        <v>606.79999999999995</v>
      </c>
    </row>
    <row r="1116" spans="1:11" x14ac:dyDescent="0.35">
      <c r="A1116" t="s">
        <v>1484</v>
      </c>
      <c r="B1116" s="1">
        <v>45523</v>
      </c>
      <c r="C1116" t="s">
        <v>12</v>
      </c>
      <c r="D1116" t="s">
        <v>42</v>
      </c>
      <c r="E1116" t="s">
        <v>457</v>
      </c>
      <c r="F1116" t="s">
        <v>53</v>
      </c>
      <c r="G1116" t="s">
        <v>125</v>
      </c>
      <c r="H1116">
        <v>8</v>
      </c>
      <c r="I1116">
        <v>65.39</v>
      </c>
      <c r="J1116">
        <v>0.15</v>
      </c>
      <c r="K1116">
        <v>444.65</v>
      </c>
    </row>
    <row r="1117" spans="1:11" x14ac:dyDescent="0.35">
      <c r="A1117" t="s">
        <v>1485</v>
      </c>
      <c r="B1117" t="s">
        <v>452</v>
      </c>
      <c r="C1117" t="s">
        <v>102</v>
      </c>
      <c r="D1117" t="s">
        <v>57</v>
      </c>
      <c r="E1117" t="s">
        <v>219</v>
      </c>
      <c r="F1117" t="s">
        <v>15</v>
      </c>
      <c r="G1117" t="s">
        <v>74</v>
      </c>
      <c r="H1117">
        <v>3</v>
      </c>
      <c r="I1117">
        <v>225.7</v>
      </c>
      <c r="J1117">
        <v>0</v>
      </c>
      <c r="K1117">
        <v>677.1</v>
      </c>
    </row>
    <row r="1118" spans="1:11" x14ac:dyDescent="0.35">
      <c r="A1118" t="s">
        <v>1486</v>
      </c>
      <c r="B1118" t="s">
        <v>1092</v>
      </c>
      <c r="C1118" t="s">
        <v>41</v>
      </c>
      <c r="D1118" t="s">
        <v>57</v>
      </c>
      <c r="E1118" t="s">
        <v>146</v>
      </c>
      <c r="F1118" t="s">
        <v>53</v>
      </c>
      <c r="G1118" t="s">
        <v>260</v>
      </c>
      <c r="H1118">
        <v>10</v>
      </c>
      <c r="I1118">
        <v>122.7</v>
      </c>
      <c r="J1118">
        <v>0.05</v>
      </c>
      <c r="K1118">
        <v>1165.6500000000001</v>
      </c>
    </row>
    <row r="1119" spans="1:11" x14ac:dyDescent="0.35">
      <c r="A1119" t="s">
        <v>1487</v>
      </c>
      <c r="B1119" s="1">
        <v>45513</v>
      </c>
      <c r="C1119" t="s">
        <v>24</v>
      </c>
      <c r="D1119" t="s">
        <v>57</v>
      </c>
      <c r="E1119" t="s">
        <v>608</v>
      </c>
      <c r="F1119" t="s">
        <v>15</v>
      </c>
      <c r="G1119" t="s">
        <v>147</v>
      </c>
      <c r="H1119">
        <v>3</v>
      </c>
      <c r="I1119">
        <v>154.52000000000001</v>
      </c>
      <c r="J1119">
        <v>0.15</v>
      </c>
      <c r="K1119">
        <v>394.03</v>
      </c>
    </row>
    <row r="1120" spans="1:11" x14ac:dyDescent="0.35">
      <c r="A1120" t="s">
        <v>1488</v>
      </c>
      <c r="B1120" s="1">
        <v>45575</v>
      </c>
      <c r="C1120" t="s">
        <v>79</v>
      </c>
      <c r="D1120" t="s">
        <v>57</v>
      </c>
      <c r="E1120" t="s">
        <v>433</v>
      </c>
      <c r="F1120" t="s">
        <v>15</v>
      </c>
      <c r="G1120" t="s">
        <v>74</v>
      </c>
      <c r="H1120">
        <v>1</v>
      </c>
      <c r="I1120">
        <v>35.19</v>
      </c>
      <c r="J1120">
        <v>0.1</v>
      </c>
      <c r="K1120">
        <v>31.67</v>
      </c>
    </row>
    <row r="1121" spans="1:11" x14ac:dyDescent="0.35">
      <c r="A1121" t="s">
        <v>1489</v>
      </c>
      <c r="B1121" s="1">
        <v>45569</v>
      </c>
      <c r="C1121" t="s">
        <v>18</v>
      </c>
      <c r="D1121" t="s">
        <v>25</v>
      </c>
      <c r="E1121" t="s">
        <v>771</v>
      </c>
      <c r="F1121" t="s">
        <v>21</v>
      </c>
      <c r="G1121" t="s">
        <v>22</v>
      </c>
      <c r="H1121">
        <v>1</v>
      </c>
      <c r="I1121">
        <v>188.25</v>
      </c>
      <c r="J1121">
        <v>0</v>
      </c>
      <c r="K1121">
        <v>188.25</v>
      </c>
    </row>
    <row r="1122" spans="1:11" x14ac:dyDescent="0.35">
      <c r="A1122" t="s">
        <v>1490</v>
      </c>
      <c r="B1122" s="1">
        <v>45633</v>
      </c>
      <c r="C1122" t="s">
        <v>38</v>
      </c>
      <c r="D1122" t="s">
        <v>42</v>
      </c>
      <c r="E1122" t="s">
        <v>62</v>
      </c>
      <c r="F1122" t="s">
        <v>15</v>
      </c>
      <c r="G1122" t="s">
        <v>111</v>
      </c>
      <c r="H1122">
        <v>9</v>
      </c>
      <c r="I1122">
        <v>20.91</v>
      </c>
      <c r="J1122">
        <v>0</v>
      </c>
      <c r="K1122">
        <v>188.19</v>
      </c>
    </row>
    <row r="1123" spans="1:11" x14ac:dyDescent="0.35">
      <c r="A1123" t="s">
        <v>1491</v>
      </c>
      <c r="B1123" t="s">
        <v>92</v>
      </c>
      <c r="C1123" t="s">
        <v>24</v>
      </c>
      <c r="D1123" t="s">
        <v>57</v>
      </c>
      <c r="E1123" t="s">
        <v>309</v>
      </c>
      <c r="F1123" t="s">
        <v>15</v>
      </c>
      <c r="G1123" t="s">
        <v>74</v>
      </c>
      <c r="H1123">
        <v>6</v>
      </c>
      <c r="I1123">
        <v>226.95</v>
      </c>
      <c r="J1123">
        <v>0</v>
      </c>
      <c r="K1123">
        <v>1361.7</v>
      </c>
    </row>
    <row r="1124" spans="1:11" x14ac:dyDescent="0.35">
      <c r="A1124" t="s">
        <v>1492</v>
      </c>
      <c r="B1124" t="s">
        <v>1493</v>
      </c>
      <c r="C1124" t="s">
        <v>90</v>
      </c>
      <c r="D1124" t="s">
        <v>13</v>
      </c>
      <c r="E1124" t="s">
        <v>229</v>
      </c>
      <c r="F1124" t="s">
        <v>35</v>
      </c>
      <c r="G1124" t="s">
        <v>36</v>
      </c>
      <c r="H1124">
        <v>9</v>
      </c>
      <c r="I1124">
        <v>180.47</v>
      </c>
      <c r="J1124">
        <v>0</v>
      </c>
      <c r="K1124">
        <v>1624.23</v>
      </c>
    </row>
    <row r="1125" spans="1:11" x14ac:dyDescent="0.35">
      <c r="A1125" t="s">
        <v>1494</v>
      </c>
      <c r="B1125" s="2">
        <v>45333</v>
      </c>
      <c r="C1125" t="s">
        <v>29</v>
      </c>
      <c r="D1125" t="s">
        <v>13</v>
      </c>
      <c r="E1125" t="s">
        <v>120</v>
      </c>
      <c r="F1125" t="s">
        <v>21</v>
      </c>
      <c r="G1125" t="s">
        <v>70</v>
      </c>
      <c r="H1125">
        <v>10</v>
      </c>
      <c r="I1125">
        <v>198.79</v>
      </c>
      <c r="J1125">
        <v>0</v>
      </c>
      <c r="K1125">
        <v>1987.9</v>
      </c>
    </row>
    <row r="1126" spans="1:11" x14ac:dyDescent="0.35">
      <c r="A1126" t="s">
        <v>1495</v>
      </c>
      <c r="B1126" s="1">
        <v>45537</v>
      </c>
      <c r="C1126" t="s">
        <v>48</v>
      </c>
      <c r="D1126" t="s">
        <v>13</v>
      </c>
      <c r="E1126" t="s">
        <v>858</v>
      </c>
      <c r="F1126" t="s">
        <v>35</v>
      </c>
      <c r="G1126" t="s">
        <v>134</v>
      </c>
      <c r="H1126">
        <v>8</v>
      </c>
      <c r="I1126">
        <v>34.1</v>
      </c>
      <c r="J1126">
        <v>0.1</v>
      </c>
      <c r="K1126">
        <v>245.52</v>
      </c>
    </row>
    <row r="1127" spans="1:11" x14ac:dyDescent="0.35">
      <c r="A1127" t="s">
        <v>1496</v>
      </c>
      <c r="B1127" s="2">
        <v>45305</v>
      </c>
      <c r="C1127" t="s">
        <v>56</v>
      </c>
      <c r="D1127" t="s">
        <v>25</v>
      </c>
      <c r="E1127" t="s">
        <v>158</v>
      </c>
      <c r="F1127" t="s">
        <v>21</v>
      </c>
      <c r="G1127" t="s">
        <v>194</v>
      </c>
      <c r="H1127">
        <v>11</v>
      </c>
      <c r="I1127">
        <v>150.01</v>
      </c>
      <c r="J1127">
        <v>0</v>
      </c>
      <c r="K1127">
        <v>1650.11</v>
      </c>
    </row>
    <row r="1128" spans="1:11" x14ac:dyDescent="0.35">
      <c r="A1128" t="s">
        <v>1497</v>
      </c>
      <c r="B1128" t="s">
        <v>1498</v>
      </c>
      <c r="C1128" t="s">
        <v>41</v>
      </c>
      <c r="D1128" t="s">
        <v>57</v>
      </c>
      <c r="E1128" t="s">
        <v>547</v>
      </c>
      <c r="F1128" t="s">
        <v>44</v>
      </c>
      <c r="G1128" t="s">
        <v>94</v>
      </c>
      <c r="H1128">
        <v>12</v>
      </c>
      <c r="I1128">
        <v>223.63</v>
      </c>
      <c r="J1128">
        <v>0</v>
      </c>
      <c r="K1128">
        <v>2683.56</v>
      </c>
    </row>
    <row r="1129" spans="1:11" x14ac:dyDescent="0.35">
      <c r="A1129" t="s">
        <v>1499</v>
      </c>
      <c r="B1129" s="2">
        <v>45412</v>
      </c>
      <c r="C1129" t="s">
        <v>65</v>
      </c>
      <c r="D1129" t="s">
        <v>13</v>
      </c>
      <c r="E1129" t="s">
        <v>343</v>
      </c>
      <c r="F1129" t="s">
        <v>15</v>
      </c>
      <c r="G1129" t="s">
        <v>16</v>
      </c>
      <c r="H1129">
        <v>7</v>
      </c>
      <c r="I1129">
        <v>201.89</v>
      </c>
      <c r="J1129">
        <v>0.05</v>
      </c>
      <c r="K1129">
        <v>1342.57</v>
      </c>
    </row>
    <row r="1130" spans="1:11" x14ac:dyDescent="0.35">
      <c r="A1130" t="s">
        <v>1500</v>
      </c>
      <c r="B1130" t="s">
        <v>581</v>
      </c>
      <c r="C1130" t="s">
        <v>56</v>
      </c>
      <c r="D1130" t="s">
        <v>13</v>
      </c>
      <c r="E1130" t="s">
        <v>368</v>
      </c>
      <c r="F1130" t="s">
        <v>44</v>
      </c>
      <c r="G1130" t="s">
        <v>94</v>
      </c>
      <c r="H1130">
        <v>12</v>
      </c>
      <c r="I1130">
        <v>201.69</v>
      </c>
      <c r="J1130">
        <v>0</v>
      </c>
      <c r="K1130">
        <v>2420.2800000000002</v>
      </c>
    </row>
    <row r="1131" spans="1:11" x14ac:dyDescent="0.35">
      <c r="A1131" t="s">
        <v>1501</v>
      </c>
      <c r="B1131" s="1">
        <v>45592</v>
      </c>
      <c r="C1131" t="s">
        <v>48</v>
      </c>
      <c r="D1131" t="s">
        <v>13</v>
      </c>
      <c r="E1131" t="s">
        <v>117</v>
      </c>
      <c r="F1131" t="s">
        <v>15</v>
      </c>
      <c r="G1131" t="s">
        <v>16</v>
      </c>
      <c r="H1131">
        <v>12</v>
      </c>
      <c r="I1131">
        <v>230.83</v>
      </c>
      <c r="J1131">
        <v>0.15</v>
      </c>
      <c r="K1131">
        <v>2354.4699999999998</v>
      </c>
    </row>
    <row r="1132" spans="1:11" x14ac:dyDescent="0.35">
      <c r="A1132" t="s">
        <v>1502</v>
      </c>
      <c r="B1132" s="1">
        <v>45337</v>
      </c>
      <c r="C1132" t="s">
        <v>33</v>
      </c>
      <c r="D1132" t="s">
        <v>25</v>
      </c>
      <c r="E1132" t="s">
        <v>73</v>
      </c>
      <c r="F1132" t="s">
        <v>53</v>
      </c>
      <c r="G1132" t="s">
        <v>59</v>
      </c>
      <c r="H1132">
        <v>7</v>
      </c>
      <c r="I1132">
        <v>169.58</v>
      </c>
      <c r="J1132">
        <v>0</v>
      </c>
      <c r="K1132">
        <v>1187.06</v>
      </c>
    </row>
    <row r="1133" spans="1:11" x14ac:dyDescent="0.35">
      <c r="A1133" t="s">
        <v>1503</v>
      </c>
      <c r="B1133" s="1">
        <v>45319</v>
      </c>
      <c r="C1133" t="s">
        <v>90</v>
      </c>
      <c r="D1133" t="s">
        <v>42</v>
      </c>
      <c r="E1133" t="s">
        <v>731</v>
      </c>
      <c r="F1133" t="s">
        <v>15</v>
      </c>
      <c r="G1133" t="s">
        <v>111</v>
      </c>
      <c r="H1133">
        <v>6</v>
      </c>
      <c r="I1133">
        <v>181.65</v>
      </c>
      <c r="J1133">
        <v>0</v>
      </c>
      <c r="K1133">
        <v>1089.9000000000001</v>
      </c>
    </row>
    <row r="1134" spans="1:11" x14ac:dyDescent="0.35">
      <c r="A1134" t="s">
        <v>1504</v>
      </c>
      <c r="B1134" s="2">
        <v>45325</v>
      </c>
      <c r="C1134" t="s">
        <v>102</v>
      </c>
      <c r="D1134" t="s">
        <v>57</v>
      </c>
      <c r="E1134" t="s">
        <v>751</v>
      </c>
      <c r="F1134" t="s">
        <v>21</v>
      </c>
      <c r="G1134" t="s">
        <v>167</v>
      </c>
      <c r="H1134">
        <v>10</v>
      </c>
      <c r="I1134">
        <v>125.48</v>
      </c>
      <c r="J1134">
        <v>0.15</v>
      </c>
      <c r="K1134">
        <v>1066.58</v>
      </c>
    </row>
    <row r="1135" spans="1:11" x14ac:dyDescent="0.35">
      <c r="A1135" t="s">
        <v>1505</v>
      </c>
      <c r="B1135" s="1">
        <v>45362</v>
      </c>
      <c r="C1135" t="s">
        <v>12</v>
      </c>
      <c r="D1135" t="s">
        <v>25</v>
      </c>
      <c r="E1135" t="s">
        <v>291</v>
      </c>
      <c r="F1135" t="s">
        <v>21</v>
      </c>
      <c r="G1135" t="s">
        <v>194</v>
      </c>
      <c r="H1135">
        <v>2</v>
      </c>
      <c r="I1135">
        <v>9.77</v>
      </c>
      <c r="J1135">
        <v>0.15</v>
      </c>
      <c r="K1135">
        <v>16.61</v>
      </c>
    </row>
    <row r="1136" spans="1:11" x14ac:dyDescent="0.35">
      <c r="A1136" t="s">
        <v>1506</v>
      </c>
      <c r="B1136" s="2">
        <v>45384</v>
      </c>
      <c r="C1136" t="s">
        <v>79</v>
      </c>
      <c r="D1136" t="s">
        <v>42</v>
      </c>
      <c r="E1136" t="s">
        <v>881</v>
      </c>
      <c r="F1136" t="s">
        <v>53</v>
      </c>
      <c r="G1136" t="s">
        <v>54</v>
      </c>
      <c r="H1136">
        <v>9</v>
      </c>
      <c r="I1136">
        <v>10.89</v>
      </c>
      <c r="J1136">
        <v>0</v>
      </c>
      <c r="K1136">
        <v>98.01</v>
      </c>
    </row>
    <row r="1137" spans="1:11" x14ac:dyDescent="0.35">
      <c r="A1137" t="s">
        <v>1507</v>
      </c>
      <c r="B1137" s="1">
        <v>45368</v>
      </c>
      <c r="C1137" t="s">
        <v>24</v>
      </c>
      <c r="D1137" t="s">
        <v>13</v>
      </c>
      <c r="E1137" t="s">
        <v>336</v>
      </c>
      <c r="F1137" t="s">
        <v>44</v>
      </c>
      <c r="G1137" t="s">
        <v>45</v>
      </c>
      <c r="H1137">
        <v>2</v>
      </c>
      <c r="I1137">
        <v>204.02</v>
      </c>
      <c r="J1137">
        <v>0</v>
      </c>
      <c r="K1137">
        <v>408.04</v>
      </c>
    </row>
    <row r="1138" spans="1:11" x14ac:dyDescent="0.35">
      <c r="A1138" t="s">
        <v>1508</v>
      </c>
      <c r="B1138" s="1">
        <v>45294</v>
      </c>
      <c r="C1138" t="s">
        <v>41</v>
      </c>
      <c r="D1138" t="s">
        <v>25</v>
      </c>
      <c r="E1138" t="s">
        <v>460</v>
      </c>
      <c r="F1138" t="s">
        <v>35</v>
      </c>
      <c r="G1138" t="s">
        <v>134</v>
      </c>
      <c r="H1138">
        <v>4</v>
      </c>
      <c r="I1138">
        <v>194.24</v>
      </c>
      <c r="J1138">
        <v>0</v>
      </c>
      <c r="K1138">
        <v>776.96</v>
      </c>
    </row>
    <row r="1139" spans="1:11" x14ac:dyDescent="0.35">
      <c r="A1139" t="s">
        <v>1509</v>
      </c>
      <c r="B1139" s="2">
        <v>45482</v>
      </c>
      <c r="C1139" t="s">
        <v>18</v>
      </c>
      <c r="D1139" t="s">
        <v>25</v>
      </c>
      <c r="E1139" t="s">
        <v>360</v>
      </c>
      <c r="F1139" t="s">
        <v>53</v>
      </c>
      <c r="G1139" t="s">
        <v>63</v>
      </c>
      <c r="H1139">
        <v>5</v>
      </c>
      <c r="I1139">
        <v>239.14</v>
      </c>
      <c r="J1139">
        <v>0.1</v>
      </c>
      <c r="K1139">
        <v>1076.1300000000001</v>
      </c>
    </row>
    <row r="1140" spans="1:11" x14ac:dyDescent="0.35">
      <c r="A1140" t="s">
        <v>1510</v>
      </c>
      <c r="B1140" t="s">
        <v>1048</v>
      </c>
      <c r="C1140" t="s">
        <v>65</v>
      </c>
      <c r="D1140" t="s">
        <v>19</v>
      </c>
      <c r="E1140" t="s">
        <v>472</v>
      </c>
      <c r="F1140" t="s">
        <v>44</v>
      </c>
      <c r="G1140" t="s">
        <v>50</v>
      </c>
      <c r="H1140">
        <v>9</v>
      </c>
      <c r="I1140">
        <v>249.05</v>
      </c>
      <c r="J1140">
        <v>0</v>
      </c>
      <c r="K1140">
        <v>2241.4499999999998</v>
      </c>
    </row>
    <row r="1141" spans="1:11" x14ac:dyDescent="0.35">
      <c r="A1141" t="s">
        <v>1511</v>
      </c>
      <c r="B1141" s="1">
        <v>45570</v>
      </c>
      <c r="C1141" t="s">
        <v>48</v>
      </c>
      <c r="D1141" t="s">
        <v>57</v>
      </c>
      <c r="E1141" t="s">
        <v>133</v>
      </c>
      <c r="F1141" t="s">
        <v>15</v>
      </c>
      <c r="G1141" t="s">
        <v>16</v>
      </c>
      <c r="H1141">
        <v>2</v>
      </c>
      <c r="I1141">
        <v>158.72999999999999</v>
      </c>
      <c r="J1141">
        <v>0</v>
      </c>
      <c r="K1141">
        <v>317.45999999999998</v>
      </c>
    </row>
    <row r="1142" spans="1:11" x14ac:dyDescent="0.35">
      <c r="A1142" t="s">
        <v>1512</v>
      </c>
      <c r="B1142" s="1">
        <v>45357</v>
      </c>
      <c r="C1142" t="s">
        <v>41</v>
      </c>
      <c r="D1142" t="s">
        <v>42</v>
      </c>
      <c r="E1142" t="s">
        <v>526</v>
      </c>
      <c r="F1142" t="s">
        <v>15</v>
      </c>
      <c r="G1142" t="s">
        <v>111</v>
      </c>
      <c r="H1142">
        <v>1</v>
      </c>
      <c r="I1142">
        <v>80.52</v>
      </c>
      <c r="J1142">
        <v>0</v>
      </c>
      <c r="K1142">
        <v>80.52</v>
      </c>
    </row>
    <row r="1143" spans="1:11" x14ac:dyDescent="0.35">
      <c r="A1143" t="s">
        <v>1513</v>
      </c>
      <c r="B1143" s="2">
        <v>45533</v>
      </c>
      <c r="C1143" t="s">
        <v>41</v>
      </c>
      <c r="D1143" t="s">
        <v>13</v>
      </c>
      <c r="E1143" t="s">
        <v>884</v>
      </c>
      <c r="F1143" t="s">
        <v>21</v>
      </c>
      <c r="G1143" t="s">
        <v>194</v>
      </c>
      <c r="H1143">
        <v>5</v>
      </c>
      <c r="I1143">
        <v>26.59</v>
      </c>
      <c r="J1143">
        <v>0</v>
      </c>
      <c r="K1143">
        <v>132.94999999999999</v>
      </c>
    </row>
    <row r="1144" spans="1:11" x14ac:dyDescent="0.35">
      <c r="A1144" t="s">
        <v>1514</v>
      </c>
      <c r="B1144" s="1">
        <v>45359</v>
      </c>
      <c r="C1144" t="s">
        <v>79</v>
      </c>
      <c r="D1144" t="s">
        <v>42</v>
      </c>
      <c r="E1144" t="s">
        <v>131</v>
      </c>
      <c r="F1144" t="s">
        <v>21</v>
      </c>
      <c r="G1144" t="s">
        <v>22</v>
      </c>
      <c r="H1144">
        <v>1</v>
      </c>
      <c r="I1144">
        <v>239.63</v>
      </c>
      <c r="J1144">
        <v>0</v>
      </c>
      <c r="K1144">
        <v>239.63</v>
      </c>
    </row>
    <row r="1145" spans="1:11" x14ac:dyDescent="0.35">
      <c r="A1145" t="s">
        <v>1515</v>
      </c>
      <c r="B1145" s="2">
        <v>45327</v>
      </c>
      <c r="C1145" t="s">
        <v>18</v>
      </c>
      <c r="D1145" t="s">
        <v>13</v>
      </c>
      <c r="E1145" t="s">
        <v>381</v>
      </c>
      <c r="F1145" t="s">
        <v>44</v>
      </c>
      <c r="G1145" t="s">
        <v>50</v>
      </c>
      <c r="H1145">
        <v>6</v>
      </c>
      <c r="I1145">
        <v>235.08</v>
      </c>
      <c r="J1145">
        <v>0</v>
      </c>
      <c r="K1145">
        <v>1410.48</v>
      </c>
    </row>
    <row r="1146" spans="1:11" x14ac:dyDescent="0.35">
      <c r="A1146" t="s">
        <v>1516</v>
      </c>
      <c r="B1146" s="1">
        <v>45551</v>
      </c>
      <c r="C1146" t="s">
        <v>90</v>
      </c>
      <c r="D1146" t="s">
        <v>57</v>
      </c>
      <c r="E1146" t="s">
        <v>58</v>
      </c>
      <c r="F1146" t="s">
        <v>15</v>
      </c>
      <c r="G1146" t="s">
        <v>16</v>
      </c>
      <c r="H1146">
        <v>9</v>
      </c>
      <c r="I1146">
        <v>122.1</v>
      </c>
      <c r="J1146">
        <v>0</v>
      </c>
      <c r="K1146">
        <v>1098.9000000000001</v>
      </c>
    </row>
    <row r="1147" spans="1:11" x14ac:dyDescent="0.35">
      <c r="A1147" t="s">
        <v>1517</v>
      </c>
      <c r="B1147" s="1">
        <v>45382</v>
      </c>
      <c r="C1147" t="s">
        <v>24</v>
      </c>
      <c r="D1147" t="s">
        <v>57</v>
      </c>
      <c r="E1147" t="s">
        <v>404</v>
      </c>
      <c r="F1147" t="s">
        <v>53</v>
      </c>
      <c r="G1147" t="s">
        <v>125</v>
      </c>
      <c r="H1147">
        <v>10</v>
      </c>
      <c r="I1147">
        <v>20.91</v>
      </c>
      <c r="J1147">
        <v>0</v>
      </c>
      <c r="K1147">
        <v>209.1</v>
      </c>
    </row>
    <row r="1148" spans="1:11" x14ac:dyDescent="0.35">
      <c r="A1148" t="s">
        <v>1518</v>
      </c>
      <c r="B1148" s="1">
        <v>45383</v>
      </c>
      <c r="C1148" t="s">
        <v>56</v>
      </c>
      <c r="D1148" t="s">
        <v>19</v>
      </c>
      <c r="E1148" t="s">
        <v>334</v>
      </c>
      <c r="F1148" t="s">
        <v>53</v>
      </c>
      <c r="G1148" t="s">
        <v>125</v>
      </c>
      <c r="H1148">
        <v>9</v>
      </c>
      <c r="I1148">
        <v>8.4700000000000006</v>
      </c>
      <c r="J1148">
        <v>0</v>
      </c>
      <c r="K1148">
        <v>76.23</v>
      </c>
    </row>
    <row r="1149" spans="1:11" x14ac:dyDescent="0.35">
      <c r="A1149" t="s">
        <v>1519</v>
      </c>
      <c r="B1149" s="2">
        <v>45548</v>
      </c>
      <c r="C1149" t="s">
        <v>29</v>
      </c>
      <c r="D1149" t="s">
        <v>57</v>
      </c>
      <c r="E1149" t="s">
        <v>360</v>
      </c>
      <c r="F1149" t="s">
        <v>21</v>
      </c>
      <c r="G1149" t="s">
        <v>167</v>
      </c>
      <c r="H1149">
        <v>8</v>
      </c>
      <c r="I1149">
        <v>130.13999999999999</v>
      </c>
      <c r="J1149">
        <v>0.15</v>
      </c>
      <c r="K1149">
        <v>884.95</v>
      </c>
    </row>
    <row r="1150" spans="1:11" x14ac:dyDescent="0.35">
      <c r="A1150" t="s">
        <v>1520</v>
      </c>
      <c r="B1150" s="2">
        <v>45610</v>
      </c>
      <c r="C1150" t="s">
        <v>12</v>
      </c>
      <c r="D1150" t="s">
        <v>19</v>
      </c>
      <c r="E1150" t="s">
        <v>567</v>
      </c>
      <c r="F1150" t="s">
        <v>35</v>
      </c>
      <c r="G1150" t="s">
        <v>36</v>
      </c>
      <c r="H1150">
        <v>1</v>
      </c>
      <c r="I1150">
        <v>158.22999999999999</v>
      </c>
      <c r="J1150">
        <v>0</v>
      </c>
      <c r="K1150">
        <v>158.22999999999999</v>
      </c>
    </row>
    <row r="1151" spans="1:11" x14ac:dyDescent="0.35">
      <c r="A1151" t="s">
        <v>1521</v>
      </c>
      <c r="B1151" s="1">
        <v>45612</v>
      </c>
      <c r="C1151" t="s">
        <v>56</v>
      </c>
      <c r="D1151" t="s">
        <v>57</v>
      </c>
      <c r="E1151" t="s">
        <v>659</v>
      </c>
      <c r="F1151" t="s">
        <v>15</v>
      </c>
      <c r="G1151" t="s">
        <v>74</v>
      </c>
      <c r="H1151">
        <v>1</v>
      </c>
      <c r="I1151">
        <v>220.28</v>
      </c>
      <c r="J1151">
        <v>0.1</v>
      </c>
      <c r="K1151">
        <v>198.25</v>
      </c>
    </row>
    <row r="1152" spans="1:11" x14ac:dyDescent="0.35">
      <c r="A1152" t="s">
        <v>1514</v>
      </c>
      <c r="B1152" s="1">
        <v>45359</v>
      </c>
      <c r="C1152" t="s">
        <v>79</v>
      </c>
      <c r="D1152" t="s">
        <v>42</v>
      </c>
      <c r="E1152" t="s">
        <v>131</v>
      </c>
      <c r="F1152" t="s">
        <v>21</v>
      </c>
      <c r="G1152" t="s">
        <v>22</v>
      </c>
      <c r="H1152">
        <v>1</v>
      </c>
      <c r="I1152">
        <v>239.63</v>
      </c>
      <c r="J1152">
        <v>0</v>
      </c>
      <c r="K1152">
        <v>239.63</v>
      </c>
    </row>
    <row r="1153" spans="1:11" x14ac:dyDescent="0.35">
      <c r="A1153" t="s">
        <v>1522</v>
      </c>
      <c r="B1153" t="s">
        <v>1523</v>
      </c>
      <c r="C1153" t="s">
        <v>38</v>
      </c>
      <c r="D1153" t="s">
        <v>13</v>
      </c>
      <c r="E1153" t="s">
        <v>468</v>
      </c>
      <c r="F1153" t="s">
        <v>53</v>
      </c>
      <c r="G1153" t="s">
        <v>54</v>
      </c>
      <c r="H1153">
        <v>7</v>
      </c>
      <c r="I1153">
        <v>68.97</v>
      </c>
      <c r="J1153">
        <v>0</v>
      </c>
      <c r="K1153">
        <v>482.79</v>
      </c>
    </row>
    <row r="1154" spans="1:11" x14ac:dyDescent="0.35">
      <c r="A1154" t="s">
        <v>1524</v>
      </c>
      <c r="B1154" s="2">
        <v>45478</v>
      </c>
      <c r="C1154" t="s">
        <v>102</v>
      </c>
      <c r="D1154" t="s">
        <v>19</v>
      </c>
      <c r="E1154" t="s">
        <v>158</v>
      </c>
      <c r="F1154" t="s">
        <v>21</v>
      </c>
      <c r="G1154" t="s">
        <v>129</v>
      </c>
      <c r="H1154">
        <v>11</v>
      </c>
      <c r="I1154">
        <v>49.92</v>
      </c>
      <c r="J1154">
        <v>0</v>
      </c>
      <c r="K1154">
        <v>549.12</v>
      </c>
    </row>
    <row r="1155" spans="1:11" x14ac:dyDescent="0.35">
      <c r="A1155" t="s">
        <v>1525</v>
      </c>
      <c r="B1155" s="1">
        <v>45344</v>
      </c>
      <c r="C1155" t="s">
        <v>24</v>
      </c>
      <c r="D1155" t="s">
        <v>42</v>
      </c>
      <c r="E1155" t="s">
        <v>274</v>
      </c>
      <c r="F1155" t="s">
        <v>53</v>
      </c>
      <c r="G1155" t="s">
        <v>104</v>
      </c>
      <c r="H1155">
        <v>8</v>
      </c>
      <c r="I1155">
        <v>145.65</v>
      </c>
      <c r="J1155">
        <v>0.05</v>
      </c>
      <c r="K1155">
        <v>1106.94</v>
      </c>
    </row>
    <row r="1156" spans="1:11" x14ac:dyDescent="0.35">
      <c r="A1156" t="s">
        <v>1526</v>
      </c>
      <c r="B1156" s="1">
        <v>45648</v>
      </c>
      <c r="C1156" t="s">
        <v>56</v>
      </c>
      <c r="D1156" t="s">
        <v>57</v>
      </c>
      <c r="E1156" t="s">
        <v>100</v>
      </c>
      <c r="F1156" t="s">
        <v>35</v>
      </c>
      <c r="G1156" t="s">
        <v>36</v>
      </c>
      <c r="H1156">
        <v>9</v>
      </c>
      <c r="I1156">
        <v>36.86</v>
      </c>
      <c r="J1156">
        <v>0.05</v>
      </c>
      <c r="K1156">
        <v>315.14999999999998</v>
      </c>
    </row>
    <row r="1157" spans="1:11" x14ac:dyDescent="0.35">
      <c r="A1157" t="s">
        <v>1527</v>
      </c>
      <c r="B1157" s="1">
        <v>45417</v>
      </c>
      <c r="C1157" t="s">
        <v>56</v>
      </c>
      <c r="D1157" t="s">
        <v>25</v>
      </c>
      <c r="E1157" t="s">
        <v>206</v>
      </c>
      <c r="F1157" t="s">
        <v>21</v>
      </c>
      <c r="G1157" t="s">
        <v>167</v>
      </c>
      <c r="H1157">
        <v>9</v>
      </c>
      <c r="I1157">
        <v>127.23</v>
      </c>
      <c r="J1157">
        <v>0.05</v>
      </c>
      <c r="K1157">
        <v>1087.82</v>
      </c>
    </row>
    <row r="1158" spans="1:11" x14ac:dyDescent="0.35">
      <c r="A1158" t="s">
        <v>1528</v>
      </c>
      <c r="B1158" s="1">
        <v>45414</v>
      </c>
      <c r="C1158" t="s">
        <v>41</v>
      </c>
      <c r="E1158" t="s">
        <v>656</v>
      </c>
      <c r="F1158" t="s">
        <v>35</v>
      </c>
      <c r="G1158" t="s">
        <v>67</v>
      </c>
      <c r="H1158">
        <v>11</v>
      </c>
      <c r="I1158">
        <v>8.9</v>
      </c>
      <c r="J1158">
        <v>0</v>
      </c>
      <c r="K1158">
        <v>97.9</v>
      </c>
    </row>
    <row r="1159" spans="1:11" x14ac:dyDescent="0.35">
      <c r="A1159" t="s">
        <v>1529</v>
      </c>
      <c r="B1159" s="1">
        <v>45329</v>
      </c>
      <c r="C1159" t="s">
        <v>18</v>
      </c>
      <c r="D1159" t="s">
        <v>57</v>
      </c>
      <c r="E1159" t="s">
        <v>881</v>
      </c>
      <c r="F1159" t="s">
        <v>35</v>
      </c>
      <c r="G1159" t="s">
        <v>67</v>
      </c>
      <c r="H1159">
        <v>2</v>
      </c>
      <c r="I1159">
        <v>12.35</v>
      </c>
      <c r="J1159">
        <v>0</v>
      </c>
      <c r="K1159">
        <v>24.7</v>
      </c>
    </row>
    <row r="1160" spans="1:11" x14ac:dyDescent="0.35">
      <c r="A1160" t="s">
        <v>1530</v>
      </c>
      <c r="B1160" s="1">
        <v>45578</v>
      </c>
      <c r="C1160" t="s">
        <v>41</v>
      </c>
      <c r="D1160" t="s">
        <v>13</v>
      </c>
      <c r="E1160" t="s">
        <v>508</v>
      </c>
      <c r="F1160" t="s">
        <v>21</v>
      </c>
      <c r="G1160" t="s">
        <v>194</v>
      </c>
      <c r="H1160">
        <v>2</v>
      </c>
      <c r="I1160">
        <v>230.82</v>
      </c>
      <c r="J1160">
        <v>0.1</v>
      </c>
      <c r="K1160">
        <v>415.48</v>
      </c>
    </row>
    <row r="1161" spans="1:11" x14ac:dyDescent="0.35">
      <c r="A1161" t="s">
        <v>1531</v>
      </c>
      <c r="B1161" s="1">
        <v>45630</v>
      </c>
      <c r="C1161" t="s">
        <v>24</v>
      </c>
      <c r="D1161" t="s">
        <v>25</v>
      </c>
      <c r="E1161" t="s">
        <v>77</v>
      </c>
      <c r="F1161" t="s">
        <v>53</v>
      </c>
      <c r="G1161" t="s">
        <v>260</v>
      </c>
      <c r="H1161">
        <v>1</v>
      </c>
      <c r="I1161">
        <v>169.3</v>
      </c>
      <c r="J1161">
        <v>0</v>
      </c>
      <c r="K1161">
        <v>169.3</v>
      </c>
    </row>
    <row r="1162" spans="1:11" x14ac:dyDescent="0.35">
      <c r="A1162" t="s">
        <v>1532</v>
      </c>
      <c r="B1162" s="1">
        <v>45447</v>
      </c>
      <c r="C1162" t="s">
        <v>38</v>
      </c>
      <c r="D1162" t="s">
        <v>19</v>
      </c>
      <c r="E1162" t="s">
        <v>711</v>
      </c>
      <c r="F1162" t="s">
        <v>35</v>
      </c>
      <c r="G1162" t="s">
        <v>83</v>
      </c>
      <c r="H1162">
        <v>9</v>
      </c>
      <c r="I1162">
        <v>213.52</v>
      </c>
      <c r="J1162">
        <v>0.1</v>
      </c>
      <c r="K1162">
        <v>1729.51</v>
      </c>
    </row>
    <row r="1163" spans="1:11" x14ac:dyDescent="0.35">
      <c r="A1163" t="s">
        <v>1533</v>
      </c>
      <c r="B1163" t="s">
        <v>377</v>
      </c>
      <c r="C1163" t="s">
        <v>12</v>
      </c>
      <c r="D1163" t="s">
        <v>13</v>
      </c>
      <c r="E1163" t="s">
        <v>14</v>
      </c>
      <c r="F1163" t="s">
        <v>21</v>
      </c>
      <c r="G1163" t="s">
        <v>194</v>
      </c>
      <c r="H1163">
        <v>8</v>
      </c>
      <c r="I1163">
        <v>75.040000000000006</v>
      </c>
      <c r="J1163">
        <v>0.1</v>
      </c>
      <c r="K1163">
        <v>540.29</v>
      </c>
    </row>
    <row r="1164" spans="1:11" x14ac:dyDescent="0.35">
      <c r="A1164" t="s">
        <v>1534</v>
      </c>
      <c r="B1164" s="1">
        <v>45456</v>
      </c>
      <c r="C1164" t="s">
        <v>41</v>
      </c>
      <c r="D1164" t="s">
        <v>42</v>
      </c>
      <c r="E1164" t="s">
        <v>80</v>
      </c>
      <c r="F1164" t="s">
        <v>21</v>
      </c>
      <c r="G1164" t="s">
        <v>194</v>
      </c>
      <c r="H1164">
        <v>1</v>
      </c>
      <c r="I1164">
        <v>53.78</v>
      </c>
      <c r="J1164">
        <v>0</v>
      </c>
      <c r="K1164">
        <v>53.78</v>
      </c>
    </row>
    <row r="1165" spans="1:11" x14ac:dyDescent="0.35">
      <c r="A1165" t="s">
        <v>1535</v>
      </c>
      <c r="B1165" s="1">
        <v>45387</v>
      </c>
      <c r="C1165" t="s">
        <v>41</v>
      </c>
      <c r="D1165" t="s">
        <v>13</v>
      </c>
      <c r="E1165" t="s">
        <v>696</v>
      </c>
      <c r="F1165" t="s">
        <v>44</v>
      </c>
      <c r="G1165" t="s">
        <v>107</v>
      </c>
      <c r="H1165">
        <v>10</v>
      </c>
      <c r="I1165">
        <v>211.29</v>
      </c>
      <c r="J1165">
        <v>0</v>
      </c>
      <c r="K1165">
        <v>2112.9</v>
      </c>
    </row>
    <row r="1166" spans="1:11" x14ac:dyDescent="0.35">
      <c r="A1166" t="s">
        <v>1536</v>
      </c>
      <c r="B1166" s="2">
        <v>45540</v>
      </c>
      <c r="C1166" t="s">
        <v>24</v>
      </c>
      <c r="D1166" t="s">
        <v>25</v>
      </c>
      <c r="E1166" t="s">
        <v>418</v>
      </c>
      <c r="F1166" t="s">
        <v>53</v>
      </c>
      <c r="G1166" t="s">
        <v>260</v>
      </c>
      <c r="H1166">
        <v>5</v>
      </c>
      <c r="I1166">
        <v>35.46</v>
      </c>
      <c r="J1166">
        <v>0</v>
      </c>
      <c r="K1166">
        <v>177.3</v>
      </c>
    </row>
    <row r="1167" spans="1:11" x14ac:dyDescent="0.35">
      <c r="A1167" t="s">
        <v>1537</v>
      </c>
      <c r="B1167" s="1">
        <v>45311</v>
      </c>
      <c r="C1167" t="s">
        <v>41</v>
      </c>
      <c r="D1167" t="s">
        <v>42</v>
      </c>
      <c r="E1167" t="s">
        <v>238</v>
      </c>
      <c r="F1167" t="s">
        <v>21</v>
      </c>
      <c r="G1167" t="s">
        <v>70</v>
      </c>
      <c r="H1167">
        <v>4</v>
      </c>
      <c r="I1167">
        <v>151.07</v>
      </c>
      <c r="J1167">
        <v>0.15</v>
      </c>
      <c r="K1167">
        <v>513.64</v>
      </c>
    </row>
    <row r="1168" spans="1:11" x14ac:dyDescent="0.35">
      <c r="A1168" t="s">
        <v>1538</v>
      </c>
      <c r="B1168" s="1">
        <v>45593</v>
      </c>
      <c r="C1168" t="s">
        <v>38</v>
      </c>
      <c r="D1168" t="s">
        <v>57</v>
      </c>
      <c r="E1168" t="s">
        <v>113</v>
      </c>
      <c r="F1168" t="s">
        <v>15</v>
      </c>
      <c r="G1168" t="s">
        <v>147</v>
      </c>
      <c r="H1168">
        <v>8</v>
      </c>
      <c r="I1168">
        <v>144.4</v>
      </c>
      <c r="J1168">
        <v>0.15</v>
      </c>
      <c r="K1168">
        <v>981.92</v>
      </c>
    </row>
    <row r="1169" spans="1:11" x14ac:dyDescent="0.35">
      <c r="A1169" t="s">
        <v>1539</v>
      </c>
      <c r="B1169" s="1">
        <v>45634</v>
      </c>
      <c r="C1169" t="s">
        <v>72</v>
      </c>
      <c r="D1169" t="s">
        <v>42</v>
      </c>
      <c r="E1169" t="s">
        <v>243</v>
      </c>
      <c r="F1169" t="s">
        <v>15</v>
      </c>
      <c r="G1169" t="s">
        <v>74</v>
      </c>
      <c r="H1169">
        <v>4</v>
      </c>
      <c r="I1169">
        <v>132.83000000000001</v>
      </c>
      <c r="J1169">
        <v>0.1</v>
      </c>
      <c r="K1169">
        <v>478.19</v>
      </c>
    </row>
    <row r="1170" spans="1:11" x14ac:dyDescent="0.35">
      <c r="A1170" t="s">
        <v>1540</v>
      </c>
      <c r="B1170" s="2">
        <v>45376</v>
      </c>
      <c r="C1170" t="s">
        <v>38</v>
      </c>
      <c r="D1170" t="s">
        <v>25</v>
      </c>
      <c r="E1170" t="s">
        <v>52</v>
      </c>
      <c r="F1170" t="s">
        <v>44</v>
      </c>
      <c r="G1170" t="s">
        <v>50</v>
      </c>
      <c r="H1170">
        <v>12</v>
      </c>
      <c r="I1170">
        <v>103.99</v>
      </c>
      <c r="J1170">
        <v>0</v>
      </c>
      <c r="K1170">
        <v>1247.8800000000001</v>
      </c>
    </row>
    <row r="1171" spans="1:11" x14ac:dyDescent="0.35">
      <c r="A1171" t="s">
        <v>1541</v>
      </c>
      <c r="B1171" s="1">
        <v>45298</v>
      </c>
      <c r="C1171" t="s">
        <v>33</v>
      </c>
      <c r="D1171" t="s">
        <v>19</v>
      </c>
      <c r="E1171" t="s">
        <v>881</v>
      </c>
      <c r="F1171" t="s">
        <v>44</v>
      </c>
      <c r="G1171" t="s">
        <v>86</v>
      </c>
      <c r="H1171">
        <v>9</v>
      </c>
      <c r="I1171">
        <v>47.81</v>
      </c>
      <c r="J1171">
        <v>0</v>
      </c>
      <c r="K1171">
        <v>430.29</v>
      </c>
    </row>
    <row r="1172" spans="1:11" x14ac:dyDescent="0.35">
      <c r="A1172" t="s">
        <v>1542</v>
      </c>
      <c r="B1172" t="s">
        <v>141</v>
      </c>
      <c r="C1172" t="s">
        <v>79</v>
      </c>
      <c r="D1172" t="s">
        <v>57</v>
      </c>
      <c r="E1172" t="s">
        <v>221</v>
      </c>
      <c r="F1172" t="s">
        <v>44</v>
      </c>
      <c r="G1172" t="s">
        <v>86</v>
      </c>
      <c r="H1172">
        <v>10</v>
      </c>
      <c r="I1172">
        <v>198.35</v>
      </c>
      <c r="J1172">
        <v>0</v>
      </c>
      <c r="K1172">
        <v>1983.5</v>
      </c>
    </row>
    <row r="1173" spans="1:11" x14ac:dyDescent="0.35">
      <c r="A1173" t="s">
        <v>1543</v>
      </c>
      <c r="B1173" s="1">
        <v>45300</v>
      </c>
      <c r="C1173" t="s">
        <v>90</v>
      </c>
      <c r="D1173" t="s">
        <v>57</v>
      </c>
      <c r="E1173" t="s">
        <v>608</v>
      </c>
      <c r="F1173" t="s">
        <v>15</v>
      </c>
      <c r="G1173" t="s">
        <v>111</v>
      </c>
      <c r="H1173">
        <v>4</v>
      </c>
      <c r="I1173">
        <v>8.3800000000000008</v>
      </c>
      <c r="J1173">
        <v>0</v>
      </c>
      <c r="K1173">
        <v>33.520000000000003</v>
      </c>
    </row>
    <row r="1174" spans="1:11" x14ac:dyDescent="0.35">
      <c r="A1174" t="s">
        <v>1544</v>
      </c>
      <c r="B1174" t="s">
        <v>1545</v>
      </c>
      <c r="C1174" t="s">
        <v>90</v>
      </c>
      <c r="D1174" t="s">
        <v>19</v>
      </c>
      <c r="E1174" t="s">
        <v>567</v>
      </c>
      <c r="F1174" t="s">
        <v>21</v>
      </c>
      <c r="G1174" t="s">
        <v>167</v>
      </c>
      <c r="H1174">
        <v>1</v>
      </c>
      <c r="I1174">
        <v>70.94</v>
      </c>
      <c r="J1174">
        <v>0</v>
      </c>
      <c r="K1174">
        <v>70.94</v>
      </c>
    </row>
    <row r="1175" spans="1:11" x14ac:dyDescent="0.35">
      <c r="A1175" t="s">
        <v>1546</v>
      </c>
      <c r="B1175" s="1">
        <v>45562</v>
      </c>
      <c r="C1175" t="s">
        <v>65</v>
      </c>
      <c r="D1175" t="s">
        <v>25</v>
      </c>
      <c r="E1175" t="s">
        <v>66</v>
      </c>
      <c r="F1175" t="s">
        <v>35</v>
      </c>
      <c r="G1175" t="s">
        <v>134</v>
      </c>
      <c r="H1175">
        <v>12</v>
      </c>
      <c r="I1175">
        <v>69.09</v>
      </c>
      <c r="J1175">
        <v>0</v>
      </c>
      <c r="K1175">
        <v>829.08</v>
      </c>
    </row>
    <row r="1176" spans="1:11" x14ac:dyDescent="0.35">
      <c r="A1176" t="s">
        <v>1547</v>
      </c>
      <c r="B1176" s="2">
        <v>45616</v>
      </c>
      <c r="C1176" t="s">
        <v>79</v>
      </c>
      <c r="D1176" t="s">
        <v>19</v>
      </c>
      <c r="E1176" t="s">
        <v>448</v>
      </c>
      <c r="F1176" t="s">
        <v>53</v>
      </c>
      <c r="G1176" t="s">
        <v>125</v>
      </c>
      <c r="H1176">
        <v>3</v>
      </c>
      <c r="I1176">
        <v>203.09</v>
      </c>
      <c r="J1176">
        <v>0</v>
      </c>
      <c r="K1176">
        <v>609.27</v>
      </c>
    </row>
    <row r="1177" spans="1:11" x14ac:dyDescent="0.35">
      <c r="A1177" t="s">
        <v>1548</v>
      </c>
      <c r="B1177" s="2">
        <v>45355</v>
      </c>
      <c r="C1177" t="s">
        <v>18</v>
      </c>
      <c r="D1177" t="s">
        <v>42</v>
      </c>
      <c r="E1177" t="s">
        <v>590</v>
      </c>
      <c r="F1177" t="s">
        <v>53</v>
      </c>
      <c r="G1177" t="s">
        <v>104</v>
      </c>
      <c r="H1177">
        <v>11</v>
      </c>
      <c r="I1177">
        <v>6.69</v>
      </c>
      <c r="J1177">
        <v>0</v>
      </c>
      <c r="K1177">
        <v>73.59</v>
      </c>
    </row>
    <row r="1178" spans="1:11" x14ac:dyDescent="0.35">
      <c r="A1178" t="s">
        <v>1549</v>
      </c>
      <c r="B1178" s="1">
        <v>45567</v>
      </c>
      <c r="C1178" t="s">
        <v>90</v>
      </c>
      <c r="D1178" t="s">
        <v>57</v>
      </c>
      <c r="E1178" t="s">
        <v>346</v>
      </c>
      <c r="F1178" t="s">
        <v>21</v>
      </c>
      <c r="G1178" t="s">
        <v>167</v>
      </c>
      <c r="H1178">
        <v>9</v>
      </c>
      <c r="I1178">
        <v>232.31</v>
      </c>
      <c r="J1178">
        <v>0</v>
      </c>
      <c r="K1178">
        <v>2090.79</v>
      </c>
    </row>
    <row r="1179" spans="1:11" x14ac:dyDescent="0.35">
      <c r="A1179" t="s">
        <v>1550</v>
      </c>
      <c r="B1179" s="2">
        <v>45433</v>
      </c>
      <c r="C1179" t="s">
        <v>48</v>
      </c>
      <c r="D1179" t="s">
        <v>25</v>
      </c>
      <c r="E1179" t="s">
        <v>433</v>
      </c>
      <c r="F1179" t="s">
        <v>53</v>
      </c>
      <c r="G1179" t="s">
        <v>260</v>
      </c>
      <c r="H1179">
        <v>7</v>
      </c>
      <c r="I1179">
        <v>78.56</v>
      </c>
      <c r="J1179">
        <v>0</v>
      </c>
      <c r="K1179">
        <v>549.91999999999996</v>
      </c>
    </row>
    <row r="1180" spans="1:11" x14ac:dyDescent="0.35">
      <c r="A1180" t="s">
        <v>1551</v>
      </c>
      <c r="B1180" s="1">
        <v>45648</v>
      </c>
      <c r="C1180" t="s">
        <v>90</v>
      </c>
      <c r="D1180" t="s">
        <v>25</v>
      </c>
      <c r="E1180" t="s">
        <v>103</v>
      </c>
      <c r="F1180" t="s">
        <v>21</v>
      </c>
      <c r="G1180" t="s">
        <v>194</v>
      </c>
      <c r="H1180">
        <v>5</v>
      </c>
      <c r="I1180">
        <v>109.24</v>
      </c>
      <c r="J1180">
        <v>0.05</v>
      </c>
      <c r="K1180">
        <v>518.89</v>
      </c>
    </row>
    <row r="1181" spans="1:11" x14ac:dyDescent="0.35">
      <c r="A1181" t="s">
        <v>1552</v>
      </c>
      <c r="B1181" s="2">
        <v>45523</v>
      </c>
      <c r="C1181" t="s">
        <v>33</v>
      </c>
      <c r="D1181" t="s">
        <v>19</v>
      </c>
      <c r="E1181" t="s">
        <v>769</v>
      </c>
      <c r="F1181" t="s">
        <v>44</v>
      </c>
      <c r="G1181" t="s">
        <v>107</v>
      </c>
      <c r="H1181">
        <v>3</v>
      </c>
      <c r="I1181">
        <v>219.01</v>
      </c>
      <c r="J1181">
        <v>0</v>
      </c>
      <c r="K1181">
        <v>657.03</v>
      </c>
    </row>
    <row r="1182" spans="1:11" x14ac:dyDescent="0.35">
      <c r="A1182" t="s">
        <v>1553</v>
      </c>
      <c r="B1182" s="1">
        <v>45453</v>
      </c>
      <c r="C1182" t="s">
        <v>18</v>
      </c>
      <c r="D1182" t="s">
        <v>57</v>
      </c>
      <c r="E1182" t="s">
        <v>547</v>
      </c>
      <c r="F1182" t="s">
        <v>15</v>
      </c>
      <c r="G1182" t="s">
        <v>74</v>
      </c>
      <c r="H1182">
        <v>9</v>
      </c>
      <c r="I1182">
        <v>131.27000000000001</v>
      </c>
      <c r="J1182">
        <v>0.05</v>
      </c>
      <c r="K1182">
        <v>1122.3599999999999</v>
      </c>
    </row>
    <row r="1183" spans="1:11" x14ac:dyDescent="0.35">
      <c r="A1183" t="s">
        <v>1554</v>
      </c>
      <c r="B1183" s="1">
        <v>45350</v>
      </c>
      <c r="C1183" t="s">
        <v>33</v>
      </c>
      <c r="D1183" t="s">
        <v>19</v>
      </c>
      <c r="E1183" t="s">
        <v>847</v>
      </c>
      <c r="F1183" t="s">
        <v>15</v>
      </c>
      <c r="G1183" t="s">
        <v>111</v>
      </c>
      <c r="H1183">
        <v>9</v>
      </c>
      <c r="I1183">
        <v>46.6</v>
      </c>
      <c r="J1183">
        <v>0</v>
      </c>
      <c r="K1183">
        <v>419.4</v>
      </c>
    </row>
    <row r="1184" spans="1:11" x14ac:dyDescent="0.35">
      <c r="A1184" t="s">
        <v>1555</v>
      </c>
      <c r="B1184" s="2">
        <v>45374</v>
      </c>
      <c r="C1184" t="s">
        <v>38</v>
      </c>
      <c r="D1184" t="s">
        <v>42</v>
      </c>
      <c r="E1184" t="s">
        <v>219</v>
      </c>
      <c r="F1184" t="s">
        <v>15</v>
      </c>
      <c r="G1184" t="s">
        <v>74</v>
      </c>
      <c r="H1184">
        <v>3</v>
      </c>
      <c r="I1184">
        <v>55</v>
      </c>
      <c r="J1184">
        <v>0</v>
      </c>
      <c r="K1184">
        <v>165</v>
      </c>
    </row>
    <row r="1185" spans="1:11" x14ac:dyDescent="0.35">
      <c r="A1185" t="s">
        <v>1556</v>
      </c>
      <c r="B1185" s="2">
        <v>45608</v>
      </c>
      <c r="C1185" t="s">
        <v>33</v>
      </c>
      <c r="D1185" t="s">
        <v>57</v>
      </c>
      <c r="E1185" t="s">
        <v>360</v>
      </c>
      <c r="F1185" t="s">
        <v>21</v>
      </c>
      <c r="G1185" t="s">
        <v>70</v>
      </c>
      <c r="H1185">
        <v>1</v>
      </c>
      <c r="I1185">
        <v>166.52</v>
      </c>
      <c r="J1185">
        <v>0</v>
      </c>
      <c r="K1185">
        <v>166.52</v>
      </c>
    </row>
    <row r="1186" spans="1:11" x14ac:dyDescent="0.35">
      <c r="A1186" t="s">
        <v>1557</v>
      </c>
      <c r="B1186" s="2">
        <v>45497</v>
      </c>
      <c r="C1186" t="s">
        <v>102</v>
      </c>
      <c r="D1186" t="s">
        <v>25</v>
      </c>
      <c r="E1186" t="s">
        <v>189</v>
      </c>
      <c r="F1186" t="s">
        <v>53</v>
      </c>
      <c r="G1186" t="s">
        <v>54</v>
      </c>
      <c r="H1186">
        <v>6</v>
      </c>
      <c r="I1186">
        <v>138.19</v>
      </c>
      <c r="J1186">
        <v>0.15</v>
      </c>
      <c r="K1186">
        <v>704.77</v>
      </c>
    </row>
    <row r="1187" spans="1:11" x14ac:dyDescent="0.35">
      <c r="A1187" t="s">
        <v>1558</v>
      </c>
      <c r="B1187" s="1">
        <v>45464</v>
      </c>
      <c r="C1187" t="s">
        <v>29</v>
      </c>
      <c r="D1187" t="s">
        <v>19</v>
      </c>
      <c r="E1187" t="s">
        <v>1155</v>
      </c>
      <c r="F1187" t="s">
        <v>53</v>
      </c>
      <c r="G1187" t="s">
        <v>125</v>
      </c>
      <c r="H1187">
        <v>6</v>
      </c>
      <c r="I1187">
        <v>50.84</v>
      </c>
      <c r="J1187">
        <v>0</v>
      </c>
      <c r="K1187">
        <v>305.04000000000002</v>
      </c>
    </row>
    <row r="1188" spans="1:11" x14ac:dyDescent="0.35">
      <c r="A1188" t="s">
        <v>1559</v>
      </c>
      <c r="B1188" s="2">
        <v>45583</v>
      </c>
      <c r="C1188" t="s">
        <v>18</v>
      </c>
      <c r="D1188" t="s">
        <v>19</v>
      </c>
      <c r="E1188" t="s">
        <v>117</v>
      </c>
      <c r="F1188" t="s">
        <v>35</v>
      </c>
      <c r="G1188" t="s">
        <v>83</v>
      </c>
      <c r="H1188">
        <v>10</v>
      </c>
      <c r="I1188">
        <v>117.75</v>
      </c>
      <c r="J1188">
        <v>0</v>
      </c>
      <c r="K1188">
        <v>1177.5</v>
      </c>
    </row>
    <row r="1189" spans="1:11" x14ac:dyDescent="0.35">
      <c r="A1189" t="s">
        <v>1560</v>
      </c>
      <c r="B1189" s="1">
        <v>45608</v>
      </c>
      <c r="C1189" t="s">
        <v>24</v>
      </c>
      <c r="D1189" t="s">
        <v>25</v>
      </c>
      <c r="E1189" t="s">
        <v>14</v>
      </c>
      <c r="F1189" t="s">
        <v>53</v>
      </c>
      <c r="G1189" t="s">
        <v>63</v>
      </c>
      <c r="H1189">
        <v>11</v>
      </c>
      <c r="I1189">
        <v>48</v>
      </c>
      <c r="J1189">
        <v>0.05</v>
      </c>
      <c r="K1189">
        <v>501.6</v>
      </c>
    </row>
    <row r="1190" spans="1:11" x14ac:dyDescent="0.35">
      <c r="A1190" t="s">
        <v>1561</v>
      </c>
      <c r="B1190" s="1">
        <v>45603</v>
      </c>
      <c r="C1190" t="s">
        <v>41</v>
      </c>
      <c r="D1190" t="s">
        <v>25</v>
      </c>
      <c r="E1190" t="s">
        <v>1159</v>
      </c>
      <c r="F1190" t="s">
        <v>53</v>
      </c>
      <c r="G1190" t="s">
        <v>104</v>
      </c>
      <c r="H1190">
        <v>2</v>
      </c>
      <c r="I1190">
        <v>78.13</v>
      </c>
      <c r="J1190">
        <v>0.05</v>
      </c>
      <c r="K1190">
        <v>148.44999999999999</v>
      </c>
    </row>
    <row r="1191" spans="1:11" x14ac:dyDescent="0.35">
      <c r="A1191" t="s">
        <v>1562</v>
      </c>
      <c r="B1191" s="2">
        <v>45411</v>
      </c>
      <c r="C1191" t="s">
        <v>90</v>
      </c>
      <c r="D1191" t="s">
        <v>42</v>
      </c>
      <c r="E1191" t="s">
        <v>460</v>
      </c>
      <c r="F1191" t="s">
        <v>35</v>
      </c>
      <c r="G1191" t="s">
        <v>177</v>
      </c>
      <c r="H1191">
        <v>2</v>
      </c>
      <c r="I1191">
        <v>232.82</v>
      </c>
      <c r="J1191">
        <v>0.1</v>
      </c>
      <c r="K1191">
        <v>419.08</v>
      </c>
    </row>
    <row r="1192" spans="1:11" x14ac:dyDescent="0.35">
      <c r="A1192" t="s">
        <v>1563</v>
      </c>
      <c r="B1192" s="2">
        <v>45343</v>
      </c>
      <c r="C1192" t="s">
        <v>33</v>
      </c>
      <c r="D1192" t="s">
        <v>42</v>
      </c>
      <c r="E1192" t="s">
        <v>96</v>
      </c>
      <c r="F1192" t="s">
        <v>53</v>
      </c>
      <c r="G1192" t="s">
        <v>54</v>
      </c>
      <c r="H1192">
        <v>7</v>
      </c>
      <c r="I1192">
        <v>199.88</v>
      </c>
      <c r="J1192">
        <v>0</v>
      </c>
      <c r="K1192">
        <v>1399.16</v>
      </c>
    </row>
    <row r="1193" spans="1:11" x14ac:dyDescent="0.35">
      <c r="A1193" t="s">
        <v>1564</v>
      </c>
      <c r="B1193" s="2">
        <v>45362</v>
      </c>
      <c r="C1193" t="s">
        <v>48</v>
      </c>
      <c r="D1193" t="s">
        <v>57</v>
      </c>
      <c r="E1193" t="s">
        <v>124</v>
      </c>
      <c r="F1193" t="s">
        <v>15</v>
      </c>
      <c r="G1193" t="s">
        <v>74</v>
      </c>
      <c r="H1193">
        <v>7</v>
      </c>
      <c r="I1193">
        <v>35.159999999999997</v>
      </c>
      <c r="J1193">
        <v>0</v>
      </c>
      <c r="K1193">
        <v>246.12</v>
      </c>
    </row>
    <row r="1194" spans="1:11" x14ac:dyDescent="0.35">
      <c r="A1194" t="s">
        <v>1565</v>
      </c>
      <c r="B1194" s="2">
        <v>45576</v>
      </c>
      <c r="C1194" t="s">
        <v>41</v>
      </c>
      <c r="D1194" t="s">
        <v>25</v>
      </c>
      <c r="E1194" t="s">
        <v>360</v>
      </c>
      <c r="F1194" t="s">
        <v>15</v>
      </c>
      <c r="G1194" t="s">
        <v>147</v>
      </c>
      <c r="H1194">
        <v>10</v>
      </c>
      <c r="I1194">
        <v>84.2</v>
      </c>
      <c r="J1194">
        <v>0</v>
      </c>
      <c r="K1194">
        <v>842</v>
      </c>
    </row>
    <row r="1195" spans="1:11" x14ac:dyDescent="0.35">
      <c r="A1195" t="s">
        <v>1566</v>
      </c>
      <c r="B1195" s="1">
        <v>45504</v>
      </c>
      <c r="C1195" t="s">
        <v>18</v>
      </c>
      <c r="D1195" t="s">
        <v>13</v>
      </c>
      <c r="E1195" t="s">
        <v>351</v>
      </c>
      <c r="F1195" t="s">
        <v>53</v>
      </c>
      <c r="G1195" t="s">
        <v>125</v>
      </c>
      <c r="H1195">
        <v>12</v>
      </c>
      <c r="I1195">
        <v>111.48</v>
      </c>
      <c r="J1195">
        <v>0</v>
      </c>
      <c r="K1195">
        <v>1337.76</v>
      </c>
    </row>
    <row r="1196" spans="1:11" x14ac:dyDescent="0.35">
      <c r="A1196" t="s">
        <v>1567</v>
      </c>
      <c r="B1196" s="1">
        <v>45640</v>
      </c>
      <c r="C1196" t="s">
        <v>12</v>
      </c>
      <c r="D1196" t="s">
        <v>13</v>
      </c>
      <c r="E1196" t="s">
        <v>299</v>
      </c>
      <c r="F1196" t="s">
        <v>44</v>
      </c>
      <c r="G1196" t="s">
        <v>86</v>
      </c>
      <c r="H1196">
        <v>6</v>
      </c>
      <c r="I1196">
        <v>248.22</v>
      </c>
      <c r="J1196">
        <v>0</v>
      </c>
      <c r="K1196">
        <v>1489.32</v>
      </c>
    </row>
    <row r="1197" spans="1:11" x14ac:dyDescent="0.35">
      <c r="A1197" t="s">
        <v>1568</v>
      </c>
      <c r="B1197" s="1">
        <v>45372</v>
      </c>
      <c r="C1197" t="s">
        <v>56</v>
      </c>
      <c r="D1197" t="s">
        <v>13</v>
      </c>
      <c r="E1197" t="s">
        <v>489</v>
      </c>
      <c r="F1197" t="s">
        <v>53</v>
      </c>
      <c r="G1197" t="s">
        <v>260</v>
      </c>
      <c r="H1197">
        <v>2</v>
      </c>
      <c r="I1197">
        <v>123.84</v>
      </c>
      <c r="J1197">
        <v>0</v>
      </c>
      <c r="K1197">
        <v>247.68</v>
      </c>
    </row>
    <row r="1198" spans="1:11" x14ac:dyDescent="0.35">
      <c r="A1198" t="s">
        <v>1569</v>
      </c>
      <c r="B1198" t="s">
        <v>1409</v>
      </c>
      <c r="C1198" t="s">
        <v>102</v>
      </c>
      <c r="D1198" t="s">
        <v>19</v>
      </c>
      <c r="E1198" t="s">
        <v>241</v>
      </c>
      <c r="F1198" t="s">
        <v>15</v>
      </c>
      <c r="G1198" t="s">
        <v>27</v>
      </c>
      <c r="H1198">
        <v>2</v>
      </c>
      <c r="I1198">
        <v>197.09</v>
      </c>
      <c r="J1198">
        <v>0.1</v>
      </c>
      <c r="K1198">
        <v>354.76</v>
      </c>
    </row>
    <row r="1199" spans="1:11" x14ac:dyDescent="0.35">
      <c r="A1199" t="s">
        <v>1570</v>
      </c>
      <c r="B1199" s="1">
        <v>45585</v>
      </c>
      <c r="C1199" t="s">
        <v>29</v>
      </c>
      <c r="D1199" t="s">
        <v>57</v>
      </c>
      <c r="E1199" t="s">
        <v>158</v>
      </c>
      <c r="F1199" t="s">
        <v>44</v>
      </c>
      <c r="G1199" t="s">
        <v>86</v>
      </c>
      <c r="H1199">
        <v>4</v>
      </c>
      <c r="I1199">
        <v>79.16</v>
      </c>
      <c r="J1199">
        <v>0.05</v>
      </c>
      <c r="K1199">
        <v>300.81</v>
      </c>
    </row>
    <row r="1200" spans="1:11" x14ac:dyDescent="0.35">
      <c r="A1200" t="s">
        <v>1571</v>
      </c>
      <c r="B1200" s="1">
        <v>45586</v>
      </c>
      <c r="C1200" t="s">
        <v>72</v>
      </c>
      <c r="D1200" t="s">
        <v>13</v>
      </c>
      <c r="E1200" t="s">
        <v>282</v>
      </c>
      <c r="F1200" t="s">
        <v>44</v>
      </c>
      <c r="G1200" t="s">
        <v>50</v>
      </c>
      <c r="H1200">
        <v>7</v>
      </c>
      <c r="I1200">
        <v>162.78</v>
      </c>
      <c r="J1200">
        <v>0.15</v>
      </c>
      <c r="K1200">
        <v>968.54</v>
      </c>
    </row>
    <row r="1201" spans="1:11" x14ac:dyDescent="0.35">
      <c r="A1201" t="s">
        <v>1572</v>
      </c>
      <c r="B1201" t="s">
        <v>1573</v>
      </c>
      <c r="C1201" t="s">
        <v>38</v>
      </c>
      <c r="D1201" t="s">
        <v>13</v>
      </c>
      <c r="E1201" t="s">
        <v>85</v>
      </c>
      <c r="F1201" t="s">
        <v>15</v>
      </c>
      <c r="G1201" t="s">
        <v>111</v>
      </c>
      <c r="H1201">
        <v>2</v>
      </c>
      <c r="I1201">
        <v>128.69999999999999</v>
      </c>
      <c r="J1201">
        <v>0</v>
      </c>
      <c r="K1201">
        <v>257.39999999999998</v>
      </c>
    </row>
    <row r="1202" spans="1:11" x14ac:dyDescent="0.35">
      <c r="A1202" t="s">
        <v>1574</v>
      </c>
      <c r="B1202" s="2">
        <v>45608</v>
      </c>
      <c r="C1202" t="s">
        <v>90</v>
      </c>
      <c r="D1202" t="s">
        <v>13</v>
      </c>
      <c r="E1202" t="s">
        <v>217</v>
      </c>
      <c r="F1202" t="s">
        <v>53</v>
      </c>
      <c r="G1202" t="s">
        <v>125</v>
      </c>
      <c r="H1202">
        <v>6</v>
      </c>
      <c r="I1202">
        <v>14.5</v>
      </c>
      <c r="J1202">
        <v>0.15</v>
      </c>
      <c r="K1202">
        <v>73.95</v>
      </c>
    </row>
    <row r="1203" spans="1:11" x14ac:dyDescent="0.35">
      <c r="A1203" t="s">
        <v>1575</v>
      </c>
      <c r="B1203" t="s">
        <v>1048</v>
      </c>
      <c r="C1203" t="s">
        <v>65</v>
      </c>
      <c r="D1203" t="s">
        <v>42</v>
      </c>
      <c r="E1203" t="s">
        <v>133</v>
      </c>
      <c r="F1203" t="s">
        <v>53</v>
      </c>
      <c r="G1203" t="s">
        <v>104</v>
      </c>
      <c r="H1203">
        <v>9</v>
      </c>
      <c r="I1203">
        <v>119.44</v>
      </c>
      <c r="J1203">
        <v>0.15</v>
      </c>
      <c r="K1203">
        <v>913.72</v>
      </c>
    </row>
    <row r="1204" spans="1:11" x14ac:dyDescent="0.35">
      <c r="A1204" t="s">
        <v>1576</v>
      </c>
      <c r="B1204" s="2">
        <v>45472</v>
      </c>
      <c r="C1204" t="s">
        <v>18</v>
      </c>
      <c r="D1204" t="s">
        <v>25</v>
      </c>
      <c r="E1204" t="s">
        <v>368</v>
      </c>
      <c r="F1204" t="s">
        <v>21</v>
      </c>
      <c r="G1204" t="s">
        <v>70</v>
      </c>
      <c r="H1204">
        <v>1</v>
      </c>
      <c r="I1204">
        <v>106.77</v>
      </c>
      <c r="J1204">
        <v>0</v>
      </c>
      <c r="K1204">
        <v>106.77</v>
      </c>
    </row>
    <row r="1205" spans="1:11" x14ac:dyDescent="0.35">
      <c r="A1205" t="s">
        <v>1577</v>
      </c>
      <c r="B1205" s="2">
        <v>45431</v>
      </c>
      <c r="C1205" t="s">
        <v>102</v>
      </c>
      <c r="D1205" t="s">
        <v>19</v>
      </c>
      <c r="E1205" t="s">
        <v>30</v>
      </c>
      <c r="F1205" t="s">
        <v>35</v>
      </c>
      <c r="G1205" t="s">
        <v>177</v>
      </c>
      <c r="H1205">
        <v>8</v>
      </c>
      <c r="I1205">
        <v>11.06</v>
      </c>
      <c r="J1205">
        <v>0</v>
      </c>
      <c r="K1205">
        <v>88.48</v>
      </c>
    </row>
    <row r="1206" spans="1:11" x14ac:dyDescent="0.35">
      <c r="A1206" t="s">
        <v>1578</v>
      </c>
      <c r="B1206" s="1">
        <v>45598</v>
      </c>
      <c r="C1206" t="s">
        <v>33</v>
      </c>
      <c r="D1206" t="s">
        <v>57</v>
      </c>
      <c r="E1206" t="s">
        <v>590</v>
      </c>
      <c r="F1206" t="s">
        <v>21</v>
      </c>
      <c r="G1206" t="s">
        <v>70</v>
      </c>
      <c r="H1206">
        <v>9</v>
      </c>
      <c r="I1206">
        <v>240.16</v>
      </c>
      <c r="J1206">
        <v>0.1</v>
      </c>
      <c r="K1206">
        <v>1945.3</v>
      </c>
    </row>
    <row r="1207" spans="1:11" x14ac:dyDescent="0.35">
      <c r="A1207" t="s">
        <v>1579</v>
      </c>
      <c r="B1207" s="2">
        <v>45467</v>
      </c>
      <c r="C1207" t="s">
        <v>102</v>
      </c>
      <c r="D1207" t="s">
        <v>19</v>
      </c>
      <c r="E1207" t="s">
        <v>193</v>
      </c>
      <c r="F1207" t="s">
        <v>21</v>
      </c>
      <c r="G1207" t="s">
        <v>194</v>
      </c>
      <c r="H1207">
        <v>12</v>
      </c>
      <c r="I1207">
        <v>57.1</v>
      </c>
      <c r="J1207">
        <v>0.05</v>
      </c>
      <c r="K1207">
        <v>650.94000000000005</v>
      </c>
    </row>
    <row r="1208" spans="1:11" x14ac:dyDescent="0.35">
      <c r="A1208" t="s">
        <v>1580</v>
      </c>
      <c r="B1208" s="1">
        <v>45476</v>
      </c>
      <c r="C1208" t="s">
        <v>48</v>
      </c>
      <c r="D1208" t="s">
        <v>19</v>
      </c>
      <c r="E1208" t="s">
        <v>360</v>
      </c>
      <c r="F1208" t="s">
        <v>35</v>
      </c>
      <c r="G1208" t="s">
        <v>36</v>
      </c>
      <c r="H1208">
        <v>5</v>
      </c>
      <c r="I1208">
        <v>142.29</v>
      </c>
      <c r="J1208">
        <v>0</v>
      </c>
      <c r="K1208">
        <v>711.45</v>
      </c>
    </row>
    <row r="1209" spans="1:11" x14ac:dyDescent="0.35">
      <c r="A1209" t="s">
        <v>1581</v>
      </c>
      <c r="B1209" s="1">
        <v>45598</v>
      </c>
      <c r="C1209" t="s">
        <v>90</v>
      </c>
      <c r="D1209" t="s">
        <v>42</v>
      </c>
      <c r="E1209" t="s">
        <v>547</v>
      </c>
      <c r="F1209" t="s">
        <v>44</v>
      </c>
      <c r="G1209" t="s">
        <v>94</v>
      </c>
      <c r="H1209">
        <v>5</v>
      </c>
      <c r="I1209">
        <v>6.88</v>
      </c>
      <c r="J1209">
        <v>0</v>
      </c>
      <c r="K1209">
        <v>34.4</v>
      </c>
    </row>
    <row r="1210" spans="1:11" x14ac:dyDescent="0.35">
      <c r="A1210" t="s">
        <v>1582</v>
      </c>
      <c r="B1210" s="2">
        <v>45507</v>
      </c>
      <c r="C1210" t="s">
        <v>65</v>
      </c>
      <c r="D1210" t="s">
        <v>25</v>
      </c>
      <c r="E1210" t="s">
        <v>810</v>
      </c>
      <c r="F1210" t="s">
        <v>53</v>
      </c>
      <c r="G1210" t="s">
        <v>125</v>
      </c>
      <c r="H1210">
        <v>1</v>
      </c>
      <c r="I1210">
        <v>180.98</v>
      </c>
      <c r="J1210">
        <v>0</v>
      </c>
      <c r="K1210">
        <v>180.98</v>
      </c>
    </row>
    <row r="1211" spans="1:11" x14ac:dyDescent="0.35">
      <c r="A1211" t="s">
        <v>1583</v>
      </c>
      <c r="B1211" s="1">
        <v>45599</v>
      </c>
      <c r="C1211" t="s">
        <v>38</v>
      </c>
      <c r="D1211" t="s">
        <v>57</v>
      </c>
      <c r="E1211" t="s">
        <v>547</v>
      </c>
      <c r="F1211" t="s">
        <v>35</v>
      </c>
      <c r="G1211" t="s">
        <v>67</v>
      </c>
      <c r="H1211">
        <v>2</v>
      </c>
      <c r="I1211">
        <v>211.28</v>
      </c>
      <c r="J1211">
        <v>0.1</v>
      </c>
      <c r="K1211">
        <v>380.3</v>
      </c>
    </row>
    <row r="1212" spans="1:11" x14ac:dyDescent="0.35">
      <c r="A1212" t="s">
        <v>1584</v>
      </c>
      <c r="B1212" s="1">
        <v>45420</v>
      </c>
      <c r="C1212" t="s">
        <v>72</v>
      </c>
      <c r="D1212" t="s">
        <v>25</v>
      </c>
      <c r="E1212" t="s">
        <v>595</v>
      </c>
      <c r="F1212" t="s">
        <v>35</v>
      </c>
      <c r="G1212" t="s">
        <v>177</v>
      </c>
      <c r="H1212">
        <v>12</v>
      </c>
      <c r="I1212">
        <v>14.17</v>
      </c>
      <c r="J1212">
        <v>0</v>
      </c>
      <c r="K1212">
        <v>170.04</v>
      </c>
    </row>
    <row r="1213" spans="1:11" x14ac:dyDescent="0.35">
      <c r="A1213" t="s">
        <v>1585</v>
      </c>
      <c r="B1213" s="1">
        <v>45353</v>
      </c>
      <c r="C1213" t="s">
        <v>90</v>
      </c>
      <c r="D1213" t="s">
        <v>25</v>
      </c>
      <c r="E1213" t="s">
        <v>385</v>
      </c>
      <c r="F1213" t="s">
        <v>53</v>
      </c>
      <c r="G1213" t="s">
        <v>104</v>
      </c>
      <c r="H1213">
        <v>9</v>
      </c>
      <c r="I1213">
        <v>155.38999999999999</v>
      </c>
      <c r="J1213">
        <v>0.05</v>
      </c>
      <c r="K1213">
        <v>1328.58</v>
      </c>
    </row>
    <row r="1214" spans="1:11" x14ac:dyDescent="0.35">
      <c r="A1214" t="s">
        <v>1586</v>
      </c>
      <c r="B1214" s="1">
        <v>45457</v>
      </c>
      <c r="C1214" t="s">
        <v>79</v>
      </c>
      <c r="D1214" t="s">
        <v>19</v>
      </c>
      <c r="E1214" t="s">
        <v>282</v>
      </c>
      <c r="F1214" t="s">
        <v>53</v>
      </c>
      <c r="G1214" t="s">
        <v>54</v>
      </c>
      <c r="H1214">
        <v>7</v>
      </c>
      <c r="I1214">
        <v>242.7</v>
      </c>
      <c r="J1214">
        <v>0.1</v>
      </c>
      <c r="K1214">
        <v>1529.01</v>
      </c>
    </row>
    <row r="1215" spans="1:11" x14ac:dyDescent="0.35">
      <c r="A1215" t="s">
        <v>1587</v>
      </c>
      <c r="B1215" s="2">
        <v>45383</v>
      </c>
      <c r="C1215" t="s">
        <v>41</v>
      </c>
      <c r="D1215" t="s">
        <v>19</v>
      </c>
      <c r="E1215" t="s">
        <v>693</v>
      </c>
      <c r="F1215" t="s">
        <v>53</v>
      </c>
      <c r="G1215" t="s">
        <v>59</v>
      </c>
      <c r="H1215">
        <v>8</v>
      </c>
      <c r="I1215">
        <v>118.37</v>
      </c>
      <c r="J1215">
        <v>0</v>
      </c>
      <c r="K1215">
        <v>946.96</v>
      </c>
    </row>
    <row r="1216" spans="1:11" x14ac:dyDescent="0.35">
      <c r="A1216" t="s">
        <v>1588</v>
      </c>
      <c r="B1216" s="2">
        <v>45644</v>
      </c>
      <c r="C1216" t="s">
        <v>24</v>
      </c>
      <c r="D1216" t="s">
        <v>57</v>
      </c>
      <c r="E1216" t="s">
        <v>272</v>
      </c>
      <c r="F1216" t="s">
        <v>15</v>
      </c>
      <c r="G1216" t="s">
        <v>27</v>
      </c>
      <c r="H1216">
        <v>5</v>
      </c>
      <c r="I1216">
        <v>236.69</v>
      </c>
      <c r="J1216">
        <v>0.15</v>
      </c>
      <c r="K1216">
        <v>1005.93</v>
      </c>
    </row>
    <row r="1217" spans="1:11" x14ac:dyDescent="0.35">
      <c r="A1217" t="s">
        <v>1589</v>
      </c>
      <c r="B1217" s="1">
        <v>45319</v>
      </c>
      <c r="C1217" t="s">
        <v>18</v>
      </c>
      <c r="D1217" t="s">
        <v>13</v>
      </c>
      <c r="E1217" t="s">
        <v>62</v>
      </c>
      <c r="F1217" t="s">
        <v>44</v>
      </c>
      <c r="G1217" t="s">
        <v>86</v>
      </c>
      <c r="H1217">
        <v>3</v>
      </c>
      <c r="I1217">
        <v>53.98</v>
      </c>
      <c r="J1217">
        <v>0</v>
      </c>
      <c r="K1217">
        <v>161.94</v>
      </c>
    </row>
    <row r="1218" spans="1:11" x14ac:dyDescent="0.35">
      <c r="A1218" t="s">
        <v>1590</v>
      </c>
      <c r="B1218" s="1">
        <v>45416</v>
      </c>
      <c r="C1218" t="s">
        <v>33</v>
      </c>
      <c r="D1218" t="s">
        <v>13</v>
      </c>
      <c r="E1218" t="s">
        <v>62</v>
      </c>
      <c r="F1218" t="s">
        <v>44</v>
      </c>
      <c r="G1218" t="s">
        <v>45</v>
      </c>
      <c r="H1218">
        <v>7</v>
      </c>
      <c r="I1218">
        <v>68.23</v>
      </c>
      <c r="J1218">
        <v>0.05</v>
      </c>
      <c r="K1218">
        <v>453.73</v>
      </c>
    </row>
    <row r="1219" spans="1:11" x14ac:dyDescent="0.35">
      <c r="A1219" t="s">
        <v>1591</v>
      </c>
      <c r="B1219" s="1">
        <v>45598</v>
      </c>
      <c r="C1219" t="s">
        <v>24</v>
      </c>
      <c r="D1219" t="s">
        <v>13</v>
      </c>
      <c r="E1219" t="s">
        <v>858</v>
      </c>
      <c r="F1219" t="s">
        <v>44</v>
      </c>
      <c r="G1219" t="s">
        <v>86</v>
      </c>
      <c r="H1219">
        <v>2</v>
      </c>
      <c r="I1219">
        <v>27.47</v>
      </c>
      <c r="J1219">
        <v>0</v>
      </c>
      <c r="K1219">
        <v>54.94</v>
      </c>
    </row>
    <row r="1220" spans="1:11" x14ac:dyDescent="0.35">
      <c r="A1220" t="s">
        <v>1592</v>
      </c>
      <c r="B1220" t="s">
        <v>1409</v>
      </c>
      <c r="C1220" t="s">
        <v>90</v>
      </c>
      <c r="D1220" t="s">
        <v>13</v>
      </c>
      <c r="E1220" t="s">
        <v>439</v>
      </c>
      <c r="F1220" t="s">
        <v>21</v>
      </c>
      <c r="G1220" t="s">
        <v>194</v>
      </c>
      <c r="H1220">
        <v>0</v>
      </c>
      <c r="I1220">
        <v>111.29</v>
      </c>
      <c r="J1220">
        <v>0</v>
      </c>
      <c r="K1220">
        <v>222.58</v>
      </c>
    </row>
    <row r="1221" spans="1:11" x14ac:dyDescent="0.35">
      <c r="A1221" t="s">
        <v>1593</v>
      </c>
      <c r="B1221" s="1">
        <v>45400</v>
      </c>
      <c r="C1221" t="s">
        <v>18</v>
      </c>
      <c r="D1221" t="s">
        <v>57</v>
      </c>
      <c r="E1221" t="s">
        <v>638</v>
      </c>
      <c r="F1221" t="s">
        <v>15</v>
      </c>
      <c r="G1221" t="s">
        <v>16</v>
      </c>
      <c r="H1221">
        <v>11</v>
      </c>
      <c r="I1221">
        <v>238.4</v>
      </c>
      <c r="J1221">
        <v>0.05</v>
      </c>
      <c r="K1221">
        <v>2491.2800000000002</v>
      </c>
    </row>
    <row r="1222" spans="1:11" x14ac:dyDescent="0.35">
      <c r="A1222" t="s">
        <v>1594</v>
      </c>
      <c r="B1222" s="1">
        <v>45383</v>
      </c>
      <c r="C1222" t="s">
        <v>18</v>
      </c>
      <c r="D1222" t="s">
        <v>57</v>
      </c>
      <c r="E1222" t="s">
        <v>595</v>
      </c>
      <c r="F1222" t="s">
        <v>53</v>
      </c>
      <c r="G1222" t="s">
        <v>54</v>
      </c>
      <c r="H1222">
        <v>10</v>
      </c>
      <c r="I1222">
        <v>178.15</v>
      </c>
      <c r="J1222">
        <v>0</v>
      </c>
      <c r="K1222">
        <v>1781.5</v>
      </c>
    </row>
    <row r="1223" spans="1:11" x14ac:dyDescent="0.35">
      <c r="A1223" t="s">
        <v>1595</v>
      </c>
      <c r="B1223" s="2">
        <v>45483</v>
      </c>
      <c r="C1223" t="s">
        <v>18</v>
      </c>
      <c r="D1223" t="s">
        <v>25</v>
      </c>
      <c r="E1223" t="s">
        <v>720</v>
      </c>
      <c r="F1223" t="s">
        <v>21</v>
      </c>
      <c r="G1223" t="s">
        <v>129</v>
      </c>
      <c r="H1223">
        <v>7</v>
      </c>
      <c r="I1223">
        <v>104.12</v>
      </c>
      <c r="J1223">
        <v>0.05</v>
      </c>
      <c r="K1223">
        <v>692.4</v>
      </c>
    </row>
    <row r="1224" spans="1:11" x14ac:dyDescent="0.35">
      <c r="A1224" t="s">
        <v>1596</v>
      </c>
      <c r="B1224" s="2">
        <v>45338</v>
      </c>
      <c r="C1224" t="s">
        <v>79</v>
      </c>
      <c r="D1224" t="s">
        <v>19</v>
      </c>
      <c r="E1224" t="s">
        <v>437</v>
      </c>
      <c r="F1224" t="s">
        <v>21</v>
      </c>
      <c r="G1224" t="s">
        <v>167</v>
      </c>
      <c r="H1224">
        <v>9</v>
      </c>
      <c r="I1224">
        <v>44.66</v>
      </c>
      <c r="J1224">
        <v>0</v>
      </c>
      <c r="K1224">
        <v>401.94</v>
      </c>
    </row>
    <row r="1225" spans="1:11" x14ac:dyDescent="0.35">
      <c r="A1225" t="s">
        <v>1597</v>
      </c>
      <c r="B1225" s="1">
        <v>45331</v>
      </c>
      <c r="C1225" t="s">
        <v>102</v>
      </c>
      <c r="D1225" t="s">
        <v>19</v>
      </c>
      <c r="E1225" t="s">
        <v>370</v>
      </c>
      <c r="F1225" t="s">
        <v>15</v>
      </c>
      <c r="G1225" t="s">
        <v>74</v>
      </c>
      <c r="H1225">
        <v>10</v>
      </c>
      <c r="I1225">
        <v>46.29</v>
      </c>
      <c r="J1225">
        <v>0.15</v>
      </c>
      <c r="K1225">
        <v>393.46</v>
      </c>
    </row>
    <row r="1226" spans="1:11" x14ac:dyDescent="0.35">
      <c r="A1226" t="s">
        <v>1598</v>
      </c>
      <c r="B1226" t="s">
        <v>255</v>
      </c>
      <c r="C1226" t="s">
        <v>90</v>
      </c>
      <c r="D1226" t="s">
        <v>42</v>
      </c>
      <c r="E1226" t="s">
        <v>313</v>
      </c>
      <c r="F1226" t="s">
        <v>35</v>
      </c>
      <c r="G1226" t="s">
        <v>83</v>
      </c>
      <c r="H1226">
        <v>9</v>
      </c>
      <c r="I1226">
        <v>219.78</v>
      </c>
      <c r="J1226">
        <v>0</v>
      </c>
      <c r="K1226">
        <v>1978.02</v>
      </c>
    </row>
    <row r="1227" spans="1:11" x14ac:dyDescent="0.35">
      <c r="A1227" t="s">
        <v>1599</v>
      </c>
      <c r="B1227" s="2">
        <v>45307</v>
      </c>
      <c r="C1227" t="s">
        <v>38</v>
      </c>
      <c r="D1227" t="s">
        <v>13</v>
      </c>
      <c r="E1227" t="s">
        <v>679</v>
      </c>
      <c r="F1227" t="s">
        <v>21</v>
      </c>
      <c r="G1227" t="s">
        <v>129</v>
      </c>
      <c r="H1227">
        <v>6</v>
      </c>
      <c r="I1227">
        <v>183.52</v>
      </c>
      <c r="J1227">
        <v>0</v>
      </c>
      <c r="K1227">
        <v>1101.1199999999999</v>
      </c>
    </row>
    <row r="1228" spans="1:11" x14ac:dyDescent="0.35">
      <c r="A1228" t="s">
        <v>1600</v>
      </c>
      <c r="B1228" s="1">
        <v>45405</v>
      </c>
      <c r="C1228" t="s">
        <v>65</v>
      </c>
      <c r="D1228" t="s">
        <v>13</v>
      </c>
      <c r="E1228" t="s">
        <v>659</v>
      </c>
      <c r="F1228" t="s">
        <v>35</v>
      </c>
      <c r="G1228" t="s">
        <v>177</v>
      </c>
      <c r="H1228">
        <v>1</v>
      </c>
      <c r="I1228">
        <v>109.39</v>
      </c>
      <c r="J1228">
        <v>0.1</v>
      </c>
      <c r="K1228">
        <v>98.45</v>
      </c>
    </row>
    <row r="1229" spans="1:11" x14ac:dyDescent="0.35">
      <c r="A1229" t="s">
        <v>1601</v>
      </c>
      <c r="B1229" s="1">
        <v>45510</v>
      </c>
      <c r="C1229" t="s">
        <v>38</v>
      </c>
      <c r="D1229" t="s">
        <v>25</v>
      </c>
      <c r="E1229" t="s">
        <v>484</v>
      </c>
      <c r="F1229" t="s">
        <v>15</v>
      </c>
      <c r="G1229" t="s">
        <v>16</v>
      </c>
      <c r="H1229">
        <v>12</v>
      </c>
      <c r="I1229">
        <v>199.55</v>
      </c>
      <c r="J1229">
        <v>0.05</v>
      </c>
      <c r="K1229">
        <v>2274.87</v>
      </c>
    </row>
    <row r="1230" spans="1:11" x14ac:dyDescent="0.35">
      <c r="A1230" t="s">
        <v>1602</v>
      </c>
      <c r="B1230" s="1">
        <v>45582</v>
      </c>
      <c r="C1230" t="s">
        <v>79</v>
      </c>
      <c r="D1230" t="s">
        <v>57</v>
      </c>
      <c r="E1230" t="s">
        <v>328</v>
      </c>
      <c r="F1230" t="s">
        <v>44</v>
      </c>
      <c r="G1230" t="s">
        <v>94</v>
      </c>
      <c r="H1230">
        <v>0</v>
      </c>
      <c r="I1230">
        <v>230.93</v>
      </c>
      <c r="J1230">
        <v>0</v>
      </c>
      <c r="K1230">
        <v>692.79</v>
      </c>
    </row>
    <row r="1231" spans="1:11" x14ac:dyDescent="0.35">
      <c r="A1231" t="s">
        <v>1603</v>
      </c>
      <c r="B1231" s="1">
        <v>45325</v>
      </c>
      <c r="C1231" t="s">
        <v>79</v>
      </c>
      <c r="D1231" t="s">
        <v>19</v>
      </c>
      <c r="E1231" t="s">
        <v>448</v>
      </c>
      <c r="F1231" t="s">
        <v>53</v>
      </c>
      <c r="G1231" t="s">
        <v>54</v>
      </c>
      <c r="H1231">
        <v>6</v>
      </c>
      <c r="I1231">
        <v>49.37</v>
      </c>
      <c r="J1231">
        <v>0</v>
      </c>
      <c r="K1231">
        <v>296.22000000000003</v>
      </c>
    </row>
    <row r="1232" spans="1:11" x14ac:dyDescent="0.35">
      <c r="A1232" t="s">
        <v>1604</v>
      </c>
      <c r="B1232" t="s">
        <v>236</v>
      </c>
      <c r="C1232" t="s">
        <v>90</v>
      </c>
      <c r="D1232" t="s">
        <v>13</v>
      </c>
      <c r="E1232" t="s">
        <v>282</v>
      </c>
      <c r="F1232" t="s">
        <v>53</v>
      </c>
      <c r="G1232" t="s">
        <v>59</v>
      </c>
      <c r="H1232">
        <v>5</v>
      </c>
      <c r="I1232">
        <v>138.6</v>
      </c>
      <c r="J1232">
        <v>0.15</v>
      </c>
      <c r="K1232">
        <v>589.04999999999995</v>
      </c>
    </row>
    <row r="1233" spans="1:11" x14ac:dyDescent="0.35">
      <c r="A1233" t="s">
        <v>1605</v>
      </c>
      <c r="B1233" s="2">
        <v>45388</v>
      </c>
      <c r="C1233" t="s">
        <v>24</v>
      </c>
      <c r="D1233" t="s">
        <v>25</v>
      </c>
      <c r="E1233" t="s">
        <v>368</v>
      </c>
      <c r="F1233" t="s">
        <v>15</v>
      </c>
      <c r="G1233" t="s">
        <v>111</v>
      </c>
      <c r="H1233">
        <v>3</v>
      </c>
      <c r="I1233">
        <v>137.82</v>
      </c>
      <c r="J1233">
        <v>0.05</v>
      </c>
      <c r="K1233">
        <v>392.79</v>
      </c>
    </row>
    <row r="1234" spans="1:11" x14ac:dyDescent="0.35">
      <c r="A1234" t="s">
        <v>1606</v>
      </c>
      <c r="B1234" s="1">
        <v>45339</v>
      </c>
      <c r="C1234" t="s">
        <v>12</v>
      </c>
      <c r="D1234" t="s">
        <v>42</v>
      </c>
      <c r="E1234" t="s">
        <v>454</v>
      </c>
      <c r="F1234" t="s">
        <v>15</v>
      </c>
      <c r="G1234" t="s">
        <v>111</v>
      </c>
      <c r="H1234">
        <v>8</v>
      </c>
      <c r="I1234">
        <v>130.77000000000001</v>
      </c>
      <c r="J1234">
        <v>0.15</v>
      </c>
      <c r="K1234">
        <v>889.24</v>
      </c>
    </row>
    <row r="1235" spans="1:11" x14ac:dyDescent="0.35">
      <c r="A1235" t="s">
        <v>1607</v>
      </c>
      <c r="B1235" t="s">
        <v>557</v>
      </c>
      <c r="C1235" t="s">
        <v>38</v>
      </c>
      <c r="D1235" t="s">
        <v>25</v>
      </c>
      <c r="E1235" t="s">
        <v>288</v>
      </c>
      <c r="F1235" t="s">
        <v>15</v>
      </c>
      <c r="G1235" t="s">
        <v>147</v>
      </c>
      <c r="H1235">
        <v>12</v>
      </c>
      <c r="I1235">
        <v>201.36</v>
      </c>
      <c r="J1235">
        <v>0.15</v>
      </c>
      <c r="K1235">
        <v>2053.87</v>
      </c>
    </row>
    <row r="1236" spans="1:11" x14ac:dyDescent="0.35">
      <c r="A1236" t="s">
        <v>1608</v>
      </c>
      <c r="B1236" s="2">
        <v>45402</v>
      </c>
      <c r="C1236" t="s">
        <v>41</v>
      </c>
      <c r="E1236" t="s">
        <v>470</v>
      </c>
      <c r="F1236" t="s">
        <v>15</v>
      </c>
      <c r="G1236" t="s">
        <v>111</v>
      </c>
      <c r="H1236">
        <v>1</v>
      </c>
      <c r="I1236">
        <v>208.53</v>
      </c>
      <c r="J1236">
        <v>0.15</v>
      </c>
      <c r="K1236">
        <v>177.25</v>
      </c>
    </row>
    <row r="1237" spans="1:11" x14ac:dyDescent="0.35">
      <c r="A1237" t="s">
        <v>1609</v>
      </c>
      <c r="B1237" t="s">
        <v>76</v>
      </c>
      <c r="C1237" t="s">
        <v>102</v>
      </c>
      <c r="D1237" t="s">
        <v>42</v>
      </c>
      <c r="E1237" t="s">
        <v>14</v>
      </c>
      <c r="F1237" t="s">
        <v>21</v>
      </c>
      <c r="G1237" t="s">
        <v>194</v>
      </c>
      <c r="H1237">
        <v>5</v>
      </c>
      <c r="I1237">
        <v>84.84</v>
      </c>
      <c r="J1237">
        <v>0.05</v>
      </c>
      <c r="K1237">
        <v>402.99</v>
      </c>
    </row>
    <row r="1238" spans="1:11" x14ac:dyDescent="0.35">
      <c r="A1238" t="s">
        <v>1610</v>
      </c>
      <c r="B1238" t="s">
        <v>1611</v>
      </c>
      <c r="C1238" t="s">
        <v>24</v>
      </c>
      <c r="D1238" t="s">
        <v>42</v>
      </c>
      <c r="E1238" t="s">
        <v>360</v>
      </c>
      <c r="F1238" t="s">
        <v>53</v>
      </c>
      <c r="G1238" t="s">
        <v>59</v>
      </c>
      <c r="H1238">
        <v>3</v>
      </c>
      <c r="I1238">
        <v>98.7</v>
      </c>
      <c r="J1238">
        <v>0.15</v>
      </c>
      <c r="K1238">
        <v>251.69</v>
      </c>
    </row>
    <row r="1239" spans="1:11" x14ac:dyDescent="0.35">
      <c r="A1239" t="s">
        <v>1612</v>
      </c>
      <c r="B1239" s="1">
        <v>45420</v>
      </c>
      <c r="C1239" t="s">
        <v>102</v>
      </c>
      <c r="D1239" t="s">
        <v>19</v>
      </c>
      <c r="E1239" t="s">
        <v>842</v>
      </c>
      <c r="F1239" t="s">
        <v>53</v>
      </c>
      <c r="G1239" t="s">
        <v>63</v>
      </c>
      <c r="H1239">
        <v>5</v>
      </c>
      <c r="I1239">
        <v>107.81</v>
      </c>
      <c r="J1239">
        <v>0</v>
      </c>
      <c r="K1239">
        <v>539.04999999999995</v>
      </c>
    </row>
    <row r="1240" spans="1:11" x14ac:dyDescent="0.35">
      <c r="A1240" t="s">
        <v>1613</v>
      </c>
      <c r="B1240" s="2">
        <v>45607</v>
      </c>
      <c r="C1240" t="s">
        <v>18</v>
      </c>
      <c r="D1240" t="s">
        <v>42</v>
      </c>
      <c r="E1240" t="s">
        <v>388</v>
      </c>
      <c r="F1240" t="s">
        <v>21</v>
      </c>
      <c r="G1240" t="s">
        <v>129</v>
      </c>
      <c r="H1240">
        <v>8</v>
      </c>
      <c r="I1240">
        <v>173.53</v>
      </c>
      <c r="J1240">
        <v>0</v>
      </c>
      <c r="K1240">
        <v>1388.24</v>
      </c>
    </row>
    <row r="1241" spans="1:11" x14ac:dyDescent="0.35">
      <c r="A1241" t="s">
        <v>1614</v>
      </c>
      <c r="B1241" s="1">
        <v>45567</v>
      </c>
      <c r="C1241" t="s">
        <v>72</v>
      </c>
      <c r="D1241" t="s">
        <v>25</v>
      </c>
      <c r="E1241" t="s">
        <v>282</v>
      </c>
      <c r="F1241" t="s">
        <v>44</v>
      </c>
      <c r="G1241" t="s">
        <v>45</v>
      </c>
      <c r="H1241">
        <v>6</v>
      </c>
      <c r="I1241">
        <v>68.62</v>
      </c>
      <c r="J1241">
        <v>0.1</v>
      </c>
      <c r="K1241">
        <v>370.55</v>
      </c>
    </row>
    <row r="1242" spans="1:11" x14ac:dyDescent="0.35">
      <c r="A1242" t="s">
        <v>1615</v>
      </c>
      <c r="B1242" s="1">
        <v>45372</v>
      </c>
      <c r="C1242" t="s">
        <v>29</v>
      </c>
      <c r="D1242" t="s">
        <v>19</v>
      </c>
      <c r="E1242" t="s">
        <v>332</v>
      </c>
      <c r="F1242" t="s">
        <v>53</v>
      </c>
      <c r="G1242" t="s">
        <v>63</v>
      </c>
      <c r="H1242">
        <v>11</v>
      </c>
      <c r="I1242">
        <v>72.650000000000006</v>
      </c>
      <c r="J1242">
        <v>0.15</v>
      </c>
      <c r="K1242">
        <v>679.28</v>
      </c>
    </row>
    <row r="1243" spans="1:11" x14ac:dyDescent="0.35">
      <c r="A1243" t="s">
        <v>1616</v>
      </c>
      <c r="B1243" s="1">
        <v>45649</v>
      </c>
      <c r="C1243" t="s">
        <v>102</v>
      </c>
      <c r="D1243" t="s">
        <v>42</v>
      </c>
      <c r="E1243" t="s">
        <v>731</v>
      </c>
      <c r="F1243" t="s">
        <v>35</v>
      </c>
      <c r="G1243" t="s">
        <v>67</v>
      </c>
      <c r="H1243">
        <v>3</v>
      </c>
      <c r="I1243">
        <v>63.73</v>
      </c>
      <c r="J1243">
        <v>0</v>
      </c>
      <c r="K1243">
        <v>191.19</v>
      </c>
    </row>
    <row r="1244" spans="1:11" x14ac:dyDescent="0.35">
      <c r="A1244" t="s">
        <v>1617</v>
      </c>
      <c r="B1244" s="1">
        <v>45529</v>
      </c>
      <c r="C1244" t="s">
        <v>38</v>
      </c>
      <c r="D1244" t="s">
        <v>19</v>
      </c>
      <c r="E1244" t="s">
        <v>217</v>
      </c>
      <c r="F1244" t="s">
        <v>53</v>
      </c>
      <c r="G1244" t="s">
        <v>59</v>
      </c>
      <c r="H1244">
        <v>9</v>
      </c>
      <c r="I1244">
        <v>79.36</v>
      </c>
      <c r="J1244">
        <v>0.1</v>
      </c>
      <c r="K1244">
        <v>642.82000000000005</v>
      </c>
    </row>
    <row r="1245" spans="1:11" x14ac:dyDescent="0.35">
      <c r="A1245" t="s">
        <v>1618</v>
      </c>
      <c r="B1245" s="2">
        <v>45343</v>
      </c>
      <c r="C1245" t="s">
        <v>24</v>
      </c>
      <c r="D1245" t="s">
        <v>57</v>
      </c>
      <c r="E1245" t="s">
        <v>332</v>
      </c>
      <c r="F1245" t="s">
        <v>44</v>
      </c>
      <c r="G1245" t="s">
        <v>86</v>
      </c>
      <c r="H1245">
        <v>7</v>
      </c>
      <c r="I1245">
        <v>195.83</v>
      </c>
      <c r="J1245">
        <v>0</v>
      </c>
      <c r="K1245">
        <v>1370.81</v>
      </c>
    </row>
    <row r="1246" spans="1:11" x14ac:dyDescent="0.35">
      <c r="A1246" t="s">
        <v>1619</v>
      </c>
      <c r="B1246" s="1">
        <v>45342</v>
      </c>
      <c r="C1246" t="s">
        <v>79</v>
      </c>
      <c r="D1246" t="s">
        <v>19</v>
      </c>
      <c r="E1246" t="s">
        <v>293</v>
      </c>
      <c r="F1246" t="s">
        <v>15</v>
      </c>
      <c r="G1246" t="s">
        <v>27</v>
      </c>
      <c r="H1246">
        <v>12</v>
      </c>
      <c r="I1246">
        <v>163.91</v>
      </c>
      <c r="J1246">
        <v>0.05</v>
      </c>
      <c r="K1246">
        <v>1868.57</v>
      </c>
    </row>
    <row r="1247" spans="1:11" x14ac:dyDescent="0.35">
      <c r="A1247" t="s">
        <v>1620</v>
      </c>
      <c r="B1247" s="1">
        <v>45642</v>
      </c>
      <c r="C1247" t="s">
        <v>41</v>
      </c>
      <c r="D1247" t="s">
        <v>57</v>
      </c>
      <c r="E1247" t="s">
        <v>223</v>
      </c>
      <c r="F1247" t="s">
        <v>15</v>
      </c>
      <c r="G1247" t="s">
        <v>16</v>
      </c>
      <c r="H1247">
        <v>6</v>
      </c>
      <c r="I1247">
        <v>50.72</v>
      </c>
      <c r="J1247">
        <v>0.15</v>
      </c>
      <c r="K1247">
        <v>258.67</v>
      </c>
    </row>
    <row r="1248" spans="1:11" x14ac:dyDescent="0.35">
      <c r="A1248" t="s">
        <v>1621</v>
      </c>
      <c r="B1248" s="2">
        <v>45423</v>
      </c>
      <c r="C1248" t="s">
        <v>24</v>
      </c>
      <c r="D1248" t="s">
        <v>42</v>
      </c>
      <c r="E1248" t="s">
        <v>293</v>
      </c>
      <c r="F1248" t="s">
        <v>53</v>
      </c>
      <c r="G1248" t="s">
        <v>125</v>
      </c>
      <c r="H1248">
        <v>3</v>
      </c>
      <c r="I1248">
        <v>164.32</v>
      </c>
      <c r="J1248">
        <v>0</v>
      </c>
      <c r="K1248">
        <v>492.96</v>
      </c>
    </row>
    <row r="1249" spans="1:11" x14ac:dyDescent="0.35">
      <c r="A1249" t="s">
        <v>1622</v>
      </c>
      <c r="B1249" t="s">
        <v>1623</v>
      </c>
      <c r="C1249" t="s">
        <v>41</v>
      </c>
      <c r="D1249" t="s">
        <v>57</v>
      </c>
      <c r="E1249" t="s">
        <v>166</v>
      </c>
      <c r="F1249" t="s">
        <v>15</v>
      </c>
      <c r="G1249" t="s">
        <v>16</v>
      </c>
      <c r="H1249">
        <v>3</v>
      </c>
      <c r="I1249">
        <v>135.69999999999999</v>
      </c>
      <c r="J1249">
        <v>0.15</v>
      </c>
      <c r="K1249">
        <v>346.03</v>
      </c>
    </row>
    <row r="1250" spans="1:11" x14ac:dyDescent="0.35">
      <c r="A1250" t="s">
        <v>1624</v>
      </c>
      <c r="B1250" t="s">
        <v>1625</v>
      </c>
      <c r="C1250" t="s">
        <v>33</v>
      </c>
      <c r="D1250" t="s">
        <v>13</v>
      </c>
      <c r="E1250" t="s">
        <v>343</v>
      </c>
      <c r="F1250" t="s">
        <v>21</v>
      </c>
      <c r="G1250" t="s">
        <v>129</v>
      </c>
      <c r="H1250">
        <v>10</v>
      </c>
      <c r="I1250">
        <v>169.39</v>
      </c>
      <c r="J1250">
        <v>0</v>
      </c>
      <c r="K1250">
        <v>1693.9</v>
      </c>
    </row>
    <row r="1251" spans="1:11" x14ac:dyDescent="0.35">
      <c r="A1251" t="s">
        <v>1626</v>
      </c>
      <c r="B1251" s="1">
        <v>45617</v>
      </c>
      <c r="C1251" t="s">
        <v>56</v>
      </c>
      <c r="D1251" t="s">
        <v>19</v>
      </c>
      <c r="E1251" t="s">
        <v>379</v>
      </c>
      <c r="F1251" t="s">
        <v>21</v>
      </c>
      <c r="G1251" t="s">
        <v>70</v>
      </c>
      <c r="H1251">
        <v>12</v>
      </c>
      <c r="I1251">
        <v>245.01</v>
      </c>
      <c r="J1251">
        <v>0.05</v>
      </c>
      <c r="K1251">
        <v>2793.11</v>
      </c>
    </row>
    <row r="1252" spans="1:11" x14ac:dyDescent="0.35">
      <c r="A1252" t="s">
        <v>1627</v>
      </c>
      <c r="B1252" s="1">
        <v>45312</v>
      </c>
      <c r="C1252" t="s">
        <v>102</v>
      </c>
      <c r="D1252" t="s">
        <v>13</v>
      </c>
      <c r="E1252" t="s">
        <v>128</v>
      </c>
      <c r="F1252" t="s">
        <v>15</v>
      </c>
      <c r="G1252" t="s">
        <v>16</v>
      </c>
      <c r="H1252">
        <v>11</v>
      </c>
      <c r="I1252">
        <v>93.25</v>
      </c>
      <c r="J1252">
        <v>0</v>
      </c>
      <c r="K1252">
        <v>1025.75</v>
      </c>
    </row>
    <row r="1253" spans="1:11" x14ac:dyDescent="0.35">
      <c r="A1253" t="s">
        <v>1628</v>
      </c>
      <c r="B1253" t="s">
        <v>1629</v>
      </c>
      <c r="C1253" t="s">
        <v>56</v>
      </c>
      <c r="D1253" t="s">
        <v>13</v>
      </c>
      <c r="E1253" t="s">
        <v>454</v>
      </c>
      <c r="F1253" t="s">
        <v>44</v>
      </c>
      <c r="G1253" t="s">
        <v>50</v>
      </c>
      <c r="H1253">
        <v>11</v>
      </c>
      <c r="I1253">
        <v>186.78</v>
      </c>
      <c r="J1253">
        <v>0</v>
      </c>
      <c r="K1253">
        <v>2054.58</v>
      </c>
    </row>
    <row r="1254" spans="1:11" x14ac:dyDescent="0.35">
      <c r="A1254" t="s">
        <v>1630</v>
      </c>
      <c r="B1254" s="1">
        <v>45445</v>
      </c>
      <c r="C1254" t="s">
        <v>102</v>
      </c>
      <c r="D1254" t="s">
        <v>13</v>
      </c>
      <c r="E1254" t="s">
        <v>315</v>
      </c>
      <c r="F1254" t="s">
        <v>35</v>
      </c>
      <c r="G1254" t="s">
        <v>134</v>
      </c>
      <c r="H1254">
        <v>12</v>
      </c>
      <c r="I1254">
        <v>152.79</v>
      </c>
      <c r="J1254">
        <v>0</v>
      </c>
      <c r="K1254">
        <v>1833.48</v>
      </c>
    </row>
    <row r="1255" spans="1:11" x14ac:dyDescent="0.35">
      <c r="A1255" t="s">
        <v>1631</v>
      </c>
      <c r="B1255" s="2">
        <v>45307</v>
      </c>
      <c r="C1255" t="s">
        <v>90</v>
      </c>
      <c r="D1255" t="s">
        <v>42</v>
      </c>
      <c r="E1255" t="s">
        <v>825</v>
      </c>
      <c r="F1255" t="s">
        <v>21</v>
      </c>
      <c r="G1255" t="s">
        <v>194</v>
      </c>
      <c r="H1255">
        <v>4</v>
      </c>
      <c r="I1255">
        <v>47.61</v>
      </c>
      <c r="J1255">
        <v>0</v>
      </c>
      <c r="K1255">
        <v>190.44</v>
      </c>
    </row>
    <row r="1256" spans="1:11" x14ac:dyDescent="0.35">
      <c r="A1256" t="s">
        <v>1632</v>
      </c>
      <c r="B1256" s="1">
        <v>45496</v>
      </c>
      <c r="C1256" t="s">
        <v>48</v>
      </c>
      <c r="D1256" t="s">
        <v>25</v>
      </c>
      <c r="E1256" t="s">
        <v>142</v>
      </c>
      <c r="F1256" t="s">
        <v>53</v>
      </c>
      <c r="G1256" t="s">
        <v>54</v>
      </c>
      <c r="H1256">
        <v>9</v>
      </c>
      <c r="I1256">
        <v>25.84</v>
      </c>
      <c r="J1256">
        <v>0.05</v>
      </c>
      <c r="K1256">
        <v>220.93</v>
      </c>
    </row>
    <row r="1257" spans="1:11" x14ac:dyDescent="0.35">
      <c r="A1257" t="s">
        <v>1633</v>
      </c>
      <c r="B1257" s="1">
        <v>45566</v>
      </c>
      <c r="C1257" t="s">
        <v>72</v>
      </c>
      <c r="D1257" t="s">
        <v>25</v>
      </c>
      <c r="E1257" t="s">
        <v>122</v>
      </c>
      <c r="F1257" t="s">
        <v>53</v>
      </c>
      <c r="G1257" t="s">
        <v>54</v>
      </c>
      <c r="H1257">
        <v>5</v>
      </c>
      <c r="I1257">
        <v>86.69</v>
      </c>
      <c r="J1257">
        <v>0.05</v>
      </c>
      <c r="K1257">
        <v>411.78</v>
      </c>
    </row>
    <row r="1258" spans="1:11" x14ac:dyDescent="0.35">
      <c r="A1258" t="s">
        <v>1634</v>
      </c>
      <c r="B1258" s="1">
        <v>45477</v>
      </c>
      <c r="C1258" t="s">
        <v>41</v>
      </c>
      <c r="D1258" t="s">
        <v>19</v>
      </c>
      <c r="E1258" t="s">
        <v>185</v>
      </c>
      <c r="F1258" t="s">
        <v>21</v>
      </c>
      <c r="G1258" t="s">
        <v>70</v>
      </c>
      <c r="H1258">
        <v>1</v>
      </c>
      <c r="I1258">
        <v>127.86</v>
      </c>
      <c r="J1258">
        <v>0.1</v>
      </c>
      <c r="K1258">
        <v>115.07</v>
      </c>
    </row>
    <row r="1259" spans="1:11" x14ac:dyDescent="0.35">
      <c r="A1259" t="s">
        <v>1635</v>
      </c>
      <c r="B1259" s="1">
        <v>45636</v>
      </c>
      <c r="C1259" t="s">
        <v>90</v>
      </c>
      <c r="D1259" t="s">
        <v>13</v>
      </c>
      <c r="E1259" t="s">
        <v>221</v>
      </c>
      <c r="F1259" t="s">
        <v>15</v>
      </c>
      <c r="G1259" t="s">
        <v>74</v>
      </c>
      <c r="H1259">
        <v>3</v>
      </c>
      <c r="I1259">
        <v>150.13999999999999</v>
      </c>
      <c r="J1259">
        <v>0.1</v>
      </c>
      <c r="K1259">
        <v>405.38</v>
      </c>
    </row>
    <row r="1260" spans="1:11" x14ac:dyDescent="0.35">
      <c r="A1260" t="s">
        <v>1636</v>
      </c>
      <c r="B1260" s="2">
        <v>45347</v>
      </c>
      <c r="C1260" t="s">
        <v>38</v>
      </c>
      <c r="D1260" t="s">
        <v>57</v>
      </c>
      <c r="E1260" t="s">
        <v>14</v>
      </c>
      <c r="F1260" t="s">
        <v>21</v>
      </c>
      <c r="G1260" t="s">
        <v>194</v>
      </c>
      <c r="H1260">
        <v>10</v>
      </c>
      <c r="I1260">
        <v>159.99</v>
      </c>
      <c r="J1260">
        <v>0.1</v>
      </c>
      <c r="K1260">
        <v>1439.91</v>
      </c>
    </row>
    <row r="1261" spans="1:11" x14ac:dyDescent="0.35">
      <c r="A1261" t="s">
        <v>1637</v>
      </c>
      <c r="B1261" s="2">
        <v>45358</v>
      </c>
      <c r="C1261" t="s">
        <v>102</v>
      </c>
      <c r="D1261" t="s">
        <v>42</v>
      </c>
      <c r="E1261" t="s">
        <v>96</v>
      </c>
      <c r="F1261" t="s">
        <v>35</v>
      </c>
      <c r="G1261" t="s">
        <v>177</v>
      </c>
      <c r="H1261">
        <v>4</v>
      </c>
      <c r="I1261">
        <v>240.11</v>
      </c>
      <c r="J1261">
        <v>0</v>
      </c>
      <c r="K1261">
        <v>960.44</v>
      </c>
    </row>
    <row r="1262" spans="1:11" x14ac:dyDescent="0.35">
      <c r="A1262" t="s">
        <v>1638</v>
      </c>
      <c r="B1262" s="1">
        <v>45512</v>
      </c>
      <c r="C1262" t="s">
        <v>48</v>
      </c>
      <c r="D1262" t="s">
        <v>42</v>
      </c>
      <c r="F1262" t="s">
        <v>15</v>
      </c>
      <c r="G1262" t="s">
        <v>147</v>
      </c>
      <c r="H1262">
        <v>9</v>
      </c>
      <c r="I1262">
        <v>36.65</v>
      </c>
      <c r="J1262">
        <v>0.15</v>
      </c>
      <c r="K1262">
        <v>280.37</v>
      </c>
    </row>
    <row r="1263" spans="1:11" x14ac:dyDescent="0.35">
      <c r="A1263" t="s">
        <v>1639</v>
      </c>
      <c r="B1263" s="1">
        <v>45522</v>
      </c>
      <c r="C1263" t="s">
        <v>90</v>
      </c>
      <c r="D1263" t="s">
        <v>25</v>
      </c>
      <c r="E1263" t="s">
        <v>400</v>
      </c>
      <c r="F1263" t="s">
        <v>35</v>
      </c>
      <c r="G1263" t="s">
        <v>36</v>
      </c>
      <c r="H1263">
        <v>12</v>
      </c>
      <c r="I1263">
        <v>125.74</v>
      </c>
      <c r="J1263">
        <v>0.1</v>
      </c>
      <c r="K1263">
        <v>1357.99</v>
      </c>
    </row>
    <row r="1264" spans="1:11" x14ac:dyDescent="0.35">
      <c r="A1264" t="s">
        <v>1640</v>
      </c>
      <c r="B1264" s="2">
        <v>45591</v>
      </c>
      <c r="C1264" t="s">
        <v>90</v>
      </c>
      <c r="D1264" t="s">
        <v>19</v>
      </c>
      <c r="E1264" t="s">
        <v>197</v>
      </c>
      <c r="F1264" t="s">
        <v>21</v>
      </c>
      <c r="G1264" t="s">
        <v>22</v>
      </c>
      <c r="H1264">
        <v>1</v>
      </c>
      <c r="I1264">
        <v>21.55</v>
      </c>
      <c r="J1264">
        <v>0.15</v>
      </c>
      <c r="K1264">
        <v>18.32</v>
      </c>
    </row>
    <row r="1265" spans="1:11" x14ac:dyDescent="0.35">
      <c r="A1265" t="s">
        <v>1641</v>
      </c>
      <c r="B1265" t="s">
        <v>1246</v>
      </c>
      <c r="C1265" t="s">
        <v>29</v>
      </c>
      <c r="D1265" t="s">
        <v>25</v>
      </c>
      <c r="E1265" t="s">
        <v>20</v>
      </c>
      <c r="F1265" t="s">
        <v>35</v>
      </c>
      <c r="G1265" t="s">
        <v>67</v>
      </c>
      <c r="H1265">
        <v>5</v>
      </c>
      <c r="I1265">
        <v>12.1</v>
      </c>
      <c r="J1265">
        <v>0.1</v>
      </c>
      <c r="K1265">
        <v>54.45</v>
      </c>
    </row>
    <row r="1266" spans="1:11" x14ac:dyDescent="0.35">
      <c r="A1266" t="s">
        <v>1642</v>
      </c>
      <c r="B1266" s="1">
        <v>45545</v>
      </c>
      <c r="C1266" t="s">
        <v>65</v>
      </c>
      <c r="D1266" t="s">
        <v>13</v>
      </c>
      <c r="E1266" t="s">
        <v>412</v>
      </c>
      <c r="F1266" t="s">
        <v>21</v>
      </c>
      <c r="G1266" t="s">
        <v>70</v>
      </c>
      <c r="H1266">
        <v>1</v>
      </c>
      <c r="I1266">
        <v>161.41</v>
      </c>
      <c r="J1266">
        <v>0</v>
      </c>
      <c r="K1266">
        <v>161.41</v>
      </c>
    </row>
    <row r="1267" spans="1:11" x14ac:dyDescent="0.35">
      <c r="A1267" t="s">
        <v>1643</v>
      </c>
      <c r="B1267" s="1">
        <v>45654</v>
      </c>
      <c r="C1267" t="s">
        <v>79</v>
      </c>
      <c r="D1267" t="s">
        <v>13</v>
      </c>
      <c r="E1267" t="s">
        <v>39</v>
      </c>
      <c r="F1267" t="s">
        <v>35</v>
      </c>
      <c r="G1267" t="s">
        <v>177</v>
      </c>
      <c r="H1267">
        <v>1</v>
      </c>
      <c r="I1267">
        <v>244.92</v>
      </c>
      <c r="J1267">
        <v>0</v>
      </c>
      <c r="K1267">
        <v>244.92</v>
      </c>
    </row>
    <row r="1268" spans="1:11" x14ac:dyDescent="0.35">
      <c r="A1268" t="s">
        <v>1644</v>
      </c>
      <c r="B1268" t="s">
        <v>1645</v>
      </c>
      <c r="C1268" t="s">
        <v>79</v>
      </c>
      <c r="D1268" t="s">
        <v>57</v>
      </c>
      <c r="E1268" t="s">
        <v>865</v>
      </c>
      <c r="F1268" t="s">
        <v>15</v>
      </c>
      <c r="G1268" t="s">
        <v>111</v>
      </c>
      <c r="H1268">
        <v>12</v>
      </c>
      <c r="I1268">
        <v>225.81</v>
      </c>
      <c r="J1268">
        <v>0.1</v>
      </c>
      <c r="K1268">
        <v>2438.75</v>
      </c>
    </row>
    <row r="1269" spans="1:11" x14ac:dyDescent="0.35">
      <c r="A1269" t="s">
        <v>1646</v>
      </c>
      <c r="B1269" s="1">
        <v>45553</v>
      </c>
      <c r="C1269" t="s">
        <v>38</v>
      </c>
      <c r="D1269" t="s">
        <v>57</v>
      </c>
      <c r="E1269" t="s">
        <v>166</v>
      </c>
      <c r="F1269" t="s">
        <v>15</v>
      </c>
      <c r="G1269" t="s">
        <v>147</v>
      </c>
      <c r="H1269">
        <v>11</v>
      </c>
      <c r="I1269">
        <v>125.6</v>
      </c>
      <c r="J1269">
        <v>0.15</v>
      </c>
      <c r="K1269">
        <v>1174.3599999999999</v>
      </c>
    </row>
    <row r="1270" spans="1:11" x14ac:dyDescent="0.35">
      <c r="A1270" t="s">
        <v>1647</v>
      </c>
      <c r="B1270" s="2">
        <v>45381</v>
      </c>
      <c r="C1270" t="s">
        <v>12</v>
      </c>
      <c r="D1270" t="s">
        <v>42</v>
      </c>
      <c r="E1270" t="s">
        <v>586</v>
      </c>
      <c r="F1270" t="s">
        <v>53</v>
      </c>
      <c r="G1270" t="s">
        <v>260</v>
      </c>
      <c r="H1270">
        <v>3</v>
      </c>
      <c r="I1270">
        <v>179.01</v>
      </c>
      <c r="J1270">
        <v>0</v>
      </c>
      <c r="K1270">
        <v>537.03</v>
      </c>
    </row>
    <row r="1271" spans="1:11" x14ac:dyDescent="0.35">
      <c r="A1271" t="s">
        <v>1648</v>
      </c>
      <c r="B1271" s="1">
        <v>45367</v>
      </c>
      <c r="C1271" t="s">
        <v>102</v>
      </c>
      <c r="D1271" t="s">
        <v>42</v>
      </c>
      <c r="E1271" t="s">
        <v>229</v>
      </c>
      <c r="F1271" t="s">
        <v>21</v>
      </c>
      <c r="G1271" t="s">
        <v>22</v>
      </c>
      <c r="H1271">
        <v>11</v>
      </c>
      <c r="I1271">
        <v>40.74</v>
      </c>
      <c r="J1271">
        <v>0.15</v>
      </c>
      <c r="K1271">
        <v>380.92</v>
      </c>
    </row>
    <row r="1272" spans="1:11" x14ac:dyDescent="0.35">
      <c r="A1272" t="s">
        <v>1649</v>
      </c>
      <c r="B1272" s="1">
        <v>45634</v>
      </c>
      <c r="C1272" t="s">
        <v>102</v>
      </c>
      <c r="D1272" t="s">
        <v>42</v>
      </c>
      <c r="E1272" t="s">
        <v>150</v>
      </c>
      <c r="F1272" t="s">
        <v>44</v>
      </c>
      <c r="G1272" t="s">
        <v>45</v>
      </c>
      <c r="H1272">
        <v>3</v>
      </c>
      <c r="I1272">
        <v>57.93</v>
      </c>
      <c r="J1272">
        <v>0</v>
      </c>
      <c r="K1272">
        <v>173.79</v>
      </c>
    </row>
    <row r="1273" spans="1:11" x14ac:dyDescent="0.35">
      <c r="A1273" t="s">
        <v>1650</v>
      </c>
      <c r="B1273" s="1">
        <v>45568</v>
      </c>
      <c r="C1273" t="s">
        <v>102</v>
      </c>
      <c r="D1273" t="s">
        <v>57</v>
      </c>
      <c r="E1273" t="s">
        <v>346</v>
      </c>
      <c r="F1273" t="s">
        <v>35</v>
      </c>
      <c r="G1273" t="s">
        <v>134</v>
      </c>
      <c r="H1273">
        <v>6</v>
      </c>
      <c r="I1273">
        <v>249.98</v>
      </c>
      <c r="J1273">
        <v>0</v>
      </c>
      <c r="K1273">
        <v>1499.88</v>
      </c>
    </row>
    <row r="1274" spans="1:11" x14ac:dyDescent="0.35">
      <c r="A1274" t="s">
        <v>1651</v>
      </c>
      <c r="B1274" s="2">
        <v>45369</v>
      </c>
      <c r="C1274" t="s">
        <v>41</v>
      </c>
      <c r="D1274" t="s">
        <v>42</v>
      </c>
      <c r="E1274" t="s">
        <v>217</v>
      </c>
      <c r="F1274" t="s">
        <v>35</v>
      </c>
      <c r="G1274" t="s">
        <v>67</v>
      </c>
      <c r="H1274">
        <v>2</v>
      </c>
      <c r="I1274">
        <v>152.47999999999999</v>
      </c>
      <c r="J1274">
        <v>0.05</v>
      </c>
      <c r="K1274">
        <v>289.70999999999998</v>
      </c>
    </row>
    <row r="1275" spans="1:11" x14ac:dyDescent="0.35">
      <c r="A1275" t="s">
        <v>1652</v>
      </c>
      <c r="B1275" s="1">
        <v>45533</v>
      </c>
      <c r="C1275" t="s">
        <v>48</v>
      </c>
      <c r="D1275" t="s">
        <v>42</v>
      </c>
      <c r="E1275" t="s">
        <v>842</v>
      </c>
      <c r="F1275" t="s">
        <v>53</v>
      </c>
      <c r="G1275" t="s">
        <v>59</v>
      </c>
      <c r="H1275">
        <v>12</v>
      </c>
      <c r="I1275">
        <v>86.31</v>
      </c>
      <c r="J1275">
        <v>0.1</v>
      </c>
      <c r="K1275">
        <v>932.15</v>
      </c>
    </row>
    <row r="1276" spans="1:11" x14ac:dyDescent="0.35">
      <c r="A1276" t="s">
        <v>1653</v>
      </c>
      <c r="B1276" s="1">
        <v>45321</v>
      </c>
      <c r="C1276" t="s">
        <v>41</v>
      </c>
      <c r="D1276" t="s">
        <v>57</v>
      </c>
      <c r="E1276" t="s">
        <v>14</v>
      </c>
      <c r="F1276" t="s">
        <v>44</v>
      </c>
      <c r="G1276" t="s">
        <v>45</v>
      </c>
      <c r="H1276">
        <v>11</v>
      </c>
      <c r="I1276">
        <v>123.94</v>
      </c>
      <c r="J1276">
        <v>0.1</v>
      </c>
      <c r="K1276">
        <v>1227.01</v>
      </c>
    </row>
    <row r="1277" spans="1:11" x14ac:dyDescent="0.35">
      <c r="A1277" t="s">
        <v>1654</v>
      </c>
      <c r="B1277" s="2">
        <v>45602</v>
      </c>
      <c r="C1277" t="s">
        <v>102</v>
      </c>
      <c r="D1277" t="s">
        <v>25</v>
      </c>
      <c r="E1277" t="s">
        <v>381</v>
      </c>
      <c r="F1277" t="s">
        <v>15</v>
      </c>
      <c r="G1277" t="s">
        <v>16</v>
      </c>
      <c r="H1277">
        <v>3</v>
      </c>
      <c r="I1277">
        <v>22.63</v>
      </c>
      <c r="J1277">
        <v>0.15</v>
      </c>
      <c r="K1277">
        <v>57.71</v>
      </c>
    </row>
    <row r="1278" spans="1:11" x14ac:dyDescent="0.35">
      <c r="A1278" t="s">
        <v>1655</v>
      </c>
      <c r="B1278" s="2">
        <v>45639</v>
      </c>
      <c r="C1278" t="s">
        <v>56</v>
      </c>
      <c r="D1278" t="s">
        <v>13</v>
      </c>
      <c r="E1278" t="s">
        <v>250</v>
      </c>
      <c r="F1278" t="s">
        <v>35</v>
      </c>
      <c r="G1278" t="s">
        <v>83</v>
      </c>
      <c r="H1278">
        <v>6</v>
      </c>
      <c r="I1278">
        <v>237.46</v>
      </c>
      <c r="J1278">
        <v>0.05</v>
      </c>
      <c r="K1278">
        <v>1353.52</v>
      </c>
    </row>
    <row r="1279" spans="1:11" x14ac:dyDescent="0.35">
      <c r="A1279" t="s">
        <v>1656</v>
      </c>
      <c r="B1279" s="1">
        <v>45519</v>
      </c>
      <c r="C1279" t="s">
        <v>56</v>
      </c>
      <c r="D1279" t="s">
        <v>42</v>
      </c>
      <c r="E1279" t="s">
        <v>492</v>
      </c>
      <c r="F1279" t="s">
        <v>44</v>
      </c>
      <c r="G1279" t="s">
        <v>107</v>
      </c>
      <c r="H1279">
        <v>2</v>
      </c>
      <c r="I1279">
        <v>76.42</v>
      </c>
      <c r="J1279">
        <v>0</v>
      </c>
      <c r="K1279">
        <v>152.84</v>
      </c>
    </row>
    <row r="1280" spans="1:11" x14ac:dyDescent="0.35">
      <c r="A1280" t="s">
        <v>1657</v>
      </c>
      <c r="B1280" s="1">
        <v>45439</v>
      </c>
      <c r="C1280" t="s">
        <v>24</v>
      </c>
      <c r="D1280" t="s">
        <v>25</v>
      </c>
      <c r="E1280" t="s">
        <v>567</v>
      </c>
      <c r="F1280" t="s">
        <v>35</v>
      </c>
      <c r="G1280" t="s">
        <v>83</v>
      </c>
      <c r="H1280">
        <v>7</v>
      </c>
      <c r="I1280">
        <v>214.53</v>
      </c>
      <c r="J1280">
        <v>0.1</v>
      </c>
      <c r="K1280">
        <v>1351.54</v>
      </c>
    </row>
    <row r="1281" spans="1:11" x14ac:dyDescent="0.35">
      <c r="A1281" t="s">
        <v>1658</v>
      </c>
      <c r="B1281" s="1">
        <v>45592</v>
      </c>
      <c r="C1281" t="s">
        <v>79</v>
      </c>
      <c r="D1281" t="s">
        <v>42</v>
      </c>
      <c r="E1281" t="s">
        <v>535</v>
      </c>
      <c r="F1281" t="s">
        <v>15</v>
      </c>
      <c r="G1281" t="s">
        <v>111</v>
      </c>
      <c r="H1281">
        <v>8</v>
      </c>
      <c r="I1281">
        <v>90.24</v>
      </c>
      <c r="J1281">
        <v>0.1</v>
      </c>
      <c r="K1281">
        <v>649.73</v>
      </c>
    </row>
    <row r="1282" spans="1:11" x14ac:dyDescent="0.35">
      <c r="A1282" t="s">
        <v>1659</v>
      </c>
      <c r="B1282" s="2">
        <v>45609</v>
      </c>
      <c r="C1282" t="s">
        <v>38</v>
      </c>
      <c r="D1282" t="s">
        <v>42</v>
      </c>
      <c r="E1282" t="s">
        <v>152</v>
      </c>
      <c r="F1282" t="s">
        <v>44</v>
      </c>
      <c r="G1282" t="s">
        <v>94</v>
      </c>
      <c r="H1282">
        <v>3</v>
      </c>
      <c r="I1282">
        <v>50.55</v>
      </c>
      <c r="J1282">
        <v>0</v>
      </c>
      <c r="K1282">
        <v>151.65</v>
      </c>
    </row>
    <row r="1283" spans="1:11" x14ac:dyDescent="0.35">
      <c r="A1283" t="s">
        <v>1660</v>
      </c>
      <c r="B1283" s="1">
        <v>45531</v>
      </c>
      <c r="C1283" t="s">
        <v>29</v>
      </c>
      <c r="D1283" t="s">
        <v>13</v>
      </c>
      <c r="E1283" t="s">
        <v>357</v>
      </c>
      <c r="F1283" t="s">
        <v>21</v>
      </c>
      <c r="G1283" t="s">
        <v>194</v>
      </c>
      <c r="H1283">
        <v>9</v>
      </c>
      <c r="I1283">
        <v>131.31</v>
      </c>
      <c r="J1283">
        <v>0</v>
      </c>
      <c r="K1283">
        <v>1181.79</v>
      </c>
    </row>
    <row r="1284" spans="1:11" x14ac:dyDescent="0.35">
      <c r="A1284" t="s">
        <v>1661</v>
      </c>
      <c r="B1284" s="2">
        <v>45482</v>
      </c>
      <c r="C1284" t="s">
        <v>72</v>
      </c>
      <c r="D1284" t="s">
        <v>19</v>
      </c>
      <c r="E1284" t="s">
        <v>171</v>
      </c>
      <c r="F1284" t="s">
        <v>35</v>
      </c>
      <c r="G1284" t="s">
        <v>67</v>
      </c>
      <c r="H1284">
        <v>1</v>
      </c>
      <c r="I1284">
        <v>166.28</v>
      </c>
      <c r="J1284">
        <v>0</v>
      </c>
      <c r="K1284">
        <v>166.28</v>
      </c>
    </row>
    <row r="1285" spans="1:11" x14ac:dyDescent="0.35">
      <c r="A1285" t="s">
        <v>1662</v>
      </c>
      <c r="B1285" s="1">
        <v>45453</v>
      </c>
      <c r="C1285" t="s">
        <v>79</v>
      </c>
      <c r="D1285" t="s">
        <v>42</v>
      </c>
      <c r="E1285" t="s">
        <v>166</v>
      </c>
      <c r="F1285" t="s">
        <v>15</v>
      </c>
      <c r="G1285" t="s">
        <v>16</v>
      </c>
      <c r="H1285">
        <v>8</v>
      </c>
      <c r="I1285">
        <v>167.31</v>
      </c>
      <c r="J1285">
        <v>0</v>
      </c>
      <c r="K1285">
        <v>1338.48</v>
      </c>
    </row>
    <row r="1286" spans="1:11" x14ac:dyDescent="0.35">
      <c r="A1286" t="s">
        <v>1663</v>
      </c>
      <c r="B1286" s="2">
        <v>45381</v>
      </c>
      <c r="C1286" t="s">
        <v>29</v>
      </c>
      <c r="D1286" t="s">
        <v>25</v>
      </c>
      <c r="E1286" t="s">
        <v>381</v>
      </c>
      <c r="F1286" t="s">
        <v>35</v>
      </c>
      <c r="G1286" t="s">
        <v>134</v>
      </c>
      <c r="H1286">
        <v>10</v>
      </c>
      <c r="I1286">
        <v>66.040000000000006</v>
      </c>
      <c r="J1286">
        <v>0.15</v>
      </c>
      <c r="K1286">
        <v>561.34</v>
      </c>
    </row>
    <row r="1287" spans="1:11" x14ac:dyDescent="0.35">
      <c r="A1287" t="s">
        <v>1664</v>
      </c>
      <c r="B1287" s="1">
        <v>45388</v>
      </c>
      <c r="C1287" t="s">
        <v>90</v>
      </c>
      <c r="D1287" t="s">
        <v>42</v>
      </c>
      <c r="E1287" t="s">
        <v>144</v>
      </c>
      <c r="F1287" t="s">
        <v>53</v>
      </c>
      <c r="G1287" t="s">
        <v>63</v>
      </c>
      <c r="H1287">
        <v>7</v>
      </c>
      <c r="I1287">
        <v>56.75</v>
      </c>
      <c r="J1287">
        <v>0</v>
      </c>
      <c r="K1287">
        <v>397.25</v>
      </c>
    </row>
    <row r="1288" spans="1:11" x14ac:dyDescent="0.35">
      <c r="A1288" t="s">
        <v>1665</v>
      </c>
      <c r="B1288" s="1">
        <v>45606</v>
      </c>
      <c r="C1288" t="s">
        <v>18</v>
      </c>
      <c r="D1288" t="s">
        <v>42</v>
      </c>
      <c r="E1288" t="s">
        <v>241</v>
      </c>
      <c r="F1288" t="s">
        <v>15</v>
      </c>
      <c r="G1288" t="s">
        <v>16</v>
      </c>
      <c r="H1288">
        <v>6</v>
      </c>
      <c r="I1288">
        <v>150.49</v>
      </c>
      <c r="J1288">
        <v>0</v>
      </c>
      <c r="K1288">
        <v>902.94</v>
      </c>
    </row>
    <row r="1289" spans="1:11" x14ac:dyDescent="0.35">
      <c r="A1289" t="s">
        <v>1666</v>
      </c>
      <c r="B1289" s="1">
        <v>45567</v>
      </c>
      <c r="C1289" t="s">
        <v>41</v>
      </c>
      <c r="D1289" t="s">
        <v>13</v>
      </c>
      <c r="E1289" t="s">
        <v>284</v>
      </c>
      <c r="F1289" t="s">
        <v>44</v>
      </c>
      <c r="G1289" t="s">
        <v>107</v>
      </c>
      <c r="H1289">
        <v>2</v>
      </c>
      <c r="I1289">
        <v>243.53</v>
      </c>
      <c r="J1289">
        <v>0</v>
      </c>
      <c r="K1289">
        <v>487.06</v>
      </c>
    </row>
    <row r="1290" spans="1:11" x14ac:dyDescent="0.35">
      <c r="A1290" t="s">
        <v>1667</v>
      </c>
      <c r="B1290" s="1">
        <v>45431</v>
      </c>
      <c r="C1290" t="s">
        <v>24</v>
      </c>
      <c r="D1290" t="s">
        <v>19</v>
      </c>
      <c r="E1290" t="s">
        <v>52</v>
      </c>
      <c r="F1290" t="s">
        <v>21</v>
      </c>
      <c r="G1290" t="s">
        <v>22</v>
      </c>
      <c r="H1290">
        <v>7</v>
      </c>
      <c r="I1290">
        <v>200.84</v>
      </c>
      <c r="J1290">
        <v>0.05</v>
      </c>
      <c r="K1290">
        <v>1335.59</v>
      </c>
    </row>
    <row r="1291" spans="1:11" x14ac:dyDescent="0.35">
      <c r="A1291" t="s">
        <v>1668</v>
      </c>
      <c r="B1291" s="1">
        <v>45415</v>
      </c>
      <c r="C1291" t="s">
        <v>33</v>
      </c>
      <c r="D1291" t="s">
        <v>42</v>
      </c>
      <c r="E1291" t="s">
        <v>321</v>
      </c>
      <c r="F1291" t="s">
        <v>15</v>
      </c>
      <c r="G1291" t="s">
        <v>27</v>
      </c>
      <c r="H1291">
        <v>7</v>
      </c>
      <c r="I1291">
        <v>125.82</v>
      </c>
      <c r="J1291">
        <v>0.1</v>
      </c>
      <c r="K1291">
        <v>792.67</v>
      </c>
    </row>
    <row r="1292" spans="1:11" x14ac:dyDescent="0.35">
      <c r="A1292" t="s">
        <v>1669</v>
      </c>
      <c r="B1292" s="1">
        <v>45494</v>
      </c>
      <c r="C1292" t="s">
        <v>72</v>
      </c>
      <c r="D1292" t="s">
        <v>19</v>
      </c>
      <c r="E1292" t="s">
        <v>34</v>
      </c>
      <c r="F1292" t="s">
        <v>15</v>
      </c>
      <c r="G1292" t="s">
        <v>74</v>
      </c>
      <c r="H1292">
        <v>5</v>
      </c>
      <c r="I1292">
        <v>170.91</v>
      </c>
      <c r="J1292">
        <v>0</v>
      </c>
      <c r="K1292">
        <v>854.55</v>
      </c>
    </row>
    <row r="1293" spans="1:11" x14ac:dyDescent="0.35">
      <c r="A1293" t="s">
        <v>1670</v>
      </c>
      <c r="B1293" s="1">
        <v>45556</v>
      </c>
      <c r="C1293" t="s">
        <v>18</v>
      </c>
      <c r="D1293" t="s">
        <v>57</v>
      </c>
      <c r="E1293" t="s">
        <v>88</v>
      </c>
      <c r="F1293" t="s">
        <v>35</v>
      </c>
      <c r="G1293" t="s">
        <v>134</v>
      </c>
      <c r="H1293">
        <v>9</v>
      </c>
      <c r="I1293">
        <v>131.01</v>
      </c>
      <c r="J1293">
        <v>0.05</v>
      </c>
      <c r="K1293">
        <v>1120.1400000000001</v>
      </c>
    </row>
    <row r="1294" spans="1:11" x14ac:dyDescent="0.35">
      <c r="A1294" t="s">
        <v>1671</v>
      </c>
      <c r="B1294" s="1">
        <v>45496</v>
      </c>
      <c r="C1294" t="s">
        <v>12</v>
      </c>
      <c r="D1294" t="s">
        <v>13</v>
      </c>
      <c r="E1294" t="s">
        <v>221</v>
      </c>
      <c r="F1294" t="s">
        <v>53</v>
      </c>
      <c r="G1294" t="s">
        <v>54</v>
      </c>
      <c r="H1294">
        <v>4</v>
      </c>
      <c r="I1294">
        <v>10.029999999999999</v>
      </c>
      <c r="J1294">
        <v>0</v>
      </c>
      <c r="K1294">
        <v>40.119999999999997</v>
      </c>
    </row>
    <row r="1295" spans="1:11" x14ac:dyDescent="0.35">
      <c r="A1295" t="s">
        <v>1672</v>
      </c>
      <c r="B1295" t="s">
        <v>245</v>
      </c>
      <c r="C1295" t="s">
        <v>56</v>
      </c>
      <c r="D1295" t="s">
        <v>25</v>
      </c>
      <c r="E1295" t="s">
        <v>392</v>
      </c>
      <c r="F1295" t="s">
        <v>35</v>
      </c>
      <c r="G1295" t="s">
        <v>83</v>
      </c>
      <c r="H1295">
        <v>6</v>
      </c>
      <c r="I1295">
        <v>85.35</v>
      </c>
      <c r="J1295">
        <v>0.15</v>
      </c>
      <c r="K1295">
        <v>435.28</v>
      </c>
    </row>
    <row r="1296" spans="1:11" x14ac:dyDescent="0.35">
      <c r="A1296" t="s">
        <v>1673</v>
      </c>
      <c r="B1296" s="1">
        <v>45441</v>
      </c>
      <c r="C1296" t="s">
        <v>24</v>
      </c>
      <c r="D1296" t="s">
        <v>13</v>
      </c>
      <c r="E1296" t="s">
        <v>489</v>
      </c>
      <c r="F1296" t="s">
        <v>21</v>
      </c>
      <c r="G1296" t="s">
        <v>129</v>
      </c>
      <c r="H1296">
        <v>5</v>
      </c>
      <c r="I1296">
        <v>161.71</v>
      </c>
      <c r="J1296">
        <v>0</v>
      </c>
      <c r="K1296">
        <v>808.55</v>
      </c>
    </row>
    <row r="1297" spans="1:11" x14ac:dyDescent="0.35">
      <c r="A1297" t="s">
        <v>1674</v>
      </c>
      <c r="B1297" s="1">
        <v>45458</v>
      </c>
      <c r="C1297" t="s">
        <v>79</v>
      </c>
      <c r="D1297" t="s">
        <v>57</v>
      </c>
      <c r="E1297" t="s">
        <v>368</v>
      </c>
      <c r="F1297" t="s">
        <v>35</v>
      </c>
      <c r="G1297" t="s">
        <v>134</v>
      </c>
      <c r="H1297">
        <v>9</v>
      </c>
      <c r="I1297">
        <v>179.87</v>
      </c>
      <c r="J1297">
        <v>0</v>
      </c>
      <c r="K1297">
        <v>1618.83</v>
      </c>
    </row>
    <row r="1298" spans="1:11" x14ac:dyDescent="0.35">
      <c r="A1298" t="s">
        <v>1675</v>
      </c>
      <c r="B1298" s="1">
        <v>45369</v>
      </c>
      <c r="C1298" t="s">
        <v>79</v>
      </c>
      <c r="D1298" t="s">
        <v>57</v>
      </c>
      <c r="E1298" t="s">
        <v>468</v>
      </c>
      <c r="F1298" t="s">
        <v>21</v>
      </c>
      <c r="G1298" t="s">
        <v>129</v>
      </c>
      <c r="H1298">
        <v>6</v>
      </c>
      <c r="I1298">
        <v>150.41999999999999</v>
      </c>
      <c r="J1298">
        <v>0.15</v>
      </c>
      <c r="K1298">
        <v>767.14</v>
      </c>
    </row>
    <row r="1299" spans="1:11" x14ac:dyDescent="0.35">
      <c r="A1299" t="s">
        <v>1450</v>
      </c>
      <c r="B1299" t="s">
        <v>557</v>
      </c>
      <c r="C1299" t="s">
        <v>18</v>
      </c>
      <c r="D1299" t="s">
        <v>13</v>
      </c>
      <c r="E1299" t="s">
        <v>547</v>
      </c>
      <c r="F1299" t="s">
        <v>44</v>
      </c>
      <c r="G1299" t="s">
        <v>50</v>
      </c>
      <c r="H1299">
        <v>8</v>
      </c>
      <c r="I1299">
        <v>49.87</v>
      </c>
      <c r="J1299">
        <v>0</v>
      </c>
      <c r="K1299">
        <v>398.96</v>
      </c>
    </row>
    <row r="1300" spans="1:11" x14ac:dyDescent="0.35">
      <c r="A1300" t="s">
        <v>1676</v>
      </c>
      <c r="B1300" s="1">
        <v>45513</v>
      </c>
      <c r="C1300" t="s">
        <v>79</v>
      </c>
      <c r="D1300" t="s">
        <v>57</v>
      </c>
      <c r="E1300" t="s">
        <v>217</v>
      </c>
      <c r="F1300" t="s">
        <v>15</v>
      </c>
      <c r="G1300" t="s">
        <v>74</v>
      </c>
      <c r="H1300">
        <v>7</v>
      </c>
      <c r="I1300">
        <v>218.31</v>
      </c>
      <c r="J1300">
        <v>0</v>
      </c>
      <c r="K1300">
        <v>1528.17</v>
      </c>
    </row>
    <row r="1301" spans="1:11" x14ac:dyDescent="0.35">
      <c r="A1301" t="s">
        <v>1677</v>
      </c>
      <c r="B1301" s="1">
        <v>45513</v>
      </c>
      <c r="C1301" t="s">
        <v>33</v>
      </c>
      <c r="D1301" t="s">
        <v>25</v>
      </c>
      <c r="E1301" t="s">
        <v>77</v>
      </c>
      <c r="F1301" t="s">
        <v>15</v>
      </c>
      <c r="G1301" t="s">
        <v>27</v>
      </c>
      <c r="H1301">
        <v>5</v>
      </c>
      <c r="I1301">
        <v>129.30000000000001</v>
      </c>
      <c r="J1301">
        <v>0.15</v>
      </c>
      <c r="K1301">
        <v>549.52</v>
      </c>
    </row>
    <row r="1302" spans="1:11" x14ac:dyDescent="0.35">
      <c r="A1302" t="s">
        <v>1678</v>
      </c>
      <c r="B1302" t="s">
        <v>162</v>
      </c>
      <c r="C1302" t="s">
        <v>18</v>
      </c>
      <c r="D1302" t="s">
        <v>57</v>
      </c>
      <c r="E1302" t="s">
        <v>521</v>
      </c>
      <c r="F1302" t="s">
        <v>53</v>
      </c>
      <c r="G1302" t="s">
        <v>125</v>
      </c>
      <c r="H1302">
        <v>8</v>
      </c>
      <c r="I1302">
        <v>52.27</v>
      </c>
      <c r="J1302">
        <v>0</v>
      </c>
      <c r="K1302">
        <v>418.16</v>
      </c>
    </row>
    <row r="1303" spans="1:11" x14ac:dyDescent="0.35">
      <c r="A1303" t="s">
        <v>256</v>
      </c>
      <c r="B1303" t="s">
        <v>47</v>
      </c>
      <c r="C1303" t="s">
        <v>41</v>
      </c>
      <c r="D1303" t="s">
        <v>25</v>
      </c>
      <c r="E1303" t="s">
        <v>257</v>
      </c>
      <c r="F1303" t="s">
        <v>15</v>
      </c>
      <c r="G1303" t="s">
        <v>27</v>
      </c>
      <c r="H1303">
        <v>7</v>
      </c>
      <c r="I1303">
        <v>136.41999999999999</v>
      </c>
      <c r="J1303">
        <v>0.1</v>
      </c>
      <c r="K1303">
        <v>859.45</v>
      </c>
    </row>
    <row r="1304" spans="1:11" x14ac:dyDescent="0.35">
      <c r="A1304" t="s">
        <v>1679</v>
      </c>
      <c r="B1304" s="1">
        <v>45355</v>
      </c>
      <c r="C1304" t="s">
        <v>33</v>
      </c>
      <c r="D1304" t="s">
        <v>42</v>
      </c>
      <c r="E1304" t="s">
        <v>902</v>
      </c>
      <c r="F1304" t="s">
        <v>53</v>
      </c>
      <c r="G1304" t="s">
        <v>125</v>
      </c>
      <c r="H1304">
        <v>8</v>
      </c>
      <c r="I1304">
        <v>107.2</v>
      </c>
      <c r="J1304">
        <v>0.15</v>
      </c>
      <c r="K1304">
        <v>728.96</v>
      </c>
    </row>
    <row r="1305" spans="1:11" x14ac:dyDescent="0.35">
      <c r="A1305" t="s">
        <v>1680</v>
      </c>
      <c r="B1305" s="2">
        <v>45365</v>
      </c>
      <c r="C1305" t="s">
        <v>65</v>
      </c>
      <c r="D1305" t="s">
        <v>57</v>
      </c>
      <c r="E1305" t="s">
        <v>590</v>
      </c>
      <c r="F1305" t="s">
        <v>35</v>
      </c>
      <c r="G1305" t="s">
        <v>134</v>
      </c>
      <c r="H1305">
        <v>2</v>
      </c>
      <c r="I1305">
        <v>13.53</v>
      </c>
      <c r="J1305">
        <v>0</v>
      </c>
      <c r="K1305">
        <v>27.06</v>
      </c>
    </row>
    <row r="1306" spans="1:11" x14ac:dyDescent="0.35">
      <c r="A1306" t="s">
        <v>1681</v>
      </c>
      <c r="B1306" s="1">
        <v>45473</v>
      </c>
      <c r="C1306" t="s">
        <v>56</v>
      </c>
      <c r="D1306" t="s">
        <v>19</v>
      </c>
      <c r="E1306" t="s">
        <v>160</v>
      </c>
      <c r="F1306" t="s">
        <v>15</v>
      </c>
      <c r="G1306" t="s">
        <v>147</v>
      </c>
      <c r="H1306">
        <v>7</v>
      </c>
      <c r="I1306">
        <v>115.18</v>
      </c>
      <c r="J1306">
        <v>0.1</v>
      </c>
      <c r="K1306">
        <v>725.63</v>
      </c>
    </row>
    <row r="1307" spans="1:11" x14ac:dyDescent="0.35">
      <c r="A1307" t="s">
        <v>1682</v>
      </c>
      <c r="B1307" s="1">
        <v>45392</v>
      </c>
      <c r="C1307" t="s">
        <v>90</v>
      </c>
      <c r="D1307" t="s">
        <v>42</v>
      </c>
      <c r="E1307" t="s">
        <v>284</v>
      </c>
      <c r="F1307" t="s">
        <v>53</v>
      </c>
      <c r="G1307" t="s">
        <v>59</v>
      </c>
      <c r="H1307">
        <v>5</v>
      </c>
      <c r="I1307">
        <v>63.95</v>
      </c>
      <c r="J1307">
        <v>0.1</v>
      </c>
      <c r="K1307">
        <v>287.77999999999997</v>
      </c>
    </row>
    <row r="1308" spans="1:11" x14ac:dyDescent="0.35">
      <c r="A1308" t="s">
        <v>1385</v>
      </c>
      <c r="B1308" s="1">
        <v>45641</v>
      </c>
      <c r="C1308" t="s">
        <v>72</v>
      </c>
      <c r="D1308" t="s">
        <v>57</v>
      </c>
      <c r="E1308" t="s">
        <v>608</v>
      </c>
      <c r="F1308" t="s">
        <v>53</v>
      </c>
      <c r="G1308" t="s">
        <v>54</v>
      </c>
      <c r="H1308">
        <v>12</v>
      </c>
      <c r="I1308">
        <v>168.62</v>
      </c>
      <c r="J1308">
        <v>0</v>
      </c>
      <c r="K1308">
        <v>2023.44</v>
      </c>
    </row>
    <row r="1309" spans="1:11" x14ac:dyDescent="0.35">
      <c r="A1309" t="s">
        <v>1683</v>
      </c>
      <c r="B1309" s="2">
        <v>45468</v>
      </c>
      <c r="C1309" t="s">
        <v>41</v>
      </c>
      <c r="E1309" t="s">
        <v>842</v>
      </c>
      <c r="F1309" t="s">
        <v>53</v>
      </c>
      <c r="G1309" t="s">
        <v>104</v>
      </c>
      <c r="H1309">
        <v>11</v>
      </c>
      <c r="I1309">
        <v>69.709999999999994</v>
      </c>
      <c r="J1309">
        <v>0.05</v>
      </c>
      <c r="K1309">
        <v>728.47</v>
      </c>
    </row>
    <row r="1310" spans="1:11" x14ac:dyDescent="0.35">
      <c r="A1310" t="s">
        <v>1684</v>
      </c>
      <c r="B1310" s="1">
        <v>45486</v>
      </c>
      <c r="C1310" t="s">
        <v>79</v>
      </c>
      <c r="D1310" t="s">
        <v>25</v>
      </c>
      <c r="E1310" t="s">
        <v>620</v>
      </c>
      <c r="F1310" t="s">
        <v>35</v>
      </c>
      <c r="G1310" t="s">
        <v>177</v>
      </c>
      <c r="H1310">
        <v>5</v>
      </c>
      <c r="I1310">
        <v>137.61000000000001</v>
      </c>
      <c r="J1310">
        <v>0</v>
      </c>
      <c r="K1310">
        <v>688.05</v>
      </c>
    </row>
    <row r="1311" spans="1:11" x14ac:dyDescent="0.35">
      <c r="A1311" t="s">
        <v>1685</v>
      </c>
      <c r="B1311" s="2">
        <v>45297</v>
      </c>
      <c r="C1311" t="s">
        <v>102</v>
      </c>
      <c r="D1311" t="s">
        <v>25</v>
      </c>
      <c r="E1311" t="s">
        <v>696</v>
      </c>
      <c r="F1311" t="s">
        <v>15</v>
      </c>
      <c r="G1311" t="s">
        <v>74</v>
      </c>
      <c r="H1311">
        <v>8</v>
      </c>
      <c r="I1311">
        <v>15.24</v>
      </c>
      <c r="J1311">
        <v>0</v>
      </c>
      <c r="K1311">
        <v>121.92</v>
      </c>
    </row>
    <row r="1312" spans="1:11" x14ac:dyDescent="0.35">
      <c r="A1312" t="s">
        <v>1686</v>
      </c>
      <c r="B1312" s="2">
        <v>45574</v>
      </c>
      <c r="C1312" t="s">
        <v>18</v>
      </c>
      <c r="D1312" t="s">
        <v>19</v>
      </c>
      <c r="E1312" t="s">
        <v>492</v>
      </c>
      <c r="F1312" t="s">
        <v>35</v>
      </c>
      <c r="G1312" t="s">
        <v>83</v>
      </c>
      <c r="H1312">
        <v>6</v>
      </c>
      <c r="I1312">
        <v>116.56</v>
      </c>
      <c r="J1312">
        <v>0</v>
      </c>
      <c r="K1312">
        <v>699.36</v>
      </c>
    </row>
    <row r="1313" spans="1:11" x14ac:dyDescent="0.35">
      <c r="A1313" t="s">
        <v>1687</v>
      </c>
      <c r="B1313" s="1">
        <v>45647</v>
      </c>
      <c r="C1313" t="s">
        <v>79</v>
      </c>
      <c r="D1313" t="s">
        <v>57</v>
      </c>
      <c r="E1313" t="s">
        <v>462</v>
      </c>
      <c r="F1313" t="s">
        <v>53</v>
      </c>
      <c r="G1313" t="s">
        <v>59</v>
      </c>
      <c r="H1313">
        <v>7</v>
      </c>
      <c r="I1313">
        <v>85.66</v>
      </c>
      <c r="J1313">
        <v>0.1</v>
      </c>
      <c r="K1313">
        <v>539.66</v>
      </c>
    </row>
    <row r="1314" spans="1:11" x14ac:dyDescent="0.35">
      <c r="A1314" t="s">
        <v>1688</v>
      </c>
      <c r="B1314" s="1">
        <v>45536</v>
      </c>
      <c r="C1314" t="s">
        <v>41</v>
      </c>
      <c r="D1314" t="s">
        <v>57</v>
      </c>
      <c r="E1314" t="s">
        <v>590</v>
      </c>
      <c r="F1314" t="s">
        <v>21</v>
      </c>
      <c r="G1314" t="s">
        <v>129</v>
      </c>
      <c r="H1314">
        <v>4</v>
      </c>
      <c r="I1314">
        <v>143.71</v>
      </c>
      <c r="J1314">
        <v>0.15</v>
      </c>
      <c r="K1314">
        <v>488.61</v>
      </c>
    </row>
    <row r="1315" spans="1:11" x14ac:dyDescent="0.35">
      <c r="A1315" t="s">
        <v>1689</v>
      </c>
      <c r="B1315" s="2">
        <v>45592</v>
      </c>
      <c r="C1315" t="s">
        <v>79</v>
      </c>
      <c r="D1315" t="s">
        <v>57</v>
      </c>
      <c r="E1315" t="s">
        <v>590</v>
      </c>
      <c r="F1315" t="s">
        <v>44</v>
      </c>
      <c r="G1315" t="s">
        <v>86</v>
      </c>
      <c r="H1315">
        <v>1</v>
      </c>
      <c r="I1315">
        <v>121.85</v>
      </c>
      <c r="J1315">
        <v>0</v>
      </c>
      <c r="K1315">
        <v>121.85</v>
      </c>
    </row>
    <row r="1316" spans="1:11" x14ac:dyDescent="0.35">
      <c r="A1316" t="s">
        <v>1690</v>
      </c>
      <c r="B1316" s="1">
        <v>45515</v>
      </c>
      <c r="C1316" t="s">
        <v>102</v>
      </c>
      <c r="D1316" t="s">
        <v>19</v>
      </c>
      <c r="E1316" t="s">
        <v>20</v>
      </c>
      <c r="F1316" t="s">
        <v>21</v>
      </c>
      <c r="G1316" t="s">
        <v>129</v>
      </c>
      <c r="H1316">
        <v>7</v>
      </c>
      <c r="I1316">
        <v>66.77</v>
      </c>
      <c r="J1316">
        <v>0.05</v>
      </c>
      <c r="K1316">
        <v>444.02</v>
      </c>
    </row>
    <row r="1317" spans="1:11" x14ac:dyDescent="0.35">
      <c r="A1317" t="s">
        <v>1691</v>
      </c>
      <c r="B1317" s="1">
        <v>45524</v>
      </c>
      <c r="C1317" t="s">
        <v>29</v>
      </c>
      <c r="D1317" t="s">
        <v>13</v>
      </c>
      <c r="E1317" t="s">
        <v>381</v>
      </c>
      <c r="F1317" t="s">
        <v>15</v>
      </c>
      <c r="G1317" t="s">
        <v>27</v>
      </c>
      <c r="H1317">
        <v>12</v>
      </c>
      <c r="I1317">
        <v>238.68</v>
      </c>
      <c r="J1317">
        <v>0</v>
      </c>
      <c r="K1317">
        <v>2864.16</v>
      </c>
    </row>
    <row r="1318" spans="1:11" x14ac:dyDescent="0.35">
      <c r="A1318" t="s">
        <v>1692</v>
      </c>
      <c r="B1318" s="1">
        <v>45641</v>
      </c>
      <c r="C1318" t="s">
        <v>102</v>
      </c>
      <c r="D1318" t="s">
        <v>19</v>
      </c>
      <c r="E1318" t="s">
        <v>73</v>
      </c>
      <c r="F1318" t="s">
        <v>15</v>
      </c>
      <c r="G1318" t="s">
        <v>111</v>
      </c>
      <c r="H1318">
        <v>4</v>
      </c>
      <c r="I1318">
        <v>249.86</v>
      </c>
      <c r="J1318">
        <v>0</v>
      </c>
      <c r="K1318">
        <v>999.44</v>
      </c>
    </row>
    <row r="1319" spans="1:11" x14ac:dyDescent="0.35">
      <c r="A1319" t="s">
        <v>1693</v>
      </c>
      <c r="B1319" t="s">
        <v>1100</v>
      </c>
      <c r="C1319" t="s">
        <v>38</v>
      </c>
      <c r="D1319" t="s">
        <v>42</v>
      </c>
      <c r="E1319" t="s">
        <v>1159</v>
      </c>
      <c r="F1319" t="s">
        <v>21</v>
      </c>
      <c r="G1319" t="s">
        <v>167</v>
      </c>
      <c r="H1319">
        <v>4</v>
      </c>
      <c r="I1319">
        <v>231.81</v>
      </c>
      <c r="J1319">
        <v>0</v>
      </c>
      <c r="K1319">
        <v>927.24</v>
      </c>
    </row>
    <row r="1320" spans="1:11" x14ac:dyDescent="0.35">
      <c r="A1320" t="s">
        <v>1694</v>
      </c>
      <c r="B1320" s="1">
        <v>45406</v>
      </c>
      <c r="C1320" t="s">
        <v>79</v>
      </c>
      <c r="D1320" t="s">
        <v>13</v>
      </c>
      <c r="E1320" t="s">
        <v>296</v>
      </c>
      <c r="F1320" t="s">
        <v>21</v>
      </c>
      <c r="G1320" t="s">
        <v>194</v>
      </c>
      <c r="H1320">
        <v>10</v>
      </c>
      <c r="I1320">
        <v>217.06</v>
      </c>
      <c r="J1320">
        <v>0.05</v>
      </c>
      <c r="K1320">
        <v>2062.0700000000002</v>
      </c>
    </row>
    <row r="1321" spans="1:11" x14ac:dyDescent="0.35">
      <c r="A1321" t="s">
        <v>1695</v>
      </c>
      <c r="B1321" s="1">
        <v>45501</v>
      </c>
      <c r="C1321" t="s">
        <v>41</v>
      </c>
      <c r="D1321" t="s">
        <v>19</v>
      </c>
      <c r="E1321" t="s">
        <v>407</v>
      </c>
      <c r="F1321" t="s">
        <v>44</v>
      </c>
      <c r="G1321" t="s">
        <v>86</v>
      </c>
      <c r="H1321">
        <v>7</v>
      </c>
      <c r="I1321">
        <v>31.11</v>
      </c>
      <c r="J1321">
        <v>0.15</v>
      </c>
      <c r="K1321">
        <v>185.1</v>
      </c>
    </row>
    <row r="1322" spans="1:11" x14ac:dyDescent="0.35">
      <c r="A1322" t="s">
        <v>1696</v>
      </c>
      <c r="B1322" t="s">
        <v>1031</v>
      </c>
      <c r="C1322" t="s">
        <v>41</v>
      </c>
      <c r="D1322" t="s">
        <v>13</v>
      </c>
      <c r="E1322" t="s">
        <v>113</v>
      </c>
      <c r="F1322" t="s">
        <v>44</v>
      </c>
      <c r="G1322" t="s">
        <v>94</v>
      </c>
      <c r="H1322">
        <v>4</v>
      </c>
      <c r="I1322">
        <v>72.72</v>
      </c>
      <c r="J1322">
        <v>0</v>
      </c>
      <c r="K1322">
        <v>290.88</v>
      </c>
    </row>
    <row r="1323" spans="1:11" x14ac:dyDescent="0.35">
      <c r="A1323" t="s">
        <v>1697</v>
      </c>
      <c r="B1323" t="s">
        <v>1698</v>
      </c>
      <c r="C1323" t="s">
        <v>38</v>
      </c>
      <c r="D1323" t="s">
        <v>42</v>
      </c>
      <c r="E1323" t="s">
        <v>535</v>
      </c>
      <c r="F1323" t="s">
        <v>15</v>
      </c>
      <c r="G1323" t="s">
        <v>74</v>
      </c>
      <c r="H1323">
        <v>2</v>
      </c>
      <c r="I1323">
        <v>163.13999999999999</v>
      </c>
      <c r="J1323">
        <v>0.05</v>
      </c>
      <c r="K1323">
        <v>309.97000000000003</v>
      </c>
    </row>
    <row r="1324" spans="1:11" x14ac:dyDescent="0.35">
      <c r="A1324" t="s">
        <v>1699</v>
      </c>
      <c r="B1324" s="1">
        <v>45627</v>
      </c>
      <c r="C1324" t="s">
        <v>48</v>
      </c>
      <c r="D1324" t="s">
        <v>42</v>
      </c>
      <c r="E1324" t="s">
        <v>120</v>
      </c>
      <c r="F1324" t="s">
        <v>35</v>
      </c>
      <c r="G1324" t="s">
        <v>36</v>
      </c>
      <c r="H1324">
        <v>2</v>
      </c>
      <c r="I1324">
        <v>35.99</v>
      </c>
      <c r="J1324">
        <v>0</v>
      </c>
      <c r="K1324">
        <v>71.98</v>
      </c>
    </row>
    <row r="1325" spans="1:11" x14ac:dyDescent="0.35">
      <c r="A1325" t="s">
        <v>1700</v>
      </c>
      <c r="B1325" s="1">
        <v>45591</v>
      </c>
      <c r="C1325" t="s">
        <v>48</v>
      </c>
      <c r="D1325" t="s">
        <v>19</v>
      </c>
      <c r="E1325" t="s">
        <v>508</v>
      </c>
      <c r="F1325" t="s">
        <v>15</v>
      </c>
      <c r="G1325" t="s">
        <v>111</v>
      </c>
      <c r="H1325">
        <v>12</v>
      </c>
      <c r="I1325">
        <v>126.05</v>
      </c>
      <c r="J1325">
        <v>0.05</v>
      </c>
      <c r="K1325">
        <v>1436.97</v>
      </c>
    </row>
    <row r="1326" spans="1:11" x14ac:dyDescent="0.35">
      <c r="A1326" t="s">
        <v>1701</v>
      </c>
      <c r="B1326" s="1">
        <v>45410</v>
      </c>
      <c r="C1326" t="s">
        <v>90</v>
      </c>
      <c r="D1326" t="s">
        <v>25</v>
      </c>
      <c r="E1326" t="s">
        <v>439</v>
      </c>
      <c r="F1326" t="s">
        <v>15</v>
      </c>
      <c r="G1326" t="s">
        <v>27</v>
      </c>
      <c r="H1326">
        <v>4</v>
      </c>
      <c r="I1326">
        <v>186.77</v>
      </c>
      <c r="J1326">
        <v>0</v>
      </c>
      <c r="K1326">
        <v>747.08</v>
      </c>
    </row>
    <row r="1327" spans="1:11" x14ac:dyDescent="0.35">
      <c r="A1327" t="s">
        <v>1702</v>
      </c>
      <c r="B1327" s="1">
        <v>45568</v>
      </c>
      <c r="C1327" t="s">
        <v>41</v>
      </c>
      <c r="D1327" t="s">
        <v>42</v>
      </c>
      <c r="E1327" t="s">
        <v>531</v>
      </c>
      <c r="F1327" t="s">
        <v>21</v>
      </c>
      <c r="G1327" t="s">
        <v>70</v>
      </c>
      <c r="H1327">
        <v>11</v>
      </c>
      <c r="I1327">
        <v>224.29</v>
      </c>
      <c r="J1327">
        <v>0</v>
      </c>
      <c r="K1327">
        <v>2467.19</v>
      </c>
    </row>
    <row r="1328" spans="1:11" x14ac:dyDescent="0.35">
      <c r="A1328" t="s">
        <v>1703</v>
      </c>
      <c r="B1328" t="s">
        <v>1704</v>
      </c>
      <c r="C1328" t="s">
        <v>33</v>
      </c>
      <c r="D1328" t="s">
        <v>42</v>
      </c>
      <c r="E1328" t="s">
        <v>77</v>
      </c>
      <c r="F1328" t="s">
        <v>44</v>
      </c>
      <c r="G1328" t="s">
        <v>50</v>
      </c>
      <c r="H1328">
        <v>11</v>
      </c>
      <c r="I1328">
        <v>61.89</v>
      </c>
      <c r="J1328">
        <v>0</v>
      </c>
      <c r="K1328">
        <v>680.79</v>
      </c>
    </row>
    <row r="1329" spans="1:11" x14ac:dyDescent="0.35">
      <c r="A1329" t="s">
        <v>1705</v>
      </c>
      <c r="B1329" s="1">
        <v>45581</v>
      </c>
      <c r="C1329" t="s">
        <v>79</v>
      </c>
      <c r="D1329" t="s">
        <v>19</v>
      </c>
      <c r="E1329" t="s">
        <v>489</v>
      </c>
      <c r="F1329" t="s">
        <v>53</v>
      </c>
      <c r="G1329" t="s">
        <v>104</v>
      </c>
      <c r="H1329">
        <v>5</v>
      </c>
      <c r="I1329">
        <v>201.81</v>
      </c>
      <c r="J1329">
        <v>0.1</v>
      </c>
      <c r="K1329">
        <v>908.14</v>
      </c>
    </row>
    <row r="1330" spans="1:11" x14ac:dyDescent="0.35">
      <c r="A1330" t="s">
        <v>1706</v>
      </c>
      <c r="B1330" s="2">
        <v>45540</v>
      </c>
      <c r="C1330" t="s">
        <v>38</v>
      </c>
      <c r="D1330" t="s">
        <v>19</v>
      </c>
      <c r="E1330" t="s">
        <v>693</v>
      </c>
      <c r="F1330" t="s">
        <v>15</v>
      </c>
      <c r="G1330" t="s">
        <v>16</v>
      </c>
      <c r="H1330">
        <v>10</v>
      </c>
      <c r="I1330">
        <v>117.21</v>
      </c>
      <c r="J1330">
        <v>0</v>
      </c>
      <c r="K1330">
        <v>1172.0999999999999</v>
      </c>
    </row>
    <row r="1331" spans="1:11" x14ac:dyDescent="0.35">
      <c r="A1331" t="s">
        <v>1707</v>
      </c>
      <c r="B1331" s="1">
        <v>45636</v>
      </c>
      <c r="C1331" t="s">
        <v>18</v>
      </c>
      <c r="D1331" t="s">
        <v>13</v>
      </c>
      <c r="E1331" t="s">
        <v>204</v>
      </c>
      <c r="F1331" t="s">
        <v>44</v>
      </c>
      <c r="G1331" t="s">
        <v>107</v>
      </c>
      <c r="H1331">
        <v>1</v>
      </c>
      <c r="I1331">
        <v>191.34</v>
      </c>
      <c r="J1331">
        <v>0.15</v>
      </c>
      <c r="K1331">
        <v>162.63999999999999</v>
      </c>
    </row>
    <row r="1332" spans="1:11" x14ac:dyDescent="0.35">
      <c r="A1332" t="s">
        <v>1708</v>
      </c>
      <c r="B1332" s="2">
        <v>45450</v>
      </c>
      <c r="C1332" t="s">
        <v>48</v>
      </c>
      <c r="D1332" t="s">
        <v>57</v>
      </c>
      <c r="E1332" t="s">
        <v>158</v>
      </c>
      <c r="F1332" t="s">
        <v>15</v>
      </c>
      <c r="G1332" t="s">
        <v>16</v>
      </c>
      <c r="H1332">
        <v>6</v>
      </c>
      <c r="I1332">
        <v>162.66</v>
      </c>
      <c r="J1332">
        <v>0</v>
      </c>
      <c r="K1332">
        <v>975.96</v>
      </c>
    </row>
    <row r="1333" spans="1:11" x14ac:dyDescent="0.35">
      <c r="A1333" t="s">
        <v>1709</v>
      </c>
      <c r="B1333" s="2">
        <v>45411</v>
      </c>
      <c r="C1333" t="s">
        <v>48</v>
      </c>
      <c r="D1333" t="s">
        <v>25</v>
      </c>
      <c r="E1333" t="s">
        <v>716</v>
      </c>
      <c r="F1333" t="s">
        <v>35</v>
      </c>
      <c r="G1333" t="s">
        <v>177</v>
      </c>
      <c r="H1333">
        <v>7</v>
      </c>
      <c r="I1333">
        <v>172.46</v>
      </c>
      <c r="J1333">
        <v>0.05</v>
      </c>
      <c r="K1333">
        <v>1146.8599999999999</v>
      </c>
    </row>
    <row r="1334" spans="1:11" x14ac:dyDescent="0.35">
      <c r="A1334" t="s">
        <v>1710</v>
      </c>
      <c r="B1334" s="1">
        <v>45583</v>
      </c>
      <c r="C1334" t="s">
        <v>41</v>
      </c>
      <c r="D1334" t="s">
        <v>57</v>
      </c>
      <c r="E1334" t="s">
        <v>448</v>
      </c>
      <c r="F1334" t="s">
        <v>53</v>
      </c>
      <c r="G1334" t="s">
        <v>54</v>
      </c>
      <c r="H1334">
        <v>9</v>
      </c>
      <c r="I1334">
        <v>36.159999999999997</v>
      </c>
      <c r="J1334">
        <v>0</v>
      </c>
      <c r="K1334">
        <v>325.44</v>
      </c>
    </row>
    <row r="1335" spans="1:11" x14ac:dyDescent="0.35">
      <c r="A1335" t="s">
        <v>1430</v>
      </c>
      <c r="B1335" s="2">
        <v>45626</v>
      </c>
      <c r="C1335" t="s">
        <v>29</v>
      </c>
      <c r="E1335" t="s">
        <v>30</v>
      </c>
      <c r="F1335" t="s">
        <v>15</v>
      </c>
      <c r="G1335" t="s">
        <v>27</v>
      </c>
      <c r="H1335">
        <v>5</v>
      </c>
      <c r="I1335">
        <v>24.14</v>
      </c>
      <c r="J1335">
        <v>0</v>
      </c>
      <c r="K1335">
        <v>120.7</v>
      </c>
    </row>
    <row r="1336" spans="1:11" x14ac:dyDescent="0.35">
      <c r="A1336" t="s">
        <v>1711</v>
      </c>
      <c r="B1336" s="2">
        <v>45336</v>
      </c>
      <c r="C1336" t="s">
        <v>18</v>
      </c>
      <c r="D1336" t="s">
        <v>57</v>
      </c>
      <c r="E1336" t="s">
        <v>370</v>
      </c>
      <c r="F1336" t="s">
        <v>21</v>
      </c>
      <c r="G1336" t="s">
        <v>70</v>
      </c>
      <c r="H1336">
        <v>9</v>
      </c>
      <c r="I1336">
        <v>141.31</v>
      </c>
      <c r="J1336">
        <v>0</v>
      </c>
      <c r="K1336">
        <v>1271.79</v>
      </c>
    </row>
    <row r="1337" spans="1:11" x14ac:dyDescent="0.35">
      <c r="A1337" t="s">
        <v>1712</v>
      </c>
      <c r="B1337" s="1">
        <v>45356</v>
      </c>
      <c r="C1337" t="s">
        <v>102</v>
      </c>
      <c r="D1337" t="s">
        <v>13</v>
      </c>
      <c r="E1337" t="s">
        <v>248</v>
      </c>
      <c r="F1337" t="s">
        <v>44</v>
      </c>
      <c r="G1337" t="s">
        <v>86</v>
      </c>
      <c r="H1337">
        <v>2</v>
      </c>
      <c r="I1337">
        <v>135.11000000000001</v>
      </c>
      <c r="J1337">
        <v>0</v>
      </c>
      <c r="K1337">
        <v>270.22000000000003</v>
      </c>
    </row>
    <row r="1338" spans="1:11" x14ac:dyDescent="0.35">
      <c r="A1338" t="s">
        <v>1713</v>
      </c>
      <c r="B1338" t="s">
        <v>1714</v>
      </c>
      <c r="C1338" t="s">
        <v>79</v>
      </c>
      <c r="D1338" t="s">
        <v>42</v>
      </c>
      <c r="E1338" t="s">
        <v>418</v>
      </c>
      <c r="F1338" t="s">
        <v>21</v>
      </c>
      <c r="G1338" t="s">
        <v>194</v>
      </c>
      <c r="H1338">
        <v>7</v>
      </c>
      <c r="I1338">
        <v>55.38</v>
      </c>
      <c r="J1338">
        <v>0.1</v>
      </c>
      <c r="K1338">
        <v>348.89</v>
      </c>
    </row>
    <row r="1339" spans="1:11" x14ac:dyDescent="0.35">
      <c r="A1339" t="s">
        <v>1715</v>
      </c>
      <c r="B1339" s="1">
        <v>45512</v>
      </c>
      <c r="C1339" t="s">
        <v>41</v>
      </c>
      <c r="E1339" t="s">
        <v>88</v>
      </c>
      <c r="F1339" t="s">
        <v>44</v>
      </c>
      <c r="G1339" t="s">
        <v>45</v>
      </c>
      <c r="H1339">
        <v>1</v>
      </c>
      <c r="I1339">
        <v>196.92</v>
      </c>
      <c r="J1339">
        <v>0</v>
      </c>
      <c r="K1339">
        <v>196.92</v>
      </c>
    </row>
    <row r="1340" spans="1:11" x14ac:dyDescent="0.35">
      <c r="A1340" t="s">
        <v>1716</v>
      </c>
      <c r="B1340" s="2">
        <v>45596</v>
      </c>
      <c r="C1340" t="s">
        <v>72</v>
      </c>
      <c r="D1340" t="s">
        <v>13</v>
      </c>
      <c r="E1340" t="s">
        <v>124</v>
      </c>
      <c r="F1340" t="s">
        <v>53</v>
      </c>
      <c r="G1340" t="s">
        <v>59</v>
      </c>
      <c r="H1340">
        <v>7</v>
      </c>
      <c r="I1340">
        <v>35.08</v>
      </c>
      <c r="J1340">
        <v>0.15</v>
      </c>
      <c r="K1340">
        <v>208.73</v>
      </c>
    </row>
    <row r="1341" spans="1:11" x14ac:dyDescent="0.35">
      <c r="A1341" t="s">
        <v>1717</v>
      </c>
      <c r="B1341" t="s">
        <v>196</v>
      </c>
      <c r="C1341" t="s">
        <v>56</v>
      </c>
      <c r="D1341" t="s">
        <v>13</v>
      </c>
      <c r="E1341" t="s">
        <v>484</v>
      </c>
      <c r="F1341" t="s">
        <v>53</v>
      </c>
      <c r="G1341" t="s">
        <v>63</v>
      </c>
      <c r="H1341">
        <v>6</v>
      </c>
      <c r="I1341">
        <v>166.49</v>
      </c>
      <c r="J1341">
        <v>0</v>
      </c>
      <c r="K1341">
        <v>998.94</v>
      </c>
    </row>
    <row r="1342" spans="1:11" x14ac:dyDescent="0.35">
      <c r="A1342" t="s">
        <v>1718</v>
      </c>
      <c r="B1342" s="1">
        <v>45373</v>
      </c>
      <c r="C1342" t="s">
        <v>48</v>
      </c>
      <c r="D1342" t="s">
        <v>42</v>
      </c>
      <c r="E1342" t="s">
        <v>43</v>
      </c>
      <c r="F1342" t="s">
        <v>15</v>
      </c>
      <c r="G1342" t="s">
        <v>74</v>
      </c>
      <c r="H1342">
        <v>9</v>
      </c>
      <c r="I1342">
        <v>208.3</v>
      </c>
      <c r="J1342">
        <v>0</v>
      </c>
      <c r="K1342">
        <v>1874.7</v>
      </c>
    </row>
    <row r="1343" spans="1:11" x14ac:dyDescent="0.35">
      <c r="A1343" t="s">
        <v>1719</v>
      </c>
      <c r="B1343" s="1">
        <v>45574</v>
      </c>
      <c r="C1343" t="s">
        <v>24</v>
      </c>
      <c r="D1343" t="s">
        <v>19</v>
      </c>
      <c r="E1343" t="s">
        <v>902</v>
      </c>
      <c r="F1343" t="s">
        <v>35</v>
      </c>
      <c r="G1343" t="s">
        <v>67</v>
      </c>
      <c r="H1343">
        <v>3</v>
      </c>
      <c r="I1343">
        <v>60.72</v>
      </c>
      <c r="J1343">
        <v>0</v>
      </c>
      <c r="K1343">
        <v>182.16</v>
      </c>
    </row>
    <row r="1344" spans="1:11" x14ac:dyDescent="0.35">
      <c r="A1344" t="s">
        <v>1720</v>
      </c>
      <c r="B1344" s="2">
        <v>45417</v>
      </c>
      <c r="C1344" t="s">
        <v>33</v>
      </c>
      <c r="D1344" t="s">
        <v>42</v>
      </c>
      <c r="E1344" t="s">
        <v>176</v>
      </c>
      <c r="F1344" t="s">
        <v>44</v>
      </c>
      <c r="G1344" t="s">
        <v>94</v>
      </c>
      <c r="H1344">
        <v>2</v>
      </c>
      <c r="I1344">
        <v>47.91</v>
      </c>
      <c r="J1344">
        <v>0.15</v>
      </c>
      <c r="K1344">
        <v>81.45</v>
      </c>
    </row>
    <row r="1345" spans="1:11" x14ac:dyDescent="0.35">
      <c r="A1345" t="s">
        <v>1721</v>
      </c>
      <c r="B1345" s="1">
        <v>45551</v>
      </c>
      <c r="C1345" t="s">
        <v>90</v>
      </c>
      <c r="D1345" t="s">
        <v>13</v>
      </c>
      <c r="E1345" t="s">
        <v>223</v>
      </c>
      <c r="F1345" t="s">
        <v>35</v>
      </c>
      <c r="G1345" t="s">
        <v>177</v>
      </c>
      <c r="H1345">
        <v>2</v>
      </c>
      <c r="I1345">
        <v>118.23</v>
      </c>
      <c r="J1345">
        <v>0.15</v>
      </c>
      <c r="K1345">
        <v>200.99</v>
      </c>
    </row>
    <row r="1346" spans="1:11" x14ac:dyDescent="0.35">
      <c r="A1346" t="s">
        <v>1722</v>
      </c>
      <c r="B1346" s="1">
        <v>45543</v>
      </c>
      <c r="C1346" t="s">
        <v>72</v>
      </c>
      <c r="D1346" t="s">
        <v>19</v>
      </c>
      <c r="E1346" t="s">
        <v>80</v>
      </c>
      <c r="F1346" t="s">
        <v>44</v>
      </c>
      <c r="G1346" t="s">
        <v>45</v>
      </c>
      <c r="H1346">
        <v>5</v>
      </c>
      <c r="I1346">
        <v>41.89</v>
      </c>
      <c r="J1346">
        <v>0.1</v>
      </c>
      <c r="K1346">
        <v>188.5</v>
      </c>
    </row>
    <row r="1347" spans="1:11" x14ac:dyDescent="0.35">
      <c r="A1347" t="s">
        <v>1723</v>
      </c>
      <c r="B1347" s="1">
        <v>45362</v>
      </c>
      <c r="C1347" t="s">
        <v>12</v>
      </c>
      <c r="D1347" t="s">
        <v>42</v>
      </c>
      <c r="E1347" t="s">
        <v>448</v>
      </c>
      <c r="F1347" t="s">
        <v>44</v>
      </c>
      <c r="G1347" t="s">
        <v>50</v>
      </c>
      <c r="H1347">
        <v>5</v>
      </c>
      <c r="I1347">
        <v>49.83</v>
      </c>
      <c r="J1347">
        <v>0</v>
      </c>
      <c r="K1347">
        <v>249.15</v>
      </c>
    </row>
    <row r="1348" spans="1:11" x14ac:dyDescent="0.35">
      <c r="A1348" t="s">
        <v>1724</v>
      </c>
      <c r="B1348" s="1">
        <v>45577</v>
      </c>
      <c r="C1348" t="s">
        <v>72</v>
      </c>
      <c r="D1348" t="s">
        <v>57</v>
      </c>
      <c r="E1348" t="s">
        <v>137</v>
      </c>
      <c r="F1348" t="s">
        <v>53</v>
      </c>
      <c r="G1348" t="s">
        <v>104</v>
      </c>
      <c r="H1348">
        <v>9</v>
      </c>
      <c r="I1348">
        <v>192.79</v>
      </c>
      <c r="J1348">
        <v>0</v>
      </c>
      <c r="K1348">
        <v>1735.11</v>
      </c>
    </row>
    <row r="1349" spans="1:11" x14ac:dyDescent="0.35">
      <c r="A1349" t="s">
        <v>1725</v>
      </c>
      <c r="B1349" s="1">
        <v>45577</v>
      </c>
      <c r="C1349" t="s">
        <v>24</v>
      </c>
      <c r="D1349" t="s">
        <v>19</v>
      </c>
      <c r="E1349" t="s">
        <v>103</v>
      </c>
      <c r="F1349" t="s">
        <v>21</v>
      </c>
      <c r="G1349" t="s">
        <v>167</v>
      </c>
      <c r="H1349">
        <v>4</v>
      </c>
      <c r="I1349">
        <v>189.97</v>
      </c>
      <c r="J1349">
        <v>0.1</v>
      </c>
      <c r="K1349">
        <v>683.89</v>
      </c>
    </row>
    <row r="1350" spans="1:11" x14ac:dyDescent="0.35">
      <c r="A1350" t="s">
        <v>1726</v>
      </c>
      <c r="B1350" s="2">
        <v>45414</v>
      </c>
      <c r="C1350" t="s">
        <v>33</v>
      </c>
      <c r="D1350" t="s">
        <v>13</v>
      </c>
      <c r="E1350" t="s">
        <v>171</v>
      </c>
      <c r="F1350" t="s">
        <v>21</v>
      </c>
      <c r="G1350" t="s">
        <v>129</v>
      </c>
      <c r="H1350">
        <v>6</v>
      </c>
      <c r="I1350">
        <v>184.97</v>
      </c>
      <c r="J1350">
        <v>0.15</v>
      </c>
      <c r="K1350">
        <v>943.35</v>
      </c>
    </row>
    <row r="1351" spans="1:11" x14ac:dyDescent="0.35">
      <c r="A1351" t="s">
        <v>1727</v>
      </c>
      <c r="B1351" s="2">
        <v>45510</v>
      </c>
      <c r="C1351" t="s">
        <v>38</v>
      </c>
      <c r="D1351" t="s">
        <v>25</v>
      </c>
      <c r="E1351" t="s">
        <v>82</v>
      </c>
      <c r="F1351" t="s">
        <v>21</v>
      </c>
      <c r="G1351" t="s">
        <v>70</v>
      </c>
      <c r="H1351">
        <v>7</v>
      </c>
      <c r="I1351">
        <v>61.8</v>
      </c>
      <c r="J1351">
        <v>0.15</v>
      </c>
      <c r="K1351">
        <v>367.71</v>
      </c>
    </row>
    <row r="1352" spans="1:11" x14ac:dyDescent="0.35">
      <c r="A1352" t="s">
        <v>1728</v>
      </c>
      <c r="B1352" s="1">
        <v>45602</v>
      </c>
      <c r="C1352" t="s">
        <v>41</v>
      </c>
      <c r="D1352" t="s">
        <v>25</v>
      </c>
      <c r="E1352" t="s">
        <v>642</v>
      </c>
      <c r="F1352" t="s">
        <v>15</v>
      </c>
      <c r="G1352" t="s">
        <v>27</v>
      </c>
      <c r="H1352">
        <v>11</v>
      </c>
      <c r="I1352">
        <v>211.15</v>
      </c>
      <c r="J1352">
        <v>0.15</v>
      </c>
      <c r="K1352">
        <v>1974.25</v>
      </c>
    </row>
    <row r="1353" spans="1:11" x14ac:dyDescent="0.35">
      <c r="A1353" t="s">
        <v>1729</v>
      </c>
      <c r="B1353" t="s">
        <v>1730</v>
      </c>
      <c r="C1353" t="s">
        <v>79</v>
      </c>
      <c r="D1353" t="s">
        <v>57</v>
      </c>
      <c r="E1353" t="s">
        <v>590</v>
      </c>
      <c r="F1353" t="s">
        <v>21</v>
      </c>
      <c r="G1353" t="s">
        <v>167</v>
      </c>
      <c r="H1353">
        <v>7</v>
      </c>
      <c r="I1353">
        <v>85.21</v>
      </c>
      <c r="J1353">
        <v>0.05</v>
      </c>
      <c r="K1353">
        <v>566.65</v>
      </c>
    </row>
    <row r="1354" spans="1:11" x14ac:dyDescent="0.35">
      <c r="A1354" t="s">
        <v>1731</v>
      </c>
      <c r="B1354" s="2">
        <v>45584</v>
      </c>
      <c r="C1354" t="s">
        <v>48</v>
      </c>
      <c r="D1354" t="s">
        <v>13</v>
      </c>
      <c r="E1354" t="s">
        <v>233</v>
      </c>
      <c r="F1354" t="s">
        <v>35</v>
      </c>
      <c r="G1354" t="s">
        <v>36</v>
      </c>
      <c r="H1354">
        <v>11</v>
      </c>
      <c r="I1354">
        <v>50.89</v>
      </c>
      <c r="J1354">
        <v>0</v>
      </c>
      <c r="K1354">
        <v>559.79</v>
      </c>
    </row>
    <row r="1355" spans="1:11" x14ac:dyDescent="0.35">
      <c r="A1355" t="s">
        <v>1732</v>
      </c>
      <c r="B1355" s="2">
        <v>45329</v>
      </c>
      <c r="C1355" t="s">
        <v>102</v>
      </c>
      <c r="D1355" t="s">
        <v>13</v>
      </c>
      <c r="E1355" t="s">
        <v>445</v>
      </c>
      <c r="F1355" t="s">
        <v>53</v>
      </c>
      <c r="G1355" t="s">
        <v>54</v>
      </c>
      <c r="H1355">
        <v>10</v>
      </c>
      <c r="I1355">
        <v>236.58</v>
      </c>
      <c r="J1355">
        <v>0</v>
      </c>
      <c r="K1355">
        <v>2365.8000000000002</v>
      </c>
    </row>
    <row r="1356" spans="1:11" x14ac:dyDescent="0.35">
      <c r="A1356" t="s">
        <v>1733</v>
      </c>
      <c r="B1356" t="s">
        <v>1734</v>
      </c>
      <c r="C1356" t="s">
        <v>90</v>
      </c>
      <c r="D1356" t="s">
        <v>57</v>
      </c>
      <c r="E1356" t="s">
        <v>304</v>
      </c>
      <c r="F1356" t="s">
        <v>44</v>
      </c>
      <c r="G1356" t="s">
        <v>45</v>
      </c>
      <c r="H1356">
        <v>2</v>
      </c>
      <c r="I1356">
        <v>107.02</v>
      </c>
      <c r="J1356">
        <v>0</v>
      </c>
      <c r="K1356">
        <v>214.04</v>
      </c>
    </row>
    <row r="1357" spans="1:11" x14ac:dyDescent="0.35">
      <c r="A1357" t="s">
        <v>1735</v>
      </c>
      <c r="B1357" s="1">
        <v>45302</v>
      </c>
      <c r="C1357" t="s">
        <v>41</v>
      </c>
      <c r="D1357" t="s">
        <v>19</v>
      </c>
      <c r="E1357" t="s">
        <v>595</v>
      </c>
      <c r="F1357" t="s">
        <v>21</v>
      </c>
      <c r="G1357" t="s">
        <v>194</v>
      </c>
      <c r="H1357">
        <v>2</v>
      </c>
      <c r="I1357">
        <v>68.98</v>
      </c>
      <c r="J1357">
        <v>0</v>
      </c>
      <c r="K1357">
        <v>137.96</v>
      </c>
    </row>
    <row r="1358" spans="1:11" x14ac:dyDescent="0.35">
      <c r="A1358" t="s">
        <v>1736</v>
      </c>
      <c r="B1358" s="1">
        <v>45509</v>
      </c>
      <c r="C1358" t="s">
        <v>24</v>
      </c>
      <c r="D1358" t="s">
        <v>25</v>
      </c>
      <c r="E1358" t="s">
        <v>288</v>
      </c>
      <c r="F1358" t="s">
        <v>44</v>
      </c>
      <c r="G1358" t="s">
        <v>94</v>
      </c>
      <c r="H1358">
        <v>11</v>
      </c>
      <c r="I1358">
        <v>158.91999999999999</v>
      </c>
      <c r="J1358">
        <v>0.15</v>
      </c>
      <c r="K1358">
        <v>1485.9</v>
      </c>
    </row>
    <row r="1359" spans="1:11" x14ac:dyDescent="0.35">
      <c r="A1359" t="s">
        <v>1737</v>
      </c>
      <c r="B1359" s="1">
        <v>45403</v>
      </c>
      <c r="C1359" t="s">
        <v>72</v>
      </c>
      <c r="D1359" t="s">
        <v>25</v>
      </c>
      <c r="E1359" t="s">
        <v>390</v>
      </c>
      <c r="F1359" t="s">
        <v>44</v>
      </c>
      <c r="G1359" t="s">
        <v>94</v>
      </c>
      <c r="H1359">
        <v>7</v>
      </c>
      <c r="I1359">
        <v>10.91</v>
      </c>
      <c r="J1359">
        <v>0</v>
      </c>
      <c r="K1359">
        <v>76.37</v>
      </c>
    </row>
    <row r="1360" spans="1:11" x14ac:dyDescent="0.35">
      <c r="A1360" t="s">
        <v>1738</v>
      </c>
      <c r="B1360" s="1">
        <v>45376</v>
      </c>
      <c r="C1360" t="s">
        <v>41</v>
      </c>
      <c r="D1360" t="s">
        <v>42</v>
      </c>
      <c r="E1360" t="s">
        <v>663</v>
      </c>
      <c r="F1360" t="s">
        <v>35</v>
      </c>
      <c r="G1360" t="s">
        <v>177</v>
      </c>
      <c r="H1360">
        <v>11</v>
      </c>
      <c r="I1360">
        <v>201.82</v>
      </c>
      <c r="J1360">
        <v>0.05</v>
      </c>
      <c r="K1360">
        <v>2109.02</v>
      </c>
    </row>
    <row r="1361" spans="1:11" x14ac:dyDescent="0.35">
      <c r="A1361" t="s">
        <v>1739</v>
      </c>
      <c r="B1361" t="s">
        <v>192</v>
      </c>
      <c r="C1361" t="s">
        <v>38</v>
      </c>
      <c r="D1361" t="s">
        <v>25</v>
      </c>
      <c r="E1361" t="s">
        <v>902</v>
      </c>
      <c r="F1361" t="s">
        <v>44</v>
      </c>
      <c r="G1361" t="s">
        <v>107</v>
      </c>
      <c r="H1361">
        <v>3</v>
      </c>
      <c r="I1361">
        <v>139.05000000000001</v>
      </c>
      <c r="J1361">
        <v>0</v>
      </c>
      <c r="K1361">
        <v>417.15</v>
      </c>
    </row>
    <row r="1362" spans="1:11" x14ac:dyDescent="0.35">
      <c r="A1362" t="s">
        <v>1740</v>
      </c>
      <c r="B1362" s="1">
        <v>45572</v>
      </c>
      <c r="C1362" t="s">
        <v>102</v>
      </c>
      <c r="D1362" t="s">
        <v>13</v>
      </c>
      <c r="E1362" t="s">
        <v>858</v>
      </c>
      <c r="F1362" t="s">
        <v>21</v>
      </c>
      <c r="G1362" t="s">
        <v>22</v>
      </c>
      <c r="H1362">
        <v>11</v>
      </c>
      <c r="I1362">
        <v>231.42</v>
      </c>
      <c r="J1362">
        <v>0</v>
      </c>
      <c r="K1362">
        <v>2545.62</v>
      </c>
    </row>
    <row r="1363" spans="1:11" x14ac:dyDescent="0.35">
      <c r="A1363" t="s">
        <v>1741</v>
      </c>
      <c r="B1363" s="2">
        <v>45470</v>
      </c>
      <c r="C1363" t="s">
        <v>56</v>
      </c>
      <c r="D1363" t="s">
        <v>42</v>
      </c>
      <c r="E1363" t="s">
        <v>567</v>
      </c>
      <c r="F1363" t="s">
        <v>15</v>
      </c>
      <c r="G1363" t="s">
        <v>16</v>
      </c>
      <c r="H1363">
        <v>12</v>
      </c>
      <c r="I1363">
        <v>28.92</v>
      </c>
      <c r="J1363">
        <v>0.15</v>
      </c>
      <c r="K1363">
        <v>294.98</v>
      </c>
    </row>
    <row r="1364" spans="1:11" x14ac:dyDescent="0.35">
      <c r="A1364" t="s">
        <v>1742</v>
      </c>
      <c r="B1364" t="s">
        <v>983</v>
      </c>
      <c r="C1364" t="s">
        <v>56</v>
      </c>
      <c r="D1364" t="s">
        <v>13</v>
      </c>
      <c r="E1364" t="s">
        <v>231</v>
      </c>
      <c r="F1364" t="s">
        <v>21</v>
      </c>
      <c r="G1364" t="s">
        <v>129</v>
      </c>
      <c r="H1364">
        <v>8</v>
      </c>
      <c r="I1364">
        <v>40.119999999999997</v>
      </c>
      <c r="J1364">
        <v>0</v>
      </c>
      <c r="K1364">
        <v>320.95999999999998</v>
      </c>
    </row>
    <row r="1365" spans="1:11" x14ac:dyDescent="0.35">
      <c r="A1365" t="s">
        <v>1743</v>
      </c>
      <c r="B1365" t="s">
        <v>1146</v>
      </c>
      <c r="C1365" t="s">
        <v>12</v>
      </c>
      <c r="D1365" t="s">
        <v>42</v>
      </c>
      <c r="E1365" t="s">
        <v>85</v>
      </c>
      <c r="F1365" t="s">
        <v>15</v>
      </c>
      <c r="G1365" t="s">
        <v>74</v>
      </c>
      <c r="H1365">
        <v>1</v>
      </c>
      <c r="I1365">
        <v>186.61</v>
      </c>
      <c r="J1365">
        <v>0</v>
      </c>
      <c r="K1365">
        <v>186.61</v>
      </c>
    </row>
    <row r="1366" spans="1:11" x14ac:dyDescent="0.35">
      <c r="A1366" t="s">
        <v>1744</v>
      </c>
      <c r="B1366" s="2">
        <v>45435</v>
      </c>
      <c r="C1366" t="s">
        <v>90</v>
      </c>
      <c r="D1366" t="s">
        <v>13</v>
      </c>
      <c r="E1366" t="s">
        <v>431</v>
      </c>
      <c r="F1366" t="s">
        <v>53</v>
      </c>
      <c r="G1366" t="s">
        <v>63</v>
      </c>
      <c r="H1366">
        <v>1</v>
      </c>
      <c r="I1366">
        <v>19.53</v>
      </c>
      <c r="J1366">
        <v>0.15</v>
      </c>
      <c r="K1366">
        <v>16.600000000000001</v>
      </c>
    </row>
    <row r="1367" spans="1:11" x14ac:dyDescent="0.35">
      <c r="A1367" t="s">
        <v>1745</v>
      </c>
      <c r="B1367" s="2">
        <v>45631</v>
      </c>
      <c r="C1367" t="s">
        <v>56</v>
      </c>
      <c r="D1367" t="s">
        <v>19</v>
      </c>
      <c r="E1367" t="s">
        <v>1159</v>
      </c>
      <c r="F1367" t="s">
        <v>35</v>
      </c>
      <c r="G1367" t="s">
        <v>177</v>
      </c>
      <c r="H1367">
        <v>8</v>
      </c>
      <c r="I1367">
        <v>67.12</v>
      </c>
      <c r="J1367">
        <v>0</v>
      </c>
      <c r="K1367">
        <v>536.96</v>
      </c>
    </row>
    <row r="1368" spans="1:11" x14ac:dyDescent="0.35">
      <c r="A1368" t="s">
        <v>1746</v>
      </c>
      <c r="B1368" s="1">
        <v>45432</v>
      </c>
      <c r="C1368" t="s">
        <v>41</v>
      </c>
      <c r="D1368" t="s">
        <v>42</v>
      </c>
      <c r="E1368" t="s">
        <v>197</v>
      </c>
      <c r="F1368" t="s">
        <v>53</v>
      </c>
      <c r="G1368" t="s">
        <v>104</v>
      </c>
      <c r="H1368">
        <v>3</v>
      </c>
      <c r="I1368">
        <v>199.61</v>
      </c>
      <c r="J1368">
        <v>0.05</v>
      </c>
      <c r="K1368">
        <v>568.89</v>
      </c>
    </row>
    <row r="1369" spans="1:11" x14ac:dyDescent="0.35">
      <c r="A1369" t="s">
        <v>1747</v>
      </c>
      <c r="B1369" s="2">
        <v>45453</v>
      </c>
      <c r="C1369" t="s">
        <v>18</v>
      </c>
      <c r="D1369" t="s">
        <v>13</v>
      </c>
      <c r="E1369" t="s">
        <v>407</v>
      </c>
      <c r="F1369" t="s">
        <v>15</v>
      </c>
      <c r="G1369" t="s">
        <v>27</v>
      </c>
      <c r="H1369">
        <v>9</v>
      </c>
      <c r="I1369">
        <v>239.08</v>
      </c>
      <c r="J1369">
        <v>0.1</v>
      </c>
      <c r="K1369">
        <v>1936.55</v>
      </c>
    </row>
    <row r="1370" spans="1:11" x14ac:dyDescent="0.35">
      <c r="A1370" t="s">
        <v>1748</v>
      </c>
      <c r="B1370" s="1">
        <v>45569</v>
      </c>
      <c r="C1370" t="s">
        <v>33</v>
      </c>
      <c r="D1370" t="s">
        <v>19</v>
      </c>
      <c r="E1370" t="s">
        <v>379</v>
      </c>
      <c r="F1370" t="s">
        <v>35</v>
      </c>
      <c r="G1370" t="s">
        <v>134</v>
      </c>
      <c r="H1370">
        <v>7</v>
      </c>
      <c r="I1370">
        <v>184.56</v>
      </c>
      <c r="J1370">
        <v>0</v>
      </c>
      <c r="K1370">
        <v>1291.92</v>
      </c>
    </row>
    <row r="1371" spans="1:11" x14ac:dyDescent="0.35">
      <c r="A1371" t="s">
        <v>1749</v>
      </c>
      <c r="B1371" s="2">
        <v>45490</v>
      </c>
      <c r="C1371" t="s">
        <v>56</v>
      </c>
      <c r="D1371" t="s">
        <v>19</v>
      </c>
      <c r="E1371" t="s">
        <v>160</v>
      </c>
      <c r="F1371" t="s">
        <v>21</v>
      </c>
      <c r="G1371" t="s">
        <v>194</v>
      </c>
      <c r="H1371">
        <v>7</v>
      </c>
      <c r="I1371">
        <v>13.53</v>
      </c>
      <c r="J1371">
        <v>0</v>
      </c>
      <c r="K1371">
        <v>94.71</v>
      </c>
    </row>
    <row r="1372" spans="1:11" x14ac:dyDescent="0.35">
      <c r="A1372" t="s">
        <v>1750</v>
      </c>
      <c r="B1372" s="1">
        <v>45643</v>
      </c>
      <c r="C1372" t="s">
        <v>48</v>
      </c>
      <c r="D1372" t="s">
        <v>19</v>
      </c>
      <c r="E1372" t="s">
        <v>49</v>
      </c>
      <c r="F1372" t="s">
        <v>44</v>
      </c>
      <c r="G1372" t="s">
        <v>86</v>
      </c>
      <c r="H1372">
        <v>7</v>
      </c>
      <c r="I1372">
        <v>165.69</v>
      </c>
      <c r="J1372">
        <v>0</v>
      </c>
      <c r="K1372">
        <v>1159.83</v>
      </c>
    </row>
    <row r="1373" spans="1:11" x14ac:dyDescent="0.35">
      <c r="A1373" t="s">
        <v>1751</v>
      </c>
      <c r="B1373" s="1">
        <v>45319</v>
      </c>
      <c r="C1373" t="s">
        <v>90</v>
      </c>
      <c r="D1373" t="s">
        <v>19</v>
      </c>
      <c r="E1373" t="s">
        <v>309</v>
      </c>
      <c r="F1373" t="s">
        <v>35</v>
      </c>
      <c r="G1373" t="s">
        <v>67</v>
      </c>
      <c r="H1373">
        <v>2</v>
      </c>
      <c r="I1373">
        <v>112.09</v>
      </c>
      <c r="J1373">
        <v>0</v>
      </c>
      <c r="K1373">
        <v>224.18</v>
      </c>
    </row>
    <row r="1374" spans="1:11" x14ac:dyDescent="0.35">
      <c r="A1374" t="s">
        <v>1752</v>
      </c>
      <c r="B1374" s="1">
        <v>45403</v>
      </c>
      <c r="C1374" t="s">
        <v>38</v>
      </c>
      <c r="D1374" t="s">
        <v>13</v>
      </c>
      <c r="E1374" t="s">
        <v>212</v>
      </c>
      <c r="F1374" t="s">
        <v>53</v>
      </c>
      <c r="G1374" t="s">
        <v>63</v>
      </c>
      <c r="H1374">
        <v>10</v>
      </c>
      <c r="I1374">
        <v>240.05</v>
      </c>
      <c r="J1374">
        <v>0</v>
      </c>
      <c r="K1374">
        <v>2400.5</v>
      </c>
    </row>
    <row r="1375" spans="1:11" x14ac:dyDescent="0.35">
      <c r="A1375" t="s">
        <v>1753</v>
      </c>
      <c r="B1375" s="1">
        <v>45638</v>
      </c>
      <c r="C1375" t="s">
        <v>65</v>
      </c>
      <c r="D1375" t="s">
        <v>57</v>
      </c>
      <c r="E1375" t="s">
        <v>144</v>
      </c>
      <c r="F1375" t="s">
        <v>15</v>
      </c>
      <c r="G1375" t="s">
        <v>74</v>
      </c>
      <c r="H1375">
        <v>1</v>
      </c>
      <c r="I1375">
        <v>149.66999999999999</v>
      </c>
      <c r="J1375">
        <v>0</v>
      </c>
      <c r="K1375">
        <v>149.66999999999999</v>
      </c>
    </row>
    <row r="1376" spans="1:11" x14ac:dyDescent="0.35">
      <c r="A1376" t="s">
        <v>1754</v>
      </c>
      <c r="B1376" s="2">
        <v>45626</v>
      </c>
      <c r="C1376" t="s">
        <v>56</v>
      </c>
      <c r="D1376" t="s">
        <v>42</v>
      </c>
      <c r="E1376" t="s">
        <v>368</v>
      </c>
      <c r="F1376" t="s">
        <v>44</v>
      </c>
      <c r="G1376" t="s">
        <v>45</v>
      </c>
      <c r="H1376">
        <v>11</v>
      </c>
      <c r="I1376">
        <v>94.5</v>
      </c>
      <c r="J1376">
        <v>0</v>
      </c>
      <c r="K1376">
        <v>1039.5</v>
      </c>
    </row>
    <row r="1377" spans="1:11" x14ac:dyDescent="0.35">
      <c r="A1377" t="s">
        <v>1755</v>
      </c>
      <c r="B1377" s="2">
        <v>45509</v>
      </c>
      <c r="C1377" t="s">
        <v>41</v>
      </c>
      <c r="D1377" t="s">
        <v>57</v>
      </c>
      <c r="E1377" t="s">
        <v>49</v>
      </c>
      <c r="F1377" t="s">
        <v>21</v>
      </c>
      <c r="G1377" t="s">
        <v>129</v>
      </c>
      <c r="H1377">
        <v>9</v>
      </c>
      <c r="I1377">
        <v>46.83</v>
      </c>
      <c r="J1377">
        <v>0.05</v>
      </c>
      <c r="K1377">
        <v>400.4</v>
      </c>
    </row>
    <row r="1378" spans="1:11" x14ac:dyDescent="0.35">
      <c r="A1378" t="s">
        <v>1756</v>
      </c>
      <c r="B1378" s="2">
        <v>45343</v>
      </c>
      <c r="C1378" t="s">
        <v>48</v>
      </c>
      <c r="D1378" t="s">
        <v>19</v>
      </c>
      <c r="E1378" t="s">
        <v>470</v>
      </c>
      <c r="F1378" t="s">
        <v>53</v>
      </c>
      <c r="G1378" t="s">
        <v>125</v>
      </c>
      <c r="H1378">
        <v>8</v>
      </c>
      <c r="I1378">
        <v>29.43</v>
      </c>
      <c r="J1378">
        <v>0</v>
      </c>
      <c r="K1378">
        <v>235.44</v>
      </c>
    </row>
    <row r="1379" spans="1:11" x14ac:dyDescent="0.35">
      <c r="A1379" t="s">
        <v>1757</v>
      </c>
      <c r="B1379" s="1">
        <v>45355</v>
      </c>
      <c r="C1379" t="s">
        <v>102</v>
      </c>
      <c r="E1379" t="s">
        <v>531</v>
      </c>
      <c r="F1379" t="s">
        <v>44</v>
      </c>
      <c r="G1379" t="s">
        <v>94</v>
      </c>
      <c r="H1379">
        <v>1</v>
      </c>
      <c r="I1379">
        <v>110.99</v>
      </c>
      <c r="J1379">
        <v>0</v>
      </c>
      <c r="K1379">
        <v>110.99</v>
      </c>
    </row>
    <row r="1380" spans="1:11" x14ac:dyDescent="0.35">
      <c r="A1380" t="s">
        <v>1758</v>
      </c>
      <c r="B1380" s="1">
        <v>45628</v>
      </c>
      <c r="C1380" t="s">
        <v>79</v>
      </c>
      <c r="D1380" t="s">
        <v>25</v>
      </c>
      <c r="E1380" t="s">
        <v>426</v>
      </c>
      <c r="F1380" t="s">
        <v>44</v>
      </c>
      <c r="G1380" t="s">
        <v>45</v>
      </c>
      <c r="H1380">
        <v>5</v>
      </c>
      <c r="I1380">
        <v>12.09</v>
      </c>
      <c r="J1380">
        <v>0.15</v>
      </c>
      <c r="K1380">
        <v>51.38</v>
      </c>
    </row>
    <row r="1381" spans="1:11" x14ac:dyDescent="0.35">
      <c r="A1381" t="s">
        <v>1759</v>
      </c>
      <c r="B1381" s="1">
        <v>45480</v>
      </c>
      <c r="C1381" t="s">
        <v>79</v>
      </c>
      <c r="D1381" t="s">
        <v>57</v>
      </c>
      <c r="E1381" t="s">
        <v>221</v>
      </c>
      <c r="F1381" t="s">
        <v>35</v>
      </c>
      <c r="G1381" t="s">
        <v>83</v>
      </c>
      <c r="H1381">
        <v>2</v>
      </c>
      <c r="I1381">
        <v>237.07</v>
      </c>
      <c r="J1381">
        <v>0</v>
      </c>
      <c r="K1381">
        <v>474.14</v>
      </c>
    </row>
    <row r="1382" spans="1:11" x14ac:dyDescent="0.35">
      <c r="A1382" t="s">
        <v>1760</v>
      </c>
      <c r="B1382" s="2">
        <v>45644</v>
      </c>
      <c r="C1382" t="s">
        <v>12</v>
      </c>
      <c r="D1382" t="s">
        <v>19</v>
      </c>
      <c r="E1382" t="s">
        <v>370</v>
      </c>
      <c r="F1382" t="s">
        <v>35</v>
      </c>
      <c r="G1382" t="s">
        <v>67</v>
      </c>
      <c r="H1382">
        <v>8</v>
      </c>
      <c r="I1382">
        <v>86.01</v>
      </c>
      <c r="J1382">
        <v>0.15</v>
      </c>
      <c r="K1382">
        <v>584.87</v>
      </c>
    </row>
    <row r="1383" spans="1:11" x14ac:dyDescent="0.35">
      <c r="A1383" t="s">
        <v>1761</v>
      </c>
      <c r="B1383" s="2">
        <v>45357</v>
      </c>
      <c r="C1383" t="s">
        <v>38</v>
      </c>
      <c r="D1383" t="s">
        <v>13</v>
      </c>
      <c r="E1383" t="s">
        <v>171</v>
      </c>
      <c r="F1383" t="s">
        <v>15</v>
      </c>
      <c r="G1383" t="s">
        <v>16</v>
      </c>
      <c r="H1383">
        <v>9</v>
      </c>
      <c r="I1383">
        <v>155.65</v>
      </c>
      <c r="J1383">
        <v>0.05</v>
      </c>
      <c r="K1383">
        <v>1330.81</v>
      </c>
    </row>
    <row r="1384" spans="1:11" x14ac:dyDescent="0.35">
      <c r="A1384" t="s">
        <v>1762</v>
      </c>
      <c r="B1384" s="1">
        <v>45349</v>
      </c>
      <c r="C1384" t="s">
        <v>18</v>
      </c>
      <c r="D1384" t="s">
        <v>19</v>
      </c>
      <c r="E1384" t="s">
        <v>85</v>
      </c>
      <c r="F1384" t="s">
        <v>15</v>
      </c>
      <c r="G1384" t="s">
        <v>16</v>
      </c>
      <c r="H1384">
        <v>11</v>
      </c>
      <c r="I1384">
        <v>168.89</v>
      </c>
      <c r="J1384">
        <v>0.1</v>
      </c>
      <c r="K1384">
        <v>1672.01</v>
      </c>
    </row>
    <row r="1385" spans="1:11" x14ac:dyDescent="0.35">
      <c r="A1385" t="s">
        <v>1763</v>
      </c>
      <c r="B1385" s="1">
        <v>45532</v>
      </c>
      <c r="C1385" t="s">
        <v>72</v>
      </c>
      <c r="D1385" t="s">
        <v>57</v>
      </c>
      <c r="E1385" t="s">
        <v>470</v>
      </c>
      <c r="F1385" t="s">
        <v>53</v>
      </c>
      <c r="G1385" t="s">
        <v>260</v>
      </c>
      <c r="H1385">
        <v>1</v>
      </c>
      <c r="I1385">
        <v>227.59</v>
      </c>
      <c r="J1385">
        <v>0</v>
      </c>
      <c r="K1385">
        <v>227.59</v>
      </c>
    </row>
    <row r="1386" spans="1:11" x14ac:dyDescent="0.35">
      <c r="A1386" t="s">
        <v>1764</v>
      </c>
      <c r="B1386" t="s">
        <v>1765</v>
      </c>
      <c r="C1386" t="s">
        <v>38</v>
      </c>
      <c r="D1386" t="s">
        <v>57</v>
      </c>
      <c r="E1386" t="s">
        <v>517</v>
      </c>
      <c r="F1386" t="s">
        <v>15</v>
      </c>
      <c r="G1386" t="s">
        <v>147</v>
      </c>
      <c r="H1386">
        <v>8</v>
      </c>
      <c r="I1386">
        <v>46.19</v>
      </c>
      <c r="J1386">
        <v>0</v>
      </c>
      <c r="K1386">
        <v>369.52</v>
      </c>
    </row>
    <row r="1387" spans="1:11" x14ac:dyDescent="0.35">
      <c r="A1387" t="s">
        <v>1766</v>
      </c>
      <c r="B1387" s="1">
        <v>45589</v>
      </c>
      <c r="C1387" t="s">
        <v>79</v>
      </c>
      <c r="D1387" t="s">
        <v>25</v>
      </c>
      <c r="E1387" t="s">
        <v>825</v>
      </c>
      <c r="F1387" t="s">
        <v>44</v>
      </c>
      <c r="G1387" t="s">
        <v>45</v>
      </c>
      <c r="H1387">
        <v>7</v>
      </c>
      <c r="I1387">
        <v>168.59</v>
      </c>
      <c r="J1387">
        <v>0</v>
      </c>
      <c r="K1387">
        <v>1180.1300000000001</v>
      </c>
    </row>
    <row r="1388" spans="1:11" x14ac:dyDescent="0.35">
      <c r="A1388" t="s">
        <v>1767</v>
      </c>
      <c r="B1388" t="s">
        <v>1065</v>
      </c>
      <c r="C1388" t="s">
        <v>41</v>
      </c>
      <c r="D1388" t="s">
        <v>42</v>
      </c>
      <c r="E1388" t="s">
        <v>233</v>
      </c>
      <c r="F1388" t="s">
        <v>15</v>
      </c>
      <c r="G1388" t="s">
        <v>27</v>
      </c>
      <c r="H1388">
        <v>11</v>
      </c>
      <c r="I1388">
        <v>86.35</v>
      </c>
      <c r="J1388">
        <v>0.15</v>
      </c>
      <c r="K1388">
        <v>807.37</v>
      </c>
    </row>
    <row r="1389" spans="1:11" x14ac:dyDescent="0.35">
      <c r="A1389" t="s">
        <v>1768</v>
      </c>
      <c r="B1389" s="1">
        <v>45639</v>
      </c>
      <c r="C1389" t="s">
        <v>48</v>
      </c>
      <c r="D1389" t="s">
        <v>25</v>
      </c>
      <c r="E1389" t="s">
        <v>176</v>
      </c>
      <c r="F1389" t="s">
        <v>15</v>
      </c>
      <c r="G1389" t="s">
        <v>147</v>
      </c>
      <c r="H1389">
        <v>7</v>
      </c>
      <c r="I1389">
        <v>38.22</v>
      </c>
      <c r="J1389">
        <v>0</v>
      </c>
      <c r="K1389">
        <v>267.54000000000002</v>
      </c>
    </row>
    <row r="1390" spans="1:11" x14ac:dyDescent="0.35">
      <c r="A1390" t="s">
        <v>1769</v>
      </c>
      <c r="B1390" s="1">
        <v>45645</v>
      </c>
      <c r="C1390" t="s">
        <v>48</v>
      </c>
      <c r="D1390" t="s">
        <v>42</v>
      </c>
      <c r="E1390" t="s">
        <v>139</v>
      </c>
      <c r="F1390" t="s">
        <v>21</v>
      </c>
      <c r="G1390" t="s">
        <v>129</v>
      </c>
      <c r="H1390">
        <v>8</v>
      </c>
      <c r="I1390">
        <v>24.05</v>
      </c>
      <c r="J1390">
        <v>0.05</v>
      </c>
      <c r="K1390">
        <v>182.78</v>
      </c>
    </row>
    <row r="1391" spans="1:11" x14ac:dyDescent="0.35">
      <c r="A1391" t="s">
        <v>1770</v>
      </c>
      <c r="B1391" s="1">
        <v>45627</v>
      </c>
      <c r="C1391" t="s">
        <v>65</v>
      </c>
      <c r="D1391" t="s">
        <v>42</v>
      </c>
      <c r="E1391" t="s">
        <v>317</v>
      </c>
      <c r="F1391" t="s">
        <v>53</v>
      </c>
      <c r="G1391" t="s">
        <v>63</v>
      </c>
      <c r="H1391">
        <v>3</v>
      </c>
      <c r="I1391">
        <v>184.6</v>
      </c>
      <c r="J1391">
        <v>0</v>
      </c>
      <c r="K1391">
        <v>553.79999999999995</v>
      </c>
    </row>
    <row r="1392" spans="1:11" x14ac:dyDescent="0.35">
      <c r="A1392" t="s">
        <v>1771</v>
      </c>
      <c r="B1392" s="1">
        <v>45447</v>
      </c>
      <c r="C1392" t="s">
        <v>79</v>
      </c>
      <c r="D1392" t="s">
        <v>13</v>
      </c>
      <c r="E1392" t="s">
        <v>49</v>
      </c>
      <c r="F1392" t="s">
        <v>44</v>
      </c>
      <c r="G1392" t="s">
        <v>107</v>
      </c>
      <c r="H1392">
        <v>6</v>
      </c>
      <c r="I1392">
        <v>237.46</v>
      </c>
      <c r="J1392">
        <v>0.1</v>
      </c>
      <c r="K1392">
        <v>1282.28</v>
      </c>
    </row>
    <row r="1393" spans="1:11" x14ac:dyDescent="0.35">
      <c r="A1393" t="s">
        <v>1772</v>
      </c>
      <c r="B1393" s="1">
        <v>45551</v>
      </c>
      <c r="C1393" t="s">
        <v>33</v>
      </c>
      <c r="D1393" t="s">
        <v>57</v>
      </c>
      <c r="E1393" t="s">
        <v>100</v>
      </c>
      <c r="F1393" t="s">
        <v>21</v>
      </c>
      <c r="G1393" t="s">
        <v>129</v>
      </c>
      <c r="H1393">
        <v>10</v>
      </c>
      <c r="I1393">
        <v>167.17</v>
      </c>
      <c r="J1393">
        <v>0</v>
      </c>
      <c r="K1393">
        <v>1671.7</v>
      </c>
    </row>
    <row r="1394" spans="1:11" x14ac:dyDescent="0.35">
      <c r="A1394" t="s">
        <v>1773</v>
      </c>
      <c r="B1394" s="2">
        <v>45477</v>
      </c>
      <c r="C1394" t="s">
        <v>33</v>
      </c>
      <c r="D1394" t="s">
        <v>25</v>
      </c>
      <c r="E1394" t="s">
        <v>122</v>
      </c>
      <c r="F1394" t="s">
        <v>53</v>
      </c>
      <c r="G1394" t="s">
        <v>59</v>
      </c>
      <c r="H1394">
        <v>5</v>
      </c>
      <c r="I1394">
        <v>143.57</v>
      </c>
      <c r="J1394">
        <v>0.15</v>
      </c>
      <c r="K1394">
        <v>610.16999999999996</v>
      </c>
    </row>
    <row r="1395" spans="1:11" x14ac:dyDescent="0.35">
      <c r="A1395" t="s">
        <v>1774</v>
      </c>
      <c r="B1395" s="1">
        <v>45301</v>
      </c>
      <c r="C1395" t="s">
        <v>65</v>
      </c>
      <c r="D1395" t="s">
        <v>19</v>
      </c>
      <c r="E1395" t="s">
        <v>304</v>
      </c>
      <c r="F1395" t="s">
        <v>21</v>
      </c>
      <c r="G1395" t="s">
        <v>70</v>
      </c>
      <c r="H1395">
        <v>4</v>
      </c>
      <c r="I1395">
        <v>158.19</v>
      </c>
      <c r="J1395">
        <v>0</v>
      </c>
      <c r="K1395">
        <v>632.76</v>
      </c>
    </row>
    <row r="1396" spans="1:11" x14ac:dyDescent="0.35">
      <c r="A1396" t="s">
        <v>1775</v>
      </c>
      <c r="B1396" s="2">
        <v>45357</v>
      </c>
      <c r="C1396" t="s">
        <v>38</v>
      </c>
      <c r="D1396" t="s">
        <v>57</v>
      </c>
      <c r="E1396" t="s">
        <v>468</v>
      </c>
      <c r="F1396" t="s">
        <v>21</v>
      </c>
      <c r="G1396" t="s">
        <v>70</v>
      </c>
      <c r="H1396">
        <v>5</v>
      </c>
      <c r="I1396">
        <v>200.22</v>
      </c>
      <c r="J1396">
        <v>0.15</v>
      </c>
      <c r="K1396">
        <v>850.93</v>
      </c>
    </row>
    <row r="1397" spans="1:11" x14ac:dyDescent="0.35">
      <c r="A1397" t="s">
        <v>1776</v>
      </c>
      <c r="B1397" s="1">
        <v>45424</v>
      </c>
      <c r="C1397" t="s">
        <v>48</v>
      </c>
      <c r="D1397" t="s">
        <v>25</v>
      </c>
      <c r="E1397" t="s">
        <v>366</v>
      </c>
      <c r="F1397" t="s">
        <v>35</v>
      </c>
      <c r="G1397" t="s">
        <v>134</v>
      </c>
      <c r="H1397">
        <v>1</v>
      </c>
      <c r="I1397">
        <v>31.11</v>
      </c>
      <c r="J1397">
        <v>0.1</v>
      </c>
      <c r="K1397">
        <v>28</v>
      </c>
    </row>
    <row r="1398" spans="1:11" x14ac:dyDescent="0.35">
      <c r="A1398" t="s">
        <v>1777</v>
      </c>
      <c r="B1398" s="1">
        <v>45487</v>
      </c>
      <c r="C1398" t="s">
        <v>41</v>
      </c>
      <c r="D1398" t="s">
        <v>25</v>
      </c>
      <c r="E1398" t="s">
        <v>201</v>
      </c>
      <c r="F1398" t="s">
        <v>53</v>
      </c>
      <c r="G1398" t="s">
        <v>104</v>
      </c>
      <c r="H1398">
        <v>3</v>
      </c>
      <c r="I1398">
        <v>186.87</v>
      </c>
      <c r="J1398">
        <v>0.05</v>
      </c>
      <c r="K1398">
        <v>532.58000000000004</v>
      </c>
    </row>
    <row r="1399" spans="1:11" x14ac:dyDescent="0.35">
      <c r="A1399" t="s">
        <v>1778</v>
      </c>
      <c r="B1399" t="s">
        <v>1031</v>
      </c>
      <c r="C1399" t="s">
        <v>38</v>
      </c>
      <c r="D1399" t="s">
        <v>42</v>
      </c>
      <c r="E1399" t="s">
        <v>142</v>
      </c>
      <c r="F1399" t="s">
        <v>35</v>
      </c>
      <c r="G1399" t="s">
        <v>83</v>
      </c>
      <c r="H1399">
        <v>7</v>
      </c>
      <c r="I1399">
        <v>219.18</v>
      </c>
      <c r="J1399">
        <v>0</v>
      </c>
      <c r="K1399">
        <v>1534.26</v>
      </c>
    </row>
    <row r="1400" spans="1:11" x14ac:dyDescent="0.35">
      <c r="A1400" t="s">
        <v>1779</v>
      </c>
      <c r="B1400" s="2">
        <v>45334</v>
      </c>
      <c r="C1400" t="s">
        <v>56</v>
      </c>
      <c r="D1400" t="s">
        <v>19</v>
      </c>
      <c r="E1400" t="s">
        <v>696</v>
      </c>
      <c r="F1400" t="s">
        <v>44</v>
      </c>
      <c r="G1400" t="s">
        <v>107</v>
      </c>
      <c r="H1400">
        <v>2</v>
      </c>
      <c r="I1400">
        <v>230.1</v>
      </c>
      <c r="J1400">
        <v>0.15</v>
      </c>
      <c r="K1400">
        <v>391.17</v>
      </c>
    </row>
    <row r="1401" spans="1:11" x14ac:dyDescent="0.35">
      <c r="A1401" t="s">
        <v>1780</v>
      </c>
      <c r="B1401" s="1">
        <v>45487</v>
      </c>
      <c r="C1401" t="s">
        <v>56</v>
      </c>
      <c r="D1401" t="s">
        <v>57</v>
      </c>
      <c r="E1401" t="s">
        <v>404</v>
      </c>
      <c r="F1401" t="s">
        <v>53</v>
      </c>
      <c r="G1401" t="s">
        <v>125</v>
      </c>
      <c r="H1401">
        <v>7</v>
      </c>
      <c r="I1401">
        <v>142.86000000000001</v>
      </c>
      <c r="J1401">
        <v>0.1</v>
      </c>
      <c r="K1401">
        <v>900.02</v>
      </c>
    </row>
    <row r="1402" spans="1:11" x14ac:dyDescent="0.35">
      <c r="A1402" t="s">
        <v>1781</v>
      </c>
      <c r="B1402" s="1">
        <v>45407</v>
      </c>
      <c r="C1402" t="s">
        <v>29</v>
      </c>
      <c r="D1402" t="s">
        <v>13</v>
      </c>
      <c r="E1402" t="s">
        <v>720</v>
      </c>
      <c r="F1402" t="s">
        <v>44</v>
      </c>
      <c r="G1402" t="s">
        <v>107</v>
      </c>
      <c r="H1402">
        <v>2</v>
      </c>
      <c r="I1402">
        <v>81.459999999999994</v>
      </c>
      <c r="J1402">
        <v>0.05</v>
      </c>
      <c r="K1402">
        <v>154.77000000000001</v>
      </c>
    </row>
    <row r="1403" spans="1:11" x14ac:dyDescent="0.35">
      <c r="A1403" t="s">
        <v>1782</v>
      </c>
      <c r="B1403" s="1">
        <v>45315</v>
      </c>
      <c r="C1403" t="s">
        <v>33</v>
      </c>
      <c r="D1403" t="s">
        <v>42</v>
      </c>
      <c r="E1403" t="s">
        <v>433</v>
      </c>
      <c r="F1403" t="s">
        <v>44</v>
      </c>
      <c r="G1403" t="s">
        <v>94</v>
      </c>
      <c r="H1403">
        <v>9</v>
      </c>
      <c r="I1403">
        <v>111.6</v>
      </c>
      <c r="J1403">
        <v>0</v>
      </c>
      <c r="K1403">
        <v>1004.4</v>
      </c>
    </row>
    <row r="1404" spans="1:11" x14ac:dyDescent="0.35">
      <c r="A1404" t="s">
        <v>1783</v>
      </c>
      <c r="B1404" s="1">
        <v>45641</v>
      </c>
      <c r="C1404" t="s">
        <v>90</v>
      </c>
      <c r="D1404" t="s">
        <v>25</v>
      </c>
      <c r="E1404" t="s">
        <v>158</v>
      </c>
      <c r="F1404" t="s">
        <v>15</v>
      </c>
      <c r="G1404" t="s">
        <v>111</v>
      </c>
      <c r="H1404">
        <v>4</v>
      </c>
      <c r="I1404">
        <v>202.52</v>
      </c>
      <c r="J1404">
        <v>0</v>
      </c>
      <c r="K1404">
        <v>810.08</v>
      </c>
    </row>
    <row r="1405" spans="1:11" x14ac:dyDescent="0.35">
      <c r="A1405" t="s">
        <v>1784</v>
      </c>
      <c r="B1405" s="1">
        <v>45643</v>
      </c>
      <c r="C1405" t="s">
        <v>65</v>
      </c>
      <c r="D1405" t="s">
        <v>19</v>
      </c>
      <c r="E1405" t="s">
        <v>429</v>
      </c>
      <c r="F1405" t="s">
        <v>21</v>
      </c>
      <c r="G1405" t="s">
        <v>129</v>
      </c>
      <c r="H1405">
        <v>5</v>
      </c>
      <c r="I1405">
        <v>147.66999999999999</v>
      </c>
      <c r="J1405">
        <v>0</v>
      </c>
      <c r="K1405">
        <v>738.35</v>
      </c>
    </row>
    <row r="1406" spans="1:11" x14ac:dyDescent="0.35">
      <c r="A1406" t="s">
        <v>1785</v>
      </c>
      <c r="B1406" s="1">
        <v>45501</v>
      </c>
      <c r="C1406" t="s">
        <v>90</v>
      </c>
      <c r="D1406" t="s">
        <v>13</v>
      </c>
      <c r="E1406" t="s">
        <v>608</v>
      </c>
      <c r="F1406" t="s">
        <v>53</v>
      </c>
      <c r="G1406" t="s">
        <v>260</v>
      </c>
      <c r="H1406">
        <v>4</v>
      </c>
      <c r="I1406">
        <v>67.3</v>
      </c>
      <c r="J1406">
        <v>0</v>
      </c>
      <c r="K1406">
        <v>269.2</v>
      </c>
    </row>
    <row r="1407" spans="1:11" x14ac:dyDescent="0.35">
      <c r="A1407" t="s">
        <v>1786</v>
      </c>
      <c r="B1407" s="2">
        <v>45590</v>
      </c>
      <c r="C1407" t="s">
        <v>12</v>
      </c>
      <c r="D1407" t="s">
        <v>57</v>
      </c>
      <c r="E1407" t="s">
        <v>69</v>
      </c>
      <c r="F1407" t="s">
        <v>15</v>
      </c>
      <c r="G1407" t="s">
        <v>111</v>
      </c>
      <c r="H1407">
        <v>11</v>
      </c>
      <c r="I1407">
        <v>46.78</v>
      </c>
      <c r="J1407">
        <v>0.15</v>
      </c>
      <c r="K1407">
        <v>437.39</v>
      </c>
    </row>
    <row r="1408" spans="1:11" x14ac:dyDescent="0.35">
      <c r="A1408" t="s">
        <v>1787</v>
      </c>
      <c r="B1408" s="2">
        <v>45517</v>
      </c>
      <c r="C1408" t="s">
        <v>18</v>
      </c>
      <c r="D1408" t="s">
        <v>19</v>
      </c>
      <c r="E1408" t="s">
        <v>185</v>
      </c>
      <c r="F1408" t="s">
        <v>21</v>
      </c>
      <c r="G1408" t="s">
        <v>167</v>
      </c>
      <c r="H1408">
        <v>10</v>
      </c>
      <c r="I1408">
        <v>67.3</v>
      </c>
      <c r="J1408">
        <v>0</v>
      </c>
      <c r="K1408">
        <v>673</v>
      </c>
    </row>
    <row r="1409" spans="1:11" x14ac:dyDescent="0.35">
      <c r="A1409" t="s">
        <v>1788</v>
      </c>
      <c r="B1409" s="2">
        <v>45472</v>
      </c>
      <c r="C1409" t="s">
        <v>72</v>
      </c>
      <c r="D1409" t="s">
        <v>25</v>
      </c>
      <c r="E1409" t="s">
        <v>480</v>
      </c>
      <c r="F1409" t="s">
        <v>15</v>
      </c>
      <c r="G1409" t="s">
        <v>27</v>
      </c>
      <c r="H1409">
        <v>8</v>
      </c>
      <c r="I1409">
        <v>147.87</v>
      </c>
      <c r="J1409">
        <v>0</v>
      </c>
      <c r="K1409">
        <v>1182.96</v>
      </c>
    </row>
    <row r="1410" spans="1:11" x14ac:dyDescent="0.35">
      <c r="A1410" t="s">
        <v>1789</v>
      </c>
      <c r="B1410" s="1">
        <v>45635</v>
      </c>
      <c r="C1410" t="s">
        <v>90</v>
      </c>
      <c r="D1410" t="s">
        <v>42</v>
      </c>
      <c r="E1410" t="s">
        <v>284</v>
      </c>
      <c r="F1410" t="s">
        <v>21</v>
      </c>
      <c r="G1410" t="s">
        <v>70</v>
      </c>
      <c r="H1410">
        <v>9</v>
      </c>
      <c r="I1410">
        <v>112.33</v>
      </c>
      <c r="J1410">
        <v>0.05</v>
      </c>
      <c r="K1410">
        <v>960.42</v>
      </c>
    </row>
    <row r="1411" spans="1:11" x14ac:dyDescent="0.35">
      <c r="A1411" t="s">
        <v>1790</v>
      </c>
      <c r="B1411" s="2">
        <v>45559</v>
      </c>
      <c r="C1411" t="s">
        <v>48</v>
      </c>
      <c r="D1411" t="s">
        <v>13</v>
      </c>
      <c r="E1411" t="s">
        <v>731</v>
      </c>
      <c r="F1411" t="s">
        <v>21</v>
      </c>
      <c r="G1411" t="s">
        <v>22</v>
      </c>
      <c r="H1411">
        <v>10</v>
      </c>
      <c r="I1411">
        <v>85.89</v>
      </c>
      <c r="J1411">
        <v>0.1</v>
      </c>
      <c r="K1411">
        <v>773.01</v>
      </c>
    </row>
    <row r="1412" spans="1:11" x14ac:dyDescent="0.35">
      <c r="A1412" t="s">
        <v>1791</v>
      </c>
      <c r="B1412" s="1">
        <v>45614</v>
      </c>
      <c r="C1412" t="s">
        <v>102</v>
      </c>
      <c r="D1412" t="s">
        <v>19</v>
      </c>
      <c r="E1412" t="s">
        <v>521</v>
      </c>
      <c r="F1412" t="s">
        <v>44</v>
      </c>
      <c r="G1412" t="s">
        <v>45</v>
      </c>
      <c r="H1412">
        <v>5</v>
      </c>
      <c r="I1412">
        <v>233.87</v>
      </c>
      <c r="J1412">
        <v>0.1</v>
      </c>
      <c r="K1412">
        <v>1052.4100000000001</v>
      </c>
    </row>
    <row r="1413" spans="1:11" x14ac:dyDescent="0.35">
      <c r="A1413" t="s">
        <v>1792</v>
      </c>
      <c r="B1413" s="1">
        <v>45306</v>
      </c>
      <c r="C1413" t="s">
        <v>38</v>
      </c>
      <c r="D1413" t="s">
        <v>57</v>
      </c>
      <c r="E1413" t="s">
        <v>328</v>
      </c>
      <c r="F1413" t="s">
        <v>44</v>
      </c>
      <c r="G1413" t="s">
        <v>45</v>
      </c>
      <c r="H1413">
        <v>11</v>
      </c>
      <c r="I1413">
        <v>16.14</v>
      </c>
      <c r="J1413">
        <v>0.1</v>
      </c>
      <c r="K1413">
        <v>159.79</v>
      </c>
    </row>
    <row r="1414" spans="1:11" x14ac:dyDescent="0.35">
      <c r="A1414" t="s">
        <v>1793</v>
      </c>
      <c r="B1414" s="1">
        <v>45534</v>
      </c>
      <c r="C1414" t="s">
        <v>65</v>
      </c>
      <c r="D1414" t="s">
        <v>42</v>
      </c>
      <c r="E1414" t="s">
        <v>212</v>
      </c>
      <c r="F1414" t="s">
        <v>53</v>
      </c>
      <c r="G1414" t="s">
        <v>104</v>
      </c>
      <c r="H1414">
        <v>2</v>
      </c>
      <c r="I1414">
        <v>130.97999999999999</v>
      </c>
      <c r="J1414">
        <v>0.05</v>
      </c>
      <c r="K1414">
        <v>248.86</v>
      </c>
    </row>
    <row r="1415" spans="1:11" x14ac:dyDescent="0.35">
      <c r="A1415" t="s">
        <v>1794</v>
      </c>
      <c r="B1415" s="1">
        <v>45525</v>
      </c>
      <c r="C1415" t="s">
        <v>12</v>
      </c>
      <c r="D1415" t="s">
        <v>13</v>
      </c>
      <c r="E1415" t="s">
        <v>503</v>
      </c>
      <c r="F1415" t="s">
        <v>21</v>
      </c>
      <c r="G1415" t="s">
        <v>167</v>
      </c>
      <c r="H1415">
        <v>12</v>
      </c>
      <c r="I1415">
        <v>71.17</v>
      </c>
      <c r="J1415">
        <v>0.1</v>
      </c>
      <c r="K1415">
        <v>768.64</v>
      </c>
    </row>
    <row r="1416" spans="1:11" x14ac:dyDescent="0.35">
      <c r="A1416" t="s">
        <v>1795</v>
      </c>
      <c r="B1416" t="s">
        <v>1796</v>
      </c>
      <c r="C1416" t="s">
        <v>79</v>
      </c>
      <c r="D1416" t="s">
        <v>42</v>
      </c>
      <c r="E1416" t="s">
        <v>683</v>
      </c>
      <c r="F1416" t="s">
        <v>44</v>
      </c>
      <c r="G1416" t="s">
        <v>50</v>
      </c>
      <c r="H1416">
        <v>6</v>
      </c>
      <c r="I1416">
        <v>124.45</v>
      </c>
      <c r="J1416">
        <v>0</v>
      </c>
      <c r="K1416">
        <v>746.7</v>
      </c>
    </row>
    <row r="1417" spans="1:11" x14ac:dyDescent="0.35">
      <c r="A1417" t="s">
        <v>1797</v>
      </c>
      <c r="B1417" s="1">
        <v>45614</v>
      </c>
      <c r="C1417" t="s">
        <v>41</v>
      </c>
      <c r="D1417" t="s">
        <v>13</v>
      </c>
      <c r="E1417" t="s">
        <v>66</v>
      </c>
      <c r="F1417" t="s">
        <v>44</v>
      </c>
      <c r="G1417" t="s">
        <v>86</v>
      </c>
      <c r="H1417">
        <v>6</v>
      </c>
      <c r="I1417">
        <v>218.36</v>
      </c>
      <c r="J1417">
        <v>0</v>
      </c>
      <c r="K1417">
        <v>1310.1600000000001</v>
      </c>
    </row>
    <row r="1418" spans="1:11" x14ac:dyDescent="0.35">
      <c r="A1418" t="s">
        <v>1798</v>
      </c>
      <c r="B1418" s="2">
        <v>45378</v>
      </c>
      <c r="C1418" t="s">
        <v>24</v>
      </c>
      <c r="D1418" t="s">
        <v>19</v>
      </c>
      <c r="E1418" t="s">
        <v>368</v>
      </c>
      <c r="F1418" t="s">
        <v>44</v>
      </c>
      <c r="G1418" t="s">
        <v>86</v>
      </c>
      <c r="H1418">
        <v>8</v>
      </c>
      <c r="I1418">
        <v>232.93</v>
      </c>
      <c r="J1418">
        <v>0</v>
      </c>
      <c r="K1418">
        <v>1863.44</v>
      </c>
    </row>
    <row r="1419" spans="1:11" x14ac:dyDescent="0.35">
      <c r="A1419" t="s">
        <v>1799</v>
      </c>
      <c r="B1419" s="1">
        <v>45513</v>
      </c>
      <c r="C1419" t="s">
        <v>79</v>
      </c>
      <c r="D1419" t="s">
        <v>25</v>
      </c>
      <c r="E1419" t="s">
        <v>731</v>
      </c>
      <c r="F1419" t="s">
        <v>53</v>
      </c>
      <c r="G1419" t="s">
        <v>59</v>
      </c>
      <c r="H1419">
        <v>5</v>
      </c>
      <c r="I1419">
        <v>226.05</v>
      </c>
      <c r="J1419">
        <v>0</v>
      </c>
      <c r="K1419">
        <v>1130.25</v>
      </c>
    </row>
    <row r="1420" spans="1:11" x14ac:dyDescent="0.35">
      <c r="A1420" t="s">
        <v>1800</v>
      </c>
      <c r="B1420" s="1">
        <v>45392</v>
      </c>
      <c r="C1420" t="s">
        <v>65</v>
      </c>
      <c r="D1420" t="s">
        <v>19</v>
      </c>
      <c r="E1420" t="s">
        <v>246</v>
      </c>
      <c r="F1420" t="s">
        <v>15</v>
      </c>
      <c r="G1420" t="s">
        <v>27</v>
      </c>
      <c r="H1420">
        <v>12</v>
      </c>
      <c r="I1420">
        <v>66.260000000000005</v>
      </c>
      <c r="J1420">
        <v>0.15</v>
      </c>
      <c r="K1420">
        <v>675.85</v>
      </c>
    </row>
    <row r="1421" spans="1:11" x14ac:dyDescent="0.35">
      <c r="A1421" t="s">
        <v>1801</v>
      </c>
      <c r="B1421" s="2">
        <v>45465</v>
      </c>
      <c r="C1421" t="s">
        <v>90</v>
      </c>
      <c r="D1421" t="s">
        <v>13</v>
      </c>
      <c r="E1421" t="s">
        <v>120</v>
      </c>
      <c r="F1421" t="s">
        <v>35</v>
      </c>
      <c r="G1421" t="s">
        <v>177</v>
      </c>
      <c r="H1421">
        <v>10</v>
      </c>
      <c r="I1421">
        <v>171.99</v>
      </c>
      <c r="J1421">
        <v>0</v>
      </c>
      <c r="K1421">
        <v>1719.9</v>
      </c>
    </row>
    <row r="1422" spans="1:11" x14ac:dyDescent="0.35">
      <c r="A1422" t="s">
        <v>1802</v>
      </c>
      <c r="B1422" s="1">
        <v>45528</v>
      </c>
      <c r="C1422" t="s">
        <v>12</v>
      </c>
      <c r="D1422" t="s">
        <v>57</v>
      </c>
      <c r="E1422" t="s">
        <v>246</v>
      </c>
      <c r="F1422" t="s">
        <v>35</v>
      </c>
      <c r="G1422" t="s">
        <v>83</v>
      </c>
      <c r="H1422">
        <v>3</v>
      </c>
      <c r="I1422">
        <v>201.95</v>
      </c>
      <c r="J1422">
        <v>0</v>
      </c>
      <c r="K1422">
        <v>605.85</v>
      </c>
    </row>
    <row r="1423" spans="1:11" x14ac:dyDescent="0.35">
      <c r="A1423" t="s">
        <v>1803</v>
      </c>
      <c r="B1423" t="s">
        <v>1645</v>
      </c>
      <c r="C1423" t="s">
        <v>29</v>
      </c>
      <c r="D1423" t="s">
        <v>42</v>
      </c>
      <c r="E1423" t="s">
        <v>229</v>
      </c>
      <c r="F1423" t="s">
        <v>35</v>
      </c>
      <c r="G1423" t="s">
        <v>83</v>
      </c>
      <c r="H1423">
        <v>4</v>
      </c>
      <c r="I1423">
        <v>231.8</v>
      </c>
      <c r="J1423">
        <v>0.05</v>
      </c>
      <c r="K1423">
        <v>880.84</v>
      </c>
    </row>
    <row r="1424" spans="1:11" x14ac:dyDescent="0.35">
      <c r="A1424" t="s">
        <v>1804</v>
      </c>
      <c r="B1424" s="1">
        <v>45350</v>
      </c>
      <c r="C1424" t="s">
        <v>33</v>
      </c>
      <c r="E1424" t="s">
        <v>115</v>
      </c>
      <c r="F1424" t="s">
        <v>35</v>
      </c>
      <c r="G1424" t="s">
        <v>177</v>
      </c>
      <c r="H1424">
        <v>7</v>
      </c>
      <c r="I1424">
        <v>33.4</v>
      </c>
      <c r="J1424">
        <v>0.05</v>
      </c>
      <c r="K1424">
        <v>222.11</v>
      </c>
    </row>
    <row r="1425" spans="1:11" x14ac:dyDescent="0.35">
      <c r="A1425" t="s">
        <v>1805</v>
      </c>
      <c r="B1425" s="1">
        <v>45644</v>
      </c>
      <c r="C1425" t="s">
        <v>79</v>
      </c>
      <c r="D1425" t="s">
        <v>19</v>
      </c>
      <c r="E1425" t="s">
        <v>366</v>
      </c>
      <c r="F1425" t="s">
        <v>44</v>
      </c>
      <c r="G1425" t="s">
        <v>94</v>
      </c>
      <c r="H1425">
        <v>7</v>
      </c>
      <c r="I1425">
        <v>74.84</v>
      </c>
      <c r="J1425">
        <v>0</v>
      </c>
      <c r="K1425">
        <v>523.88</v>
      </c>
    </row>
    <row r="1426" spans="1:11" x14ac:dyDescent="0.35">
      <c r="A1426" t="s">
        <v>1806</v>
      </c>
      <c r="B1426" s="1">
        <v>45513</v>
      </c>
      <c r="C1426" t="s">
        <v>102</v>
      </c>
      <c r="D1426" t="s">
        <v>19</v>
      </c>
      <c r="E1426" t="s">
        <v>110</v>
      </c>
      <c r="F1426" t="s">
        <v>44</v>
      </c>
      <c r="G1426" t="s">
        <v>94</v>
      </c>
      <c r="H1426">
        <v>9</v>
      </c>
      <c r="I1426">
        <v>246.18</v>
      </c>
      <c r="J1426">
        <v>0</v>
      </c>
      <c r="K1426">
        <v>2215.62</v>
      </c>
    </row>
    <row r="1427" spans="1:11" x14ac:dyDescent="0.35">
      <c r="A1427" t="s">
        <v>1807</v>
      </c>
      <c r="B1427" s="1">
        <v>45527</v>
      </c>
      <c r="C1427" t="s">
        <v>12</v>
      </c>
      <c r="D1427" t="s">
        <v>25</v>
      </c>
      <c r="E1427" t="s">
        <v>43</v>
      </c>
      <c r="F1427" t="s">
        <v>21</v>
      </c>
      <c r="G1427" t="s">
        <v>194</v>
      </c>
      <c r="H1427">
        <v>5</v>
      </c>
      <c r="I1427">
        <v>25.74</v>
      </c>
      <c r="J1427">
        <v>0.15</v>
      </c>
      <c r="K1427">
        <v>109.39</v>
      </c>
    </row>
    <row r="1428" spans="1:11" x14ac:dyDescent="0.35">
      <c r="A1428" t="s">
        <v>1808</v>
      </c>
      <c r="B1428" t="s">
        <v>1809</v>
      </c>
      <c r="C1428" t="s">
        <v>12</v>
      </c>
      <c r="D1428" t="s">
        <v>57</v>
      </c>
      <c r="E1428" t="s">
        <v>825</v>
      </c>
      <c r="F1428" t="s">
        <v>53</v>
      </c>
      <c r="G1428" t="s">
        <v>125</v>
      </c>
      <c r="H1428">
        <v>12</v>
      </c>
      <c r="I1428">
        <v>127.1</v>
      </c>
      <c r="J1428">
        <v>0</v>
      </c>
      <c r="K1428">
        <v>1525.2</v>
      </c>
    </row>
    <row r="1429" spans="1:11" x14ac:dyDescent="0.35">
      <c r="A1429" t="s">
        <v>1810</v>
      </c>
      <c r="B1429" s="1">
        <v>45607</v>
      </c>
      <c r="C1429" t="s">
        <v>38</v>
      </c>
      <c r="D1429" t="s">
        <v>57</v>
      </c>
      <c r="E1429" t="s">
        <v>243</v>
      </c>
      <c r="F1429" t="s">
        <v>15</v>
      </c>
      <c r="G1429" t="s">
        <v>147</v>
      </c>
      <c r="H1429">
        <v>11</v>
      </c>
      <c r="I1429">
        <v>93.62</v>
      </c>
      <c r="J1429">
        <v>0</v>
      </c>
      <c r="K1429">
        <v>1029.82</v>
      </c>
    </row>
    <row r="1430" spans="1:11" x14ac:dyDescent="0.35">
      <c r="A1430" t="s">
        <v>1811</v>
      </c>
      <c r="B1430" s="1">
        <v>45603</v>
      </c>
      <c r="C1430" t="s">
        <v>38</v>
      </c>
      <c r="D1430" t="s">
        <v>19</v>
      </c>
      <c r="E1430" t="s">
        <v>139</v>
      </c>
      <c r="F1430" t="s">
        <v>44</v>
      </c>
      <c r="G1430" t="s">
        <v>86</v>
      </c>
      <c r="H1430">
        <v>2</v>
      </c>
      <c r="I1430">
        <v>144.68</v>
      </c>
      <c r="J1430">
        <v>0</v>
      </c>
      <c r="K1430">
        <v>289.36</v>
      </c>
    </row>
    <row r="1431" spans="1:11" x14ac:dyDescent="0.35">
      <c r="A1431" t="s">
        <v>1812</v>
      </c>
      <c r="B1431" s="1">
        <v>45315</v>
      </c>
      <c r="C1431" t="s">
        <v>90</v>
      </c>
      <c r="D1431" t="s">
        <v>19</v>
      </c>
      <c r="E1431" t="s">
        <v>683</v>
      </c>
      <c r="F1431" t="s">
        <v>21</v>
      </c>
      <c r="G1431" t="s">
        <v>167</v>
      </c>
      <c r="H1431">
        <v>4</v>
      </c>
      <c r="I1431">
        <v>171.09</v>
      </c>
      <c r="J1431">
        <v>0.1</v>
      </c>
      <c r="K1431">
        <v>615.91999999999996</v>
      </c>
    </row>
    <row r="1432" spans="1:11" x14ac:dyDescent="0.35">
      <c r="A1432" t="s">
        <v>1813</v>
      </c>
      <c r="B1432" s="2">
        <v>45583</v>
      </c>
      <c r="C1432" t="s">
        <v>41</v>
      </c>
      <c r="D1432" t="s">
        <v>19</v>
      </c>
      <c r="E1432" t="s">
        <v>106</v>
      </c>
      <c r="F1432" t="s">
        <v>53</v>
      </c>
      <c r="G1432" t="s">
        <v>125</v>
      </c>
      <c r="H1432">
        <v>4</v>
      </c>
      <c r="I1432">
        <v>46.77</v>
      </c>
      <c r="J1432">
        <v>0.15</v>
      </c>
      <c r="K1432">
        <v>159.02000000000001</v>
      </c>
    </row>
    <row r="1433" spans="1:11" x14ac:dyDescent="0.35">
      <c r="A1433" t="s">
        <v>1814</v>
      </c>
      <c r="B1433" s="1">
        <v>45542</v>
      </c>
      <c r="C1433" t="s">
        <v>48</v>
      </c>
      <c r="D1433" t="s">
        <v>25</v>
      </c>
      <c r="E1433" t="s">
        <v>468</v>
      </c>
      <c r="F1433" t="s">
        <v>15</v>
      </c>
      <c r="G1433" t="s">
        <v>147</v>
      </c>
      <c r="H1433">
        <v>4</v>
      </c>
      <c r="I1433">
        <v>164.31</v>
      </c>
      <c r="J1433">
        <v>0.1</v>
      </c>
      <c r="K1433">
        <v>591.52</v>
      </c>
    </row>
    <row r="1434" spans="1:11" x14ac:dyDescent="0.35">
      <c r="A1434" t="s">
        <v>1815</v>
      </c>
      <c r="B1434" s="1">
        <v>45585</v>
      </c>
      <c r="C1434" t="s">
        <v>48</v>
      </c>
      <c r="D1434" t="s">
        <v>57</v>
      </c>
      <c r="E1434" t="s">
        <v>113</v>
      </c>
      <c r="F1434" t="s">
        <v>44</v>
      </c>
      <c r="G1434" t="s">
        <v>50</v>
      </c>
      <c r="H1434">
        <v>9</v>
      </c>
      <c r="I1434">
        <v>70.63</v>
      </c>
      <c r="J1434">
        <v>0</v>
      </c>
      <c r="K1434">
        <v>635.66999999999996</v>
      </c>
    </row>
    <row r="1435" spans="1:11" x14ac:dyDescent="0.35">
      <c r="A1435" t="s">
        <v>1635</v>
      </c>
      <c r="B1435" s="1">
        <v>45636</v>
      </c>
      <c r="C1435" t="s">
        <v>90</v>
      </c>
      <c r="D1435" t="s">
        <v>13</v>
      </c>
      <c r="E1435" t="s">
        <v>221</v>
      </c>
      <c r="F1435" t="s">
        <v>15</v>
      </c>
      <c r="G1435" t="s">
        <v>74</v>
      </c>
      <c r="H1435">
        <v>3</v>
      </c>
      <c r="I1435">
        <v>150.13999999999999</v>
      </c>
      <c r="J1435">
        <v>0.1</v>
      </c>
      <c r="K1435">
        <v>405.38</v>
      </c>
    </row>
    <row r="1436" spans="1:11" x14ac:dyDescent="0.35">
      <c r="A1436" t="s">
        <v>1816</v>
      </c>
      <c r="B1436" s="1">
        <v>45484</v>
      </c>
      <c r="C1436" t="s">
        <v>79</v>
      </c>
      <c r="D1436" t="s">
        <v>42</v>
      </c>
      <c r="E1436" t="s">
        <v>309</v>
      </c>
      <c r="F1436" t="s">
        <v>44</v>
      </c>
      <c r="G1436" t="s">
        <v>107</v>
      </c>
      <c r="H1436">
        <v>10</v>
      </c>
      <c r="I1436">
        <v>129.59</v>
      </c>
      <c r="J1436">
        <v>0.05</v>
      </c>
      <c r="K1436">
        <v>1231.1099999999999</v>
      </c>
    </row>
    <row r="1437" spans="1:11" x14ac:dyDescent="0.35">
      <c r="A1437" t="s">
        <v>1217</v>
      </c>
      <c r="B1437" s="2">
        <v>45489</v>
      </c>
      <c r="C1437" t="s">
        <v>65</v>
      </c>
      <c r="D1437" t="s">
        <v>25</v>
      </c>
      <c r="E1437" t="s">
        <v>315</v>
      </c>
      <c r="F1437" t="s">
        <v>21</v>
      </c>
      <c r="G1437" t="s">
        <v>22</v>
      </c>
      <c r="H1437">
        <v>2</v>
      </c>
      <c r="I1437">
        <v>57.28</v>
      </c>
      <c r="J1437">
        <v>0</v>
      </c>
      <c r="K1437">
        <v>114.56</v>
      </c>
    </row>
    <row r="1438" spans="1:11" x14ac:dyDescent="0.35">
      <c r="A1438" t="s">
        <v>1817</v>
      </c>
      <c r="B1438" s="2">
        <v>45455</v>
      </c>
      <c r="C1438" t="s">
        <v>56</v>
      </c>
      <c r="D1438" t="s">
        <v>19</v>
      </c>
      <c r="E1438" t="s">
        <v>526</v>
      </c>
      <c r="F1438" t="s">
        <v>44</v>
      </c>
      <c r="G1438" t="s">
        <v>50</v>
      </c>
      <c r="H1438">
        <v>10</v>
      </c>
      <c r="I1438">
        <v>246.39</v>
      </c>
      <c r="J1438">
        <v>0.1</v>
      </c>
      <c r="K1438">
        <v>2217.5100000000002</v>
      </c>
    </row>
    <row r="1439" spans="1:11" x14ac:dyDescent="0.35">
      <c r="A1439" t="s">
        <v>1818</v>
      </c>
      <c r="B1439" s="1">
        <v>45407</v>
      </c>
      <c r="C1439" t="s">
        <v>12</v>
      </c>
      <c r="D1439" t="s">
        <v>25</v>
      </c>
      <c r="E1439" t="s">
        <v>282</v>
      </c>
      <c r="F1439" t="s">
        <v>44</v>
      </c>
      <c r="G1439" t="s">
        <v>107</v>
      </c>
      <c r="H1439">
        <v>4</v>
      </c>
      <c r="I1439">
        <v>159.06</v>
      </c>
      <c r="J1439">
        <v>0</v>
      </c>
      <c r="K1439">
        <v>636.24</v>
      </c>
    </row>
    <row r="1440" spans="1:11" x14ac:dyDescent="0.35">
      <c r="A1440" t="s">
        <v>1819</v>
      </c>
      <c r="B1440" s="1">
        <v>45516</v>
      </c>
      <c r="C1440" t="s">
        <v>90</v>
      </c>
      <c r="D1440" t="s">
        <v>13</v>
      </c>
      <c r="E1440" t="s">
        <v>39</v>
      </c>
      <c r="F1440" t="s">
        <v>21</v>
      </c>
      <c r="G1440" t="s">
        <v>129</v>
      </c>
      <c r="H1440">
        <v>11</v>
      </c>
      <c r="I1440">
        <v>105.66</v>
      </c>
      <c r="J1440">
        <v>0.15</v>
      </c>
      <c r="K1440">
        <v>987.92</v>
      </c>
    </row>
    <row r="1441" spans="1:11" x14ac:dyDescent="0.35">
      <c r="A1441" t="s">
        <v>1820</v>
      </c>
      <c r="B1441" s="1">
        <v>45338</v>
      </c>
      <c r="C1441" t="s">
        <v>41</v>
      </c>
      <c r="D1441" t="s">
        <v>57</v>
      </c>
      <c r="E1441" t="s">
        <v>656</v>
      </c>
      <c r="F1441" t="s">
        <v>44</v>
      </c>
      <c r="G1441" t="s">
        <v>107</v>
      </c>
      <c r="H1441">
        <v>3</v>
      </c>
      <c r="I1441">
        <v>199.25</v>
      </c>
      <c r="J1441">
        <v>0</v>
      </c>
      <c r="K1441">
        <v>597.75</v>
      </c>
    </row>
    <row r="1442" spans="1:11" x14ac:dyDescent="0.35">
      <c r="A1442" t="s">
        <v>1821</v>
      </c>
      <c r="B1442" s="1">
        <v>45498</v>
      </c>
      <c r="C1442" t="s">
        <v>24</v>
      </c>
      <c r="D1442" t="s">
        <v>19</v>
      </c>
      <c r="E1442" t="s">
        <v>638</v>
      </c>
      <c r="F1442" t="s">
        <v>21</v>
      </c>
      <c r="G1442" t="s">
        <v>167</v>
      </c>
      <c r="H1442">
        <v>5</v>
      </c>
      <c r="I1442">
        <v>227.7</v>
      </c>
      <c r="J1442">
        <v>0.1</v>
      </c>
      <c r="K1442">
        <v>1024.6500000000001</v>
      </c>
    </row>
    <row r="1443" spans="1:11" x14ac:dyDescent="0.35">
      <c r="A1443" t="s">
        <v>1822</v>
      </c>
      <c r="B1443" s="1">
        <v>45353</v>
      </c>
      <c r="C1443" t="s">
        <v>12</v>
      </c>
      <c r="D1443" t="s">
        <v>57</v>
      </c>
      <c r="E1443" t="s">
        <v>360</v>
      </c>
      <c r="F1443" t="s">
        <v>35</v>
      </c>
      <c r="G1443" t="s">
        <v>134</v>
      </c>
      <c r="H1443">
        <v>8</v>
      </c>
      <c r="I1443">
        <v>25.25</v>
      </c>
      <c r="J1443">
        <v>0.15</v>
      </c>
      <c r="K1443">
        <v>171.7</v>
      </c>
    </row>
    <row r="1444" spans="1:11" x14ac:dyDescent="0.35">
      <c r="A1444" t="s">
        <v>1823</v>
      </c>
      <c r="B1444" s="1">
        <v>45541</v>
      </c>
      <c r="C1444" t="s">
        <v>24</v>
      </c>
      <c r="D1444" t="s">
        <v>42</v>
      </c>
      <c r="E1444" t="s">
        <v>448</v>
      </c>
      <c r="F1444" t="s">
        <v>21</v>
      </c>
      <c r="G1444" t="s">
        <v>167</v>
      </c>
      <c r="H1444">
        <v>1</v>
      </c>
      <c r="I1444">
        <v>208.76</v>
      </c>
      <c r="J1444">
        <v>0.1</v>
      </c>
      <c r="K1444">
        <v>187.88</v>
      </c>
    </row>
    <row r="1445" spans="1:11" x14ac:dyDescent="0.35">
      <c r="A1445" t="s">
        <v>1824</v>
      </c>
      <c r="B1445" s="2">
        <v>45357</v>
      </c>
      <c r="C1445" t="s">
        <v>102</v>
      </c>
      <c r="D1445" t="s">
        <v>25</v>
      </c>
      <c r="E1445" t="s">
        <v>26</v>
      </c>
      <c r="F1445" t="s">
        <v>35</v>
      </c>
      <c r="G1445" t="s">
        <v>177</v>
      </c>
      <c r="H1445">
        <v>3</v>
      </c>
      <c r="I1445">
        <v>179.23</v>
      </c>
      <c r="J1445">
        <v>0.15</v>
      </c>
      <c r="K1445">
        <v>457.04</v>
      </c>
    </row>
    <row r="1446" spans="1:11" x14ac:dyDescent="0.35">
      <c r="A1446" t="s">
        <v>1825</v>
      </c>
      <c r="B1446" t="s">
        <v>677</v>
      </c>
      <c r="C1446" t="s">
        <v>90</v>
      </c>
      <c r="D1446" t="s">
        <v>25</v>
      </c>
      <c r="E1446" t="s">
        <v>810</v>
      </c>
      <c r="F1446" t="s">
        <v>15</v>
      </c>
      <c r="G1446" t="s">
        <v>111</v>
      </c>
      <c r="H1446">
        <v>11</v>
      </c>
      <c r="I1446">
        <v>173.54</v>
      </c>
      <c r="J1446">
        <v>0</v>
      </c>
      <c r="K1446">
        <v>1908.94</v>
      </c>
    </row>
    <row r="1447" spans="1:11" x14ac:dyDescent="0.35">
      <c r="A1447" t="s">
        <v>1826</v>
      </c>
      <c r="B1447" s="2">
        <v>45347</v>
      </c>
      <c r="C1447" t="s">
        <v>102</v>
      </c>
      <c r="D1447" t="s">
        <v>25</v>
      </c>
      <c r="E1447" t="s">
        <v>370</v>
      </c>
      <c r="F1447" t="s">
        <v>35</v>
      </c>
      <c r="G1447" t="s">
        <v>83</v>
      </c>
      <c r="H1447">
        <v>10</v>
      </c>
      <c r="I1447">
        <v>110.18</v>
      </c>
      <c r="J1447">
        <v>0</v>
      </c>
      <c r="K1447">
        <v>1101.8</v>
      </c>
    </row>
    <row r="1448" spans="1:11" x14ac:dyDescent="0.35">
      <c r="A1448" t="s">
        <v>1827</v>
      </c>
      <c r="B1448" s="1">
        <v>45605</v>
      </c>
      <c r="C1448" t="s">
        <v>24</v>
      </c>
      <c r="D1448" t="s">
        <v>57</v>
      </c>
      <c r="E1448" t="s">
        <v>238</v>
      </c>
      <c r="F1448" t="s">
        <v>21</v>
      </c>
      <c r="G1448" t="s">
        <v>167</v>
      </c>
      <c r="H1448">
        <v>10</v>
      </c>
      <c r="I1448">
        <v>153.37</v>
      </c>
      <c r="J1448">
        <v>0</v>
      </c>
      <c r="K1448">
        <v>1533.7</v>
      </c>
    </row>
    <row r="1449" spans="1:11" x14ac:dyDescent="0.35">
      <c r="A1449" t="s">
        <v>1828</v>
      </c>
      <c r="B1449" s="2">
        <v>45375</v>
      </c>
      <c r="C1449" t="s">
        <v>48</v>
      </c>
      <c r="D1449" t="s">
        <v>25</v>
      </c>
      <c r="E1449" t="s">
        <v>1037</v>
      </c>
      <c r="F1449" t="s">
        <v>35</v>
      </c>
      <c r="G1449" t="s">
        <v>134</v>
      </c>
      <c r="H1449">
        <v>11</v>
      </c>
      <c r="I1449">
        <v>98.48</v>
      </c>
      <c r="J1449">
        <v>0.15</v>
      </c>
      <c r="K1449">
        <v>920.79</v>
      </c>
    </row>
    <row r="1450" spans="1:11" x14ac:dyDescent="0.35">
      <c r="A1450" t="s">
        <v>1829</v>
      </c>
      <c r="B1450" s="1">
        <v>45404</v>
      </c>
      <c r="C1450" t="s">
        <v>12</v>
      </c>
      <c r="D1450" t="s">
        <v>42</v>
      </c>
      <c r="E1450" t="s">
        <v>407</v>
      </c>
      <c r="F1450" t="s">
        <v>15</v>
      </c>
      <c r="G1450" t="s">
        <v>27</v>
      </c>
      <c r="H1450">
        <v>5</v>
      </c>
      <c r="I1450">
        <v>166.2</v>
      </c>
      <c r="J1450">
        <v>0.15</v>
      </c>
      <c r="K1450">
        <v>706.35</v>
      </c>
    </row>
    <row r="1451" spans="1:11" x14ac:dyDescent="0.35">
      <c r="A1451" t="s">
        <v>1830</v>
      </c>
      <c r="B1451" s="2">
        <v>45456</v>
      </c>
      <c r="C1451" t="s">
        <v>79</v>
      </c>
      <c r="D1451" t="s">
        <v>13</v>
      </c>
      <c r="E1451" t="s">
        <v>171</v>
      </c>
      <c r="F1451" t="s">
        <v>44</v>
      </c>
      <c r="G1451" t="s">
        <v>86</v>
      </c>
      <c r="H1451">
        <v>1</v>
      </c>
      <c r="I1451">
        <v>127.83</v>
      </c>
      <c r="J1451">
        <v>0.05</v>
      </c>
      <c r="K1451">
        <v>121.44</v>
      </c>
    </row>
    <row r="1452" spans="1:11" x14ac:dyDescent="0.35">
      <c r="A1452" t="s">
        <v>1831</v>
      </c>
      <c r="B1452" s="1">
        <v>45385</v>
      </c>
      <c r="C1452" t="s">
        <v>48</v>
      </c>
      <c r="D1452" t="s">
        <v>25</v>
      </c>
      <c r="E1452" t="s">
        <v>160</v>
      </c>
      <c r="F1452" t="s">
        <v>53</v>
      </c>
      <c r="G1452" t="s">
        <v>54</v>
      </c>
      <c r="H1452">
        <v>4</v>
      </c>
      <c r="I1452">
        <v>165.34</v>
      </c>
      <c r="J1452">
        <v>0</v>
      </c>
      <c r="K1452">
        <v>661.36</v>
      </c>
    </row>
    <row r="1453" spans="1:11" x14ac:dyDescent="0.35">
      <c r="A1453" t="s">
        <v>227</v>
      </c>
      <c r="B1453" t="s">
        <v>228</v>
      </c>
      <c r="C1453" t="s">
        <v>33</v>
      </c>
      <c r="D1453" t="s">
        <v>19</v>
      </c>
      <c r="E1453" t="s">
        <v>229</v>
      </c>
      <c r="F1453" t="s">
        <v>15</v>
      </c>
      <c r="G1453" t="s">
        <v>16</v>
      </c>
      <c r="H1453">
        <v>12</v>
      </c>
      <c r="I1453">
        <v>171.03</v>
      </c>
      <c r="J1453">
        <v>0</v>
      </c>
      <c r="K1453">
        <v>2052.36</v>
      </c>
    </row>
    <row r="1454" spans="1:11" x14ac:dyDescent="0.35">
      <c r="A1454" t="s">
        <v>1832</v>
      </c>
      <c r="B1454" t="s">
        <v>1207</v>
      </c>
      <c r="C1454" t="s">
        <v>48</v>
      </c>
      <c r="D1454" t="s">
        <v>25</v>
      </c>
      <c r="E1454" t="s">
        <v>683</v>
      </c>
      <c r="F1454" t="s">
        <v>15</v>
      </c>
      <c r="G1454" t="s">
        <v>27</v>
      </c>
      <c r="H1454">
        <v>4</v>
      </c>
      <c r="I1454">
        <v>147.94</v>
      </c>
      <c r="J1454">
        <v>0</v>
      </c>
      <c r="K1454">
        <v>591.76</v>
      </c>
    </row>
    <row r="1455" spans="1:11" x14ac:dyDescent="0.35">
      <c r="A1455" t="s">
        <v>1833</v>
      </c>
      <c r="B1455" s="1">
        <v>45464</v>
      </c>
      <c r="C1455" t="s">
        <v>102</v>
      </c>
      <c r="D1455" t="s">
        <v>42</v>
      </c>
      <c r="E1455" t="s">
        <v>835</v>
      </c>
      <c r="F1455" t="s">
        <v>53</v>
      </c>
      <c r="G1455" t="s">
        <v>104</v>
      </c>
      <c r="H1455">
        <v>1</v>
      </c>
      <c r="I1455">
        <v>192.87</v>
      </c>
      <c r="J1455">
        <v>0.1</v>
      </c>
      <c r="K1455">
        <v>173.58</v>
      </c>
    </row>
    <row r="1456" spans="1:11" x14ac:dyDescent="0.35">
      <c r="A1456" t="s">
        <v>1834</v>
      </c>
      <c r="B1456" s="1">
        <v>45602</v>
      </c>
      <c r="C1456" t="s">
        <v>24</v>
      </c>
      <c r="D1456" t="s">
        <v>42</v>
      </c>
      <c r="E1456" t="s">
        <v>462</v>
      </c>
      <c r="F1456" t="s">
        <v>21</v>
      </c>
      <c r="G1456" t="s">
        <v>129</v>
      </c>
      <c r="H1456">
        <v>9</v>
      </c>
      <c r="I1456">
        <v>106.88</v>
      </c>
      <c r="J1456">
        <v>0.05</v>
      </c>
      <c r="K1456">
        <v>913.82</v>
      </c>
    </row>
    <row r="1457" spans="1:11" x14ac:dyDescent="0.35">
      <c r="A1457" t="s">
        <v>1835</v>
      </c>
      <c r="B1457" s="1">
        <v>45450</v>
      </c>
      <c r="C1457" t="s">
        <v>33</v>
      </c>
      <c r="D1457" t="s">
        <v>25</v>
      </c>
      <c r="E1457" t="s">
        <v>404</v>
      </c>
      <c r="F1457" t="s">
        <v>15</v>
      </c>
      <c r="G1457" t="s">
        <v>27</v>
      </c>
      <c r="H1457">
        <v>9</v>
      </c>
      <c r="I1457">
        <v>190.41</v>
      </c>
      <c r="J1457">
        <v>0</v>
      </c>
      <c r="K1457">
        <v>1713.69</v>
      </c>
    </row>
    <row r="1458" spans="1:11" x14ac:dyDescent="0.35">
      <c r="A1458" t="s">
        <v>1836</v>
      </c>
      <c r="B1458" s="2">
        <v>45624</v>
      </c>
      <c r="C1458" t="s">
        <v>72</v>
      </c>
      <c r="D1458" t="s">
        <v>57</v>
      </c>
      <c r="E1458" t="s">
        <v>201</v>
      </c>
      <c r="F1458" t="s">
        <v>53</v>
      </c>
      <c r="G1458" t="s">
        <v>104</v>
      </c>
      <c r="H1458">
        <v>11</v>
      </c>
      <c r="I1458">
        <v>234.62</v>
      </c>
      <c r="J1458">
        <v>0.05</v>
      </c>
      <c r="K1458">
        <v>2451.7800000000002</v>
      </c>
    </row>
    <row r="1459" spans="1:11" x14ac:dyDescent="0.35">
      <c r="A1459" t="s">
        <v>1837</v>
      </c>
      <c r="B1459" s="2">
        <v>45610</v>
      </c>
      <c r="C1459" t="s">
        <v>41</v>
      </c>
      <c r="D1459" t="s">
        <v>57</v>
      </c>
      <c r="E1459" t="s">
        <v>206</v>
      </c>
      <c r="F1459" t="s">
        <v>44</v>
      </c>
      <c r="G1459" t="s">
        <v>50</v>
      </c>
      <c r="H1459">
        <v>4</v>
      </c>
      <c r="I1459">
        <v>41.14</v>
      </c>
      <c r="J1459">
        <v>0.15</v>
      </c>
      <c r="K1459">
        <v>139.88</v>
      </c>
    </row>
    <row r="1460" spans="1:11" x14ac:dyDescent="0.35">
      <c r="A1460" t="s">
        <v>1838</v>
      </c>
      <c r="B1460" s="1">
        <v>45643</v>
      </c>
      <c r="C1460" t="s">
        <v>102</v>
      </c>
      <c r="E1460" t="s">
        <v>334</v>
      </c>
      <c r="F1460" t="s">
        <v>21</v>
      </c>
      <c r="G1460" t="s">
        <v>22</v>
      </c>
      <c r="H1460">
        <v>2</v>
      </c>
      <c r="I1460">
        <v>125.5</v>
      </c>
      <c r="J1460">
        <v>0</v>
      </c>
      <c r="K1460">
        <v>251</v>
      </c>
    </row>
    <row r="1461" spans="1:11" x14ac:dyDescent="0.35">
      <c r="A1461" t="s">
        <v>1839</v>
      </c>
      <c r="B1461" s="2">
        <v>45329</v>
      </c>
      <c r="C1461" t="s">
        <v>33</v>
      </c>
      <c r="D1461" t="s">
        <v>13</v>
      </c>
      <c r="E1461" t="s">
        <v>429</v>
      </c>
      <c r="F1461" t="s">
        <v>21</v>
      </c>
      <c r="G1461" t="s">
        <v>194</v>
      </c>
      <c r="H1461">
        <v>1</v>
      </c>
      <c r="I1461">
        <v>148.35</v>
      </c>
      <c r="J1461">
        <v>0.05</v>
      </c>
      <c r="K1461">
        <v>140.93</v>
      </c>
    </row>
    <row r="1462" spans="1:11" x14ac:dyDescent="0.35">
      <c r="A1462" t="s">
        <v>1840</v>
      </c>
      <c r="B1462" s="1">
        <v>45575</v>
      </c>
      <c r="C1462" t="s">
        <v>29</v>
      </c>
      <c r="D1462" t="s">
        <v>57</v>
      </c>
      <c r="E1462" t="s">
        <v>69</v>
      </c>
      <c r="F1462" t="s">
        <v>21</v>
      </c>
      <c r="G1462" t="s">
        <v>129</v>
      </c>
      <c r="H1462">
        <v>4</v>
      </c>
      <c r="I1462">
        <v>148.66</v>
      </c>
      <c r="J1462">
        <v>0</v>
      </c>
      <c r="K1462">
        <v>594.64</v>
      </c>
    </row>
    <row r="1463" spans="1:11" x14ac:dyDescent="0.35">
      <c r="A1463" t="s">
        <v>1841</v>
      </c>
      <c r="B1463" s="1">
        <v>45518</v>
      </c>
      <c r="C1463" t="s">
        <v>102</v>
      </c>
      <c r="D1463" t="s">
        <v>57</v>
      </c>
      <c r="E1463" t="s">
        <v>842</v>
      </c>
      <c r="F1463" t="s">
        <v>44</v>
      </c>
      <c r="G1463" t="s">
        <v>107</v>
      </c>
      <c r="H1463">
        <v>2</v>
      </c>
      <c r="I1463">
        <v>106.36</v>
      </c>
      <c r="J1463">
        <v>0</v>
      </c>
      <c r="K1463">
        <v>212.72</v>
      </c>
    </row>
    <row r="1464" spans="1:11" x14ac:dyDescent="0.35">
      <c r="A1464" t="s">
        <v>1842</v>
      </c>
      <c r="B1464" s="2">
        <v>45656</v>
      </c>
      <c r="C1464" t="s">
        <v>65</v>
      </c>
      <c r="D1464" t="s">
        <v>42</v>
      </c>
      <c r="E1464" t="s">
        <v>506</v>
      </c>
      <c r="F1464" t="s">
        <v>35</v>
      </c>
      <c r="G1464" t="s">
        <v>83</v>
      </c>
      <c r="H1464">
        <v>3</v>
      </c>
      <c r="I1464">
        <v>247.95</v>
      </c>
      <c r="J1464">
        <v>0</v>
      </c>
      <c r="K1464">
        <v>743.85</v>
      </c>
    </row>
    <row r="1465" spans="1:11" x14ac:dyDescent="0.35">
      <c r="A1465" t="s">
        <v>1843</v>
      </c>
      <c r="B1465" s="1">
        <v>45585</v>
      </c>
      <c r="C1465" t="s">
        <v>90</v>
      </c>
      <c r="D1465" t="s">
        <v>19</v>
      </c>
      <c r="E1465" t="s">
        <v>825</v>
      </c>
      <c r="F1465" t="s">
        <v>53</v>
      </c>
      <c r="G1465" t="s">
        <v>260</v>
      </c>
      <c r="H1465">
        <v>4</v>
      </c>
      <c r="I1465">
        <v>116.02</v>
      </c>
      <c r="J1465">
        <v>0.15</v>
      </c>
      <c r="K1465">
        <v>394.47</v>
      </c>
    </row>
    <row r="1466" spans="1:11" x14ac:dyDescent="0.35">
      <c r="A1466" t="s">
        <v>1844</v>
      </c>
      <c r="B1466" s="1">
        <v>45515</v>
      </c>
      <c r="C1466" t="s">
        <v>38</v>
      </c>
      <c r="D1466" t="s">
        <v>25</v>
      </c>
      <c r="E1466" t="s">
        <v>122</v>
      </c>
      <c r="F1466" t="s">
        <v>35</v>
      </c>
      <c r="G1466" t="s">
        <v>67</v>
      </c>
      <c r="H1466">
        <v>10</v>
      </c>
      <c r="I1466">
        <v>51.22</v>
      </c>
      <c r="J1466">
        <v>0.15</v>
      </c>
      <c r="K1466">
        <v>435.37</v>
      </c>
    </row>
    <row r="1467" spans="1:11" x14ac:dyDescent="0.35">
      <c r="A1467" t="s">
        <v>1845</v>
      </c>
      <c r="B1467" s="1">
        <v>45372</v>
      </c>
      <c r="C1467" t="s">
        <v>48</v>
      </c>
      <c r="D1467" t="s">
        <v>25</v>
      </c>
      <c r="E1467" t="s">
        <v>448</v>
      </c>
      <c r="F1467" t="s">
        <v>21</v>
      </c>
      <c r="G1467" t="s">
        <v>22</v>
      </c>
      <c r="H1467">
        <v>2</v>
      </c>
      <c r="I1467">
        <v>67.36</v>
      </c>
      <c r="J1467">
        <v>0</v>
      </c>
      <c r="K1467">
        <v>134.72</v>
      </c>
    </row>
    <row r="1468" spans="1:11" x14ac:dyDescent="0.35">
      <c r="A1468" t="s">
        <v>1846</v>
      </c>
      <c r="B1468" t="s">
        <v>1065</v>
      </c>
      <c r="C1468" t="s">
        <v>29</v>
      </c>
      <c r="D1468" t="s">
        <v>42</v>
      </c>
      <c r="E1468" t="s">
        <v>620</v>
      </c>
      <c r="F1468" t="s">
        <v>44</v>
      </c>
      <c r="G1468" t="s">
        <v>86</v>
      </c>
      <c r="H1468">
        <v>2</v>
      </c>
      <c r="I1468">
        <v>231.87</v>
      </c>
      <c r="J1468">
        <v>0</v>
      </c>
      <c r="K1468">
        <v>463.74</v>
      </c>
    </row>
    <row r="1469" spans="1:11" x14ac:dyDescent="0.35">
      <c r="A1469" t="s">
        <v>1847</v>
      </c>
      <c r="B1469" s="1">
        <v>45293</v>
      </c>
      <c r="C1469" t="s">
        <v>38</v>
      </c>
      <c r="D1469" t="s">
        <v>25</v>
      </c>
      <c r="E1469" t="s">
        <v>517</v>
      </c>
      <c r="F1469" t="s">
        <v>15</v>
      </c>
      <c r="G1469" t="s">
        <v>74</v>
      </c>
      <c r="H1469">
        <v>7</v>
      </c>
      <c r="I1469">
        <v>186.48</v>
      </c>
      <c r="J1469">
        <v>0.05</v>
      </c>
      <c r="K1469">
        <v>1240.0899999999999</v>
      </c>
    </row>
    <row r="1470" spans="1:11" x14ac:dyDescent="0.35">
      <c r="A1470" t="s">
        <v>1848</v>
      </c>
      <c r="B1470" s="1">
        <v>45408</v>
      </c>
      <c r="C1470" t="s">
        <v>90</v>
      </c>
      <c r="D1470" t="s">
        <v>42</v>
      </c>
      <c r="E1470" t="s">
        <v>751</v>
      </c>
      <c r="F1470" t="s">
        <v>15</v>
      </c>
      <c r="G1470" t="s">
        <v>27</v>
      </c>
      <c r="H1470">
        <v>7</v>
      </c>
      <c r="I1470">
        <v>140.49</v>
      </c>
      <c r="J1470">
        <v>0.05</v>
      </c>
      <c r="K1470">
        <v>934.26</v>
      </c>
    </row>
    <row r="1471" spans="1:11" x14ac:dyDescent="0.35">
      <c r="A1471" t="s">
        <v>1849</v>
      </c>
      <c r="B1471" s="1">
        <v>45522</v>
      </c>
      <c r="C1471" t="s">
        <v>90</v>
      </c>
      <c r="D1471" t="s">
        <v>13</v>
      </c>
      <c r="E1471" t="s">
        <v>206</v>
      </c>
      <c r="F1471" t="s">
        <v>53</v>
      </c>
      <c r="G1471" t="s">
        <v>54</v>
      </c>
      <c r="H1471">
        <v>11</v>
      </c>
      <c r="I1471">
        <v>8.81</v>
      </c>
      <c r="J1471">
        <v>0.15</v>
      </c>
      <c r="K1471">
        <v>82.37</v>
      </c>
    </row>
    <row r="1472" spans="1:11" x14ac:dyDescent="0.35">
      <c r="A1472" t="s">
        <v>1850</v>
      </c>
      <c r="B1472" s="2">
        <v>45530</v>
      </c>
      <c r="C1472" t="s">
        <v>33</v>
      </c>
      <c r="D1472" t="s">
        <v>42</v>
      </c>
      <c r="E1472" t="s">
        <v>385</v>
      </c>
      <c r="F1472" t="s">
        <v>44</v>
      </c>
      <c r="G1472" t="s">
        <v>107</v>
      </c>
      <c r="H1472">
        <v>7</v>
      </c>
      <c r="I1472">
        <v>84.47</v>
      </c>
      <c r="J1472">
        <v>0.05</v>
      </c>
      <c r="K1472">
        <v>561.73</v>
      </c>
    </row>
    <row r="1473" spans="1:11" x14ac:dyDescent="0.35">
      <c r="A1473" t="s">
        <v>1851</v>
      </c>
      <c r="B1473" t="s">
        <v>1852</v>
      </c>
      <c r="C1473" t="s">
        <v>102</v>
      </c>
      <c r="D1473" t="s">
        <v>13</v>
      </c>
      <c r="E1473" t="s">
        <v>547</v>
      </c>
      <c r="F1473" t="s">
        <v>44</v>
      </c>
      <c r="G1473" t="s">
        <v>50</v>
      </c>
      <c r="H1473">
        <v>9</v>
      </c>
      <c r="I1473">
        <v>166.61</v>
      </c>
      <c r="J1473">
        <v>0.05</v>
      </c>
      <c r="K1473">
        <v>1424.52</v>
      </c>
    </row>
    <row r="1474" spans="1:11" x14ac:dyDescent="0.35">
      <c r="A1474" t="s">
        <v>1853</v>
      </c>
      <c r="B1474" s="1">
        <v>45640</v>
      </c>
      <c r="C1474" t="s">
        <v>38</v>
      </c>
      <c r="D1474" t="s">
        <v>42</v>
      </c>
      <c r="E1474" t="s">
        <v>197</v>
      </c>
      <c r="F1474" t="s">
        <v>35</v>
      </c>
      <c r="G1474" t="s">
        <v>177</v>
      </c>
      <c r="H1474">
        <v>11</v>
      </c>
      <c r="I1474">
        <v>216.74</v>
      </c>
      <c r="J1474">
        <v>0</v>
      </c>
      <c r="K1474">
        <v>2384.14</v>
      </c>
    </row>
    <row r="1475" spans="1:11" x14ac:dyDescent="0.35">
      <c r="A1475" t="s">
        <v>1854</v>
      </c>
      <c r="B1475" t="s">
        <v>740</v>
      </c>
      <c r="C1475" t="s">
        <v>18</v>
      </c>
      <c r="D1475" t="s">
        <v>25</v>
      </c>
      <c r="E1475" t="s">
        <v>158</v>
      </c>
      <c r="F1475" t="s">
        <v>21</v>
      </c>
      <c r="G1475" t="s">
        <v>167</v>
      </c>
      <c r="H1475">
        <v>1</v>
      </c>
      <c r="I1475">
        <v>159.24</v>
      </c>
      <c r="J1475">
        <v>0.1</v>
      </c>
      <c r="K1475">
        <v>143.32</v>
      </c>
    </row>
    <row r="1476" spans="1:11" x14ac:dyDescent="0.35">
      <c r="A1476" t="s">
        <v>1855</v>
      </c>
      <c r="B1476" s="1">
        <v>45618</v>
      </c>
      <c r="C1476" t="s">
        <v>79</v>
      </c>
      <c r="D1476" t="s">
        <v>42</v>
      </c>
      <c r="E1476" t="s">
        <v>420</v>
      </c>
      <c r="F1476" t="s">
        <v>35</v>
      </c>
      <c r="G1476" t="s">
        <v>177</v>
      </c>
      <c r="H1476">
        <v>4</v>
      </c>
      <c r="I1476">
        <v>55.76</v>
      </c>
      <c r="J1476">
        <v>0.05</v>
      </c>
      <c r="K1476">
        <v>211.89</v>
      </c>
    </row>
    <row r="1477" spans="1:11" x14ac:dyDescent="0.35">
      <c r="A1477" t="s">
        <v>1856</v>
      </c>
      <c r="B1477" s="1">
        <v>45648</v>
      </c>
      <c r="C1477" t="s">
        <v>48</v>
      </c>
      <c r="D1477" t="s">
        <v>19</v>
      </c>
      <c r="E1477" t="s">
        <v>263</v>
      </c>
      <c r="F1477" t="s">
        <v>15</v>
      </c>
      <c r="G1477" t="s">
        <v>147</v>
      </c>
      <c r="H1477">
        <v>7</v>
      </c>
      <c r="I1477">
        <v>164.47</v>
      </c>
      <c r="J1477">
        <v>0.15</v>
      </c>
      <c r="K1477">
        <v>978.6</v>
      </c>
    </row>
    <row r="1478" spans="1:11" x14ac:dyDescent="0.35">
      <c r="A1478" t="s">
        <v>1857</v>
      </c>
      <c r="B1478" s="1">
        <v>45379</v>
      </c>
      <c r="C1478" t="s">
        <v>18</v>
      </c>
      <c r="D1478" t="s">
        <v>25</v>
      </c>
      <c r="E1478" t="s">
        <v>14</v>
      </c>
      <c r="F1478" t="s">
        <v>21</v>
      </c>
      <c r="G1478" t="s">
        <v>194</v>
      </c>
      <c r="H1478">
        <v>12</v>
      </c>
      <c r="I1478">
        <v>70.17</v>
      </c>
      <c r="J1478">
        <v>0.05</v>
      </c>
      <c r="K1478">
        <v>799.94</v>
      </c>
    </row>
    <row r="1479" spans="1:11" x14ac:dyDescent="0.35">
      <c r="A1479" t="s">
        <v>1858</v>
      </c>
      <c r="B1479" s="2">
        <v>45646</v>
      </c>
      <c r="C1479" t="s">
        <v>72</v>
      </c>
      <c r="E1479" t="s">
        <v>720</v>
      </c>
      <c r="F1479" t="s">
        <v>21</v>
      </c>
      <c r="G1479" t="s">
        <v>129</v>
      </c>
      <c r="H1479">
        <v>7</v>
      </c>
      <c r="I1479">
        <v>118.02</v>
      </c>
      <c r="J1479">
        <v>0</v>
      </c>
      <c r="K1479">
        <v>826.14</v>
      </c>
    </row>
    <row r="1480" spans="1:11" x14ac:dyDescent="0.35">
      <c r="A1480" t="s">
        <v>1859</v>
      </c>
      <c r="B1480" t="s">
        <v>581</v>
      </c>
      <c r="C1480" t="s">
        <v>102</v>
      </c>
      <c r="D1480" t="s">
        <v>57</v>
      </c>
      <c r="E1480" t="s">
        <v>82</v>
      </c>
      <c r="F1480" t="s">
        <v>44</v>
      </c>
      <c r="G1480" t="s">
        <v>86</v>
      </c>
      <c r="H1480">
        <v>1</v>
      </c>
      <c r="I1480">
        <v>228.41</v>
      </c>
      <c r="J1480">
        <v>0</v>
      </c>
      <c r="K1480">
        <v>228.41</v>
      </c>
    </row>
    <row r="1481" spans="1:11" x14ac:dyDescent="0.35">
      <c r="A1481" t="s">
        <v>1860</v>
      </c>
      <c r="B1481" s="2">
        <v>45564</v>
      </c>
      <c r="C1481" t="s">
        <v>56</v>
      </c>
      <c r="D1481" t="s">
        <v>25</v>
      </c>
      <c r="E1481" t="s">
        <v>155</v>
      </c>
      <c r="F1481" t="s">
        <v>53</v>
      </c>
      <c r="G1481" t="s">
        <v>63</v>
      </c>
      <c r="H1481">
        <v>7</v>
      </c>
      <c r="I1481">
        <v>60.15</v>
      </c>
      <c r="J1481">
        <v>0.05</v>
      </c>
      <c r="K1481">
        <v>400</v>
      </c>
    </row>
    <row r="1482" spans="1:11" x14ac:dyDescent="0.35">
      <c r="A1482" t="s">
        <v>1861</v>
      </c>
      <c r="B1482" t="s">
        <v>162</v>
      </c>
      <c r="C1482" t="s">
        <v>48</v>
      </c>
      <c r="D1482" t="s">
        <v>13</v>
      </c>
      <c r="E1482" t="s">
        <v>390</v>
      </c>
      <c r="F1482" t="s">
        <v>21</v>
      </c>
      <c r="G1482" t="s">
        <v>22</v>
      </c>
      <c r="H1482">
        <v>9</v>
      </c>
      <c r="I1482">
        <v>194.72</v>
      </c>
      <c r="J1482">
        <v>0</v>
      </c>
      <c r="K1482">
        <v>1752.48</v>
      </c>
    </row>
    <row r="1483" spans="1:11" x14ac:dyDescent="0.35">
      <c r="A1483" t="s">
        <v>1862</v>
      </c>
      <c r="B1483" t="s">
        <v>545</v>
      </c>
      <c r="C1483" t="s">
        <v>65</v>
      </c>
      <c r="D1483" t="s">
        <v>13</v>
      </c>
      <c r="E1483" t="s">
        <v>835</v>
      </c>
      <c r="F1483" t="s">
        <v>53</v>
      </c>
      <c r="G1483" t="s">
        <v>59</v>
      </c>
      <c r="H1483">
        <v>11</v>
      </c>
      <c r="I1483">
        <v>162.19</v>
      </c>
      <c r="J1483">
        <v>0</v>
      </c>
      <c r="K1483">
        <v>1784.09</v>
      </c>
    </row>
    <row r="1484" spans="1:11" x14ac:dyDescent="0.35">
      <c r="A1484" t="s">
        <v>1863</v>
      </c>
      <c r="B1484" s="2">
        <v>45522</v>
      </c>
      <c r="C1484" t="s">
        <v>79</v>
      </c>
      <c r="D1484" t="s">
        <v>25</v>
      </c>
      <c r="E1484" t="s">
        <v>506</v>
      </c>
      <c r="F1484" t="s">
        <v>21</v>
      </c>
      <c r="G1484" t="s">
        <v>194</v>
      </c>
      <c r="H1484">
        <v>3</v>
      </c>
      <c r="I1484">
        <v>92.05</v>
      </c>
      <c r="J1484">
        <v>0.05</v>
      </c>
      <c r="K1484">
        <v>262.33999999999997</v>
      </c>
    </row>
    <row r="1485" spans="1:11" x14ac:dyDescent="0.35">
      <c r="A1485" t="s">
        <v>1864</v>
      </c>
      <c r="B1485" t="s">
        <v>375</v>
      </c>
      <c r="C1485" t="s">
        <v>38</v>
      </c>
      <c r="D1485" t="s">
        <v>25</v>
      </c>
      <c r="E1485" t="s">
        <v>638</v>
      </c>
      <c r="F1485" t="s">
        <v>53</v>
      </c>
      <c r="G1485" t="s">
        <v>63</v>
      </c>
      <c r="H1485">
        <v>4</v>
      </c>
      <c r="I1485">
        <v>102.17</v>
      </c>
      <c r="J1485">
        <v>0.1</v>
      </c>
      <c r="K1485">
        <v>367.81</v>
      </c>
    </row>
    <row r="1486" spans="1:11" x14ac:dyDescent="0.35">
      <c r="A1486" t="s">
        <v>1865</v>
      </c>
      <c r="B1486" s="1">
        <v>45525</v>
      </c>
      <c r="C1486" t="s">
        <v>72</v>
      </c>
      <c r="D1486" t="s">
        <v>25</v>
      </c>
      <c r="E1486" t="s">
        <v>142</v>
      </c>
      <c r="F1486" t="s">
        <v>44</v>
      </c>
      <c r="G1486" t="s">
        <v>107</v>
      </c>
      <c r="H1486">
        <v>4</v>
      </c>
      <c r="I1486">
        <v>79.34</v>
      </c>
      <c r="J1486">
        <v>0</v>
      </c>
      <c r="K1486">
        <v>317.36</v>
      </c>
    </row>
    <row r="1487" spans="1:11" x14ac:dyDescent="0.35">
      <c r="A1487" t="s">
        <v>1866</v>
      </c>
      <c r="B1487" s="1">
        <v>45569</v>
      </c>
      <c r="C1487" t="s">
        <v>56</v>
      </c>
      <c r="D1487" t="s">
        <v>25</v>
      </c>
      <c r="F1487" t="s">
        <v>44</v>
      </c>
      <c r="G1487" t="s">
        <v>86</v>
      </c>
      <c r="H1487">
        <v>3</v>
      </c>
      <c r="I1487">
        <v>58.73</v>
      </c>
      <c r="J1487">
        <v>0</v>
      </c>
      <c r="K1487">
        <v>176.19</v>
      </c>
    </row>
    <row r="1488" spans="1:11" x14ac:dyDescent="0.35">
      <c r="A1488" t="s">
        <v>1867</v>
      </c>
      <c r="B1488" s="1">
        <v>45323</v>
      </c>
      <c r="C1488" t="s">
        <v>79</v>
      </c>
      <c r="D1488" t="s">
        <v>19</v>
      </c>
      <c r="E1488" t="s">
        <v>34</v>
      </c>
      <c r="F1488" t="s">
        <v>44</v>
      </c>
      <c r="G1488" t="s">
        <v>107</v>
      </c>
      <c r="H1488">
        <v>1</v>
      </c>
      <c r="I1488">
        <v>248.51</v>
      </c>
      <c r="J1488">
        <v>0</v>
      </c>
      <c r="K1488">
        <v>248.51</v>
      </c>
    </row>
    <row r="1489" spans="1:11" x14ac:dyDescent="0.35">
      <c r="A1489" t="s">
        <v>1868</v>
      </c>
      <c r="B1489" s="2">
        <v>45421</v>
      </c>
      <c r="C1489" t="s">
        <v>48</v>
      </c>
      <c r="D1489" t="s">
        <v>57</v>
      </c>
      <c r="E1489" t="s">
        <v>225</v>
      </c>
      <c r="F1489" t="s">
        <v>15</v>
      </c>
      <c r="G1489" t="s">
        <v>111</v>
      </c>
      <c r="H1489">
        <v>7</v>
      </c>
      <c r="I1489">
        <v>79.11</v>
      </c>
      <c r="J1489">
        <v>0.15</v>
      </c>
      <c r="K1489">
        <v>470.7</v>
      </c>
    </row>
    <row r="1490" spans="1:11" x14ac:dyDescent="0.35">
      <c r="A1490" t="s">
        <v>1869</v>
      </c>
      <c r="B1490" s="1">
        <v>45562</v>
      </c>
      <c r="C1490" t="s">
        <v>56</v>
      </c>
      <c r="D1490" t="s">
        <v>25</v>
      </c>
      <c r="E1490" t="s">
        <v>34</v>
      </c>
      <c r="F1490" t="s">
        <v>53</v>
      </c>
      <c r="G1490" t="s">
        <v>54</v>
      </c>
      <c r="H1490">
        <v>3</v>
      </c>
      <c r="I1490">
        <v>141.43</v>
      </c>
      <c r="J1490">
        <v>0.1</v>
      </c>
      <c r="K1490">
        <v>381.86</v>
      </c>
    </row>
    <row r="1491" spans="1:11" x14ac:dyDescent="0.35">
      <c r="A1491" t="s">
        <v>1870</v>
      </c>
      <c r="B1491" t="s">
        <v>1391</v>
      </c>
      <c r="C1491" t="s">
        <v>33</v>
      </c>
      <c r="D1491" t="s">
        <v>13</v>
      </c>
      <c r="E1491" t="s">
        <v>139</v>
      </c>
      <c r="F1491" t="s">
        <v>21</v>
      </c>
      <c r="G1491" t="s">
        <v>129</v>
      </c>
      <c r="H1491">
        <v>2</v>
      </c>
      <c r="I1491">
        <v>62.9</v>
      </c>
      <c r="J1491">
        <v>0.05</v>
      </c>
      <c r="K1491">
        <v>119.51</v>
      </c>
    </row>
    <row r="1492" spans="1:11" x14ac:dyDescent="0.35">
      <c r="A1492" t="s">
        <v>1871</v>
      </c>
      <c r="B1492" s="2">
        <v>45425</v>
      </c>
      <c r="C1492" t="s">
        <v>38</v>
      </c>
      <c r="D1492" t="s">
        <v>13</v>
      </c>
      <c r="E1492" t="s">
        <v>122</v>
      </c>
      <c r="F1492" t="s">
        <v>35</v>
      </c>
      <c r="G1492" t="s">
        <v>134</v>
      </c>
      <c r="H1492">
        <v>6</v>
      </c>
      <c r="I1492">
        <v>54.15</v>
      </c>
      <c r="J1492">
        <v>0.15</v>
      </c>
      <c r="K1492">
        <v>276.16000000000003</v>
      </c>
    </row>
    <row r="1493" spans="1:11" x14ac:dyDescent="0.35">
      <c r="A1493" t="s">
        <v>1872</v>
      </c>
      <c r="B1493" s="1">
        <v>45294</v>
      </c>
      <c r="C1493" t="s">
        <v>90</v>
      </c>
      <c r="D1493" t="s">
        <v>42</v>
      </c>
      <c r="E1493" t="s">
        <v>1155</v>
      </c>
      <c r="F1493" t="s">
        <v>35</v>
      </c>
      <c r="G1493" t="s">
        <v>177</v>
      </c>
      <c r="H1493">
        <v>12</v>
      </c>
      <c r="I1493">
        <v>135.78</v>
      </c>
      <c r="J1493">
        <v>0</v>
      </c>
      <c r="K1493">
        <v>1629.36</v>
      </c>
    </row>
    <row r="1494" spans="1:11" x14ac:dyDescent="0.35">
      <c r="A1494" t="s">
        <v>1873</v>
      </c>
      <c r="B1494" s="1">
        <v>45472</v>
      </c>
      <c r="C1494" t="s">
        <v>102</v>
      </c>
      <c r="D1494" t="s">
        <v>42</v>
      </c>
      <c r="E1494" t="s">
        <v>693</v>
      </c>
      <c r="F1494" t="s">
        <v>44</v>
      </c>
      <c r="G1494" t="s">
        <v>50</v>
      </c>
      <c r="H1494">
        <v>1</v>
      </c>
      <c r="I1494">
        <v>75.86</v>
      </c>
      <c r="J1494">
        <v>0.15</v>
      </c>
      <c r="K1494">
        <v>64.48</v>
      </c>
    </row>
    <row r="1495" spans="1:11" x14ac:dyDescent="0.35">
      <c r="A1495" t="s">
        <v>537</v>
      </c>
      <c r="B1495" t="s">
        <v>538</v>
      </c>
      <c r="C1495" t="s">
        <v>24</v>
      </c>
      <c r="D1495" t="s">
        <v>42</v>
      </c>
      <c r="E1495" t="s">
        <v>266</v>
      </c>
      <c r="F1495" t="s">
        <v>53</v>
      </c>
      <c r="G1495" t="s">
        <v>104</v>
      </c>
      <c r="H1495">
        <v>7</v>
      </c>
      <c r="I1495">
        <v>81.98</v>
      </c>
      <c r="J1495">
        <v>0</v>
      </c>
      <c r="K1495">
        <v>573.86</v>
      </c>
    </row>
    <row r="1496" spans="1:11" x14ac:dyDescent="0.35">
      <c r="A1496" t="s">
        <v>1874</v>
      </c>
      <c r="B1496" s="1">
        <v>45473</v>
      </c>
      <c r="C1496" t="s">
        <v>18</v>
      </c>
      <c r="D1496" t="s">
        <v>57</v>
      </c>
      <c r="E1496" t="s">
        <v>448</v>
      </c>
      <c r="F1496" t="s">
        <v>53</v>
      </c>
      <c r="G1496" t="s">
        <v>54</v>
      </c>
      <c r="H1496">
        <v>2</v>
      </c>
      <c r="I1496">
        <v>236.7</v>
      </c>
      <c r="J1496">
        <v>0.05</v>
      </c>
      <c r="K1496">
        <v>449.73</v>
      </c>
    </row>
    <row r="1497" spans="1:11" x14ac:dyDescent="0.35">
      <c r="A1497" t="s">
        <v>1875</v>
      </c>
      <c r="B1497" s="1">
        <v>45628</v>
      </c>
      <c r="C1497" t="s">
        <v>24</v>
      </c>
      <c r="D1497" t="s">
        <v>13</v>
      </c>
      <c r="E1497" t="s">
        <v>833</v>
      </c>
      <c r="F1497" t="s">
        <v>21</v>
      </c>
      <c r="G1497" t="s">
        <v>167</v>
      </c>
      <c r="H1497">
        <v>8</v>
      </c>
      <c r="I1497">
        <v>70.56</v>
      </c>
      <c r="J1497">
        <v>0</v>
      </c>
      <c r="K1497">
        <v>564.48</v>
      </c>
    </row>
    <row r="1498" spans="1:11" x14ac:dyDescent="0.35">
      <c r="A1498" t="s">
        <v>1876</v>
      </c>
      <c r="B1498" s="1">
        <v>45575</v>
      </c>
      <c r="C1498" t="s">
        <v>90</v>
      </c>
      <c r="D1498" t="s">
        <v>42</v>
      </c>
      <c r="E1498" t="s">
        <v>716</v>
      </c>
      <c r="F1498" t="s">
        <v>21</v>
      </c>
      <c r="G1498" t="s">
        <v>22</v>
      </c>
      <c r="H1498">
        <v>9</v>
      </c>
      <c r="I1498">
        <v>241.74</v>
      </c>
      <c r="J1498">
        <v>0</v>
      </c>
      <c r="K1498">
        <v>2175.66</v>
      </c>
    </row>
    <row r="1499" spans="1:11" x14ac:dyDescent="0.35">
      <c r="A1499" t="s">
        <v>1877</v>
      </c>
      <c r="B1499" s="1">
        <v>45380</v>
      </c>
      <c r="C1499" t="s">
        <v>90</v>
      </c>
      <c r="D1499" t="s">
        <v>42</v>
      </c>
      <c r="E1499" t="s">
        <v>62</v>
      </c>
      <c r="F1499" t="s">
        <v>35</v>
      </c>
      <c r="G1499" t="s">
        <v>177</v>
      </c>
      <c r="H1499">
        <v>3</v>
      </c>
      <c r="I1499">
        <v>57.61</v>
      </c>
      <c r="J1499">
        <v>0</v>
      </c>
      <c r="K1499">
        <v>172.83</v>
      </c>
    </row>
    <row r="1500" spans="1:11" x14ac:dyDescent="0.35">
      <c r="A1500" t="s">
        <v>1878</v>
      </c>
      <c r="B1500" s="2">
        <v>45627</v>
      </c>
      <c r="C1500" t="s">
        <v>41</v>
      </c>
      <c r="D1500" t="s">
        <v>13</v>
      </c>
      <c r="E1500" t="s">
        <v>164</v>
      </c>
      <c r="F1500" t="s">
        <v>53</v>
      </c>
      <c r="G1500" t="s">
        <v>54</v>
      </c>
      <c r="H1500">
        <v>7</v>
      </c>
      <c r="I1500">
        <v>117.74</v>
      </c>
      <c r="J1500">
        <v>0.15</v>
      </c>
      <c r="K1500">
        <v>700.55</v>
      </c>
    </row>
    <row r="1501" spans="1:11" x14ac:dyDescent="0.35">
      <c r="A1501" t="s">
        <v>1879</v>
      </c>
      <c r="B1501" t="s">
        <v>1880</v>
      </c>
      <c r="C1501" t="s">
        <v>56</v>
      </c>
      <c r="D1501" t="s">
        <v>19</v>
      </c>
      <c r="E1501" t="s">
        <v>437</v>
      </c>
      <c r="F1501" t="s">
        <v>21</v>
      </c>
      <c r="G1501" t="s">
        <v>194</v>
      </c>
      <c r="H1501">
        <v>12</v>
      </c>
      <c r="I1501">
        <v>204.87</v>
      </c>
      <c r="J1501">
        <v>0.15</v>
      </c>
      <c r="K1501">
        <v>2089.67</v>
      </c>
    </row>
    <row r="1502" spans="1:11" x14ac:dyDescent="0.35">
      <c r="A1502" t="s">
        <v>1881</v>
      </c>
      <c r="B1502" s="1">
        <v>45409</v>
      </c>
      <c r="C1502" t="s">
        <v>79</v>
      </c>
      <c r="D1502" t="s">
        <v>57</v>
      </c>
      <c r="E1502" t="s">
        <v>951</v>
      </c>
      <c r="F1502" t="s">
        <v>15</v>
      </c>
      <c r="G1502" t="s">
        <v>111</v>
      </c>
      <c r="H1502">
        <v>11</v>
      </c>
      <c r="I1502">
        <v>249.9</v>
      </c>
      <c r="J1502">
        <v>0</v>
      </c>
      <c r="K1502">
        <v>2748.9</v>
      </c>
    </row>
    <row r="1503" spans="1:11" x14ac:dyDescent="0.35">
      <c r="A1503" t="s">
        <v>1882</v>
      </c>
      <c r="B1503" s="2">
        <v>45304</v>
      </c>
      <c r="C1503" t="s">
        <v>56</v>
      </c>
      <c r="D1503" t="s">
        <v>57</v>
      </c>
      <c r="E1503" t="s">
        <v>88</v>
      </c>
      <c r="F1503" t="s">
        <v>44</v>
      </c>
      <c r="G1503" t="s">
        <v>107</v>
      </c>
      <c r="H1503">
        <v>3</v>
      </c>
      <c r="I1503">
        <v>233.11</v>
      </c>
      <c r="J1503">
        <v>0.05</v>
      </c>
      <c r="K1503">
        <v>664.36</v>
      </c>
    </row>
    <row r="1504" spans="1:11" x14ac:dyDescent="0.35">
      <c r="A1504" t="s">
        <v>1883</v>
      </c>
      <c r="B1504" s="1">
        <v>45509</v>
      </c>
      <c r="C1504" t="s">
        <v>38</v>
      </c>
      <c r="D1504" t="s">
        <v>25</v>
      </c>
      <c r="E1504" t="s">
        <v>238</v>
      </c>
      <c r="F1504" t="s">
        <v>53</v>
      </c>
      <c r="G1504" t="s">
        <v>59</v>
      </c>
      <c r="H1504">
        <v>1</v>
      </c>
      <c r="I1504">
        <v>31.93</v>
      </c>
      <c r="J1504">
        <v>0</v>
      </c>
      <c r="K1504">
        <v>31.93</v>
      </c>
    </row>
    <row r="1505" spans="1:11" x14ac:dyDescent="0.35">
      <c r="A1505" t="s">
        <v>1884</v>
      </c>
      <c r="B1505" s="2">
        <v>45302</v>
      </c>
      <c r="C1505" t="s">
        <v>12</v>
      </c>
      <c r="D1505" t="s">
        <v>19</v>
      </c>
      <c r="E1505" t="s">
        <v>506</v>
      </c>
      <c r="F1505" t="s">
        <v>35</v>
      </c>
      <c r="G1505" t="s">
        <v>83</v>
      </c>
      <c r="H1505">
        <v>6</v>
      </c>
      <c r="I1505">
        <v>149.06</v>
      </c>
      <c r="J1505">
        <v>0.05</v>
      </c>
      <c r="K1505">
        <v>849.64</v>
      </c>
    </row>
    <row r="1506" spans="1:11" x14ac:dyDescent="0.35">
      <c r="A1506" t="s">
        <v>1885</v>
      </c>
      <c r="B1506" s="1">
        <v>45296</v>
      </c>
      <c r="C1506" t="s">
        <v>38</v>
      </c>
      <c r="D1506" t="s">
        <v>19</v>
      </c>
      <c r="E1506" t="s">
        <v>477</v>
      </c>
      <c r="F1506" t="s">
        <v>44</v>
      </c>
      <c r="G1506" t="s">
        <v>45</v>
      </c>
      <c r="H1506">
        <v>10</v>
      </c>
      <c r="I1506">
        <v>10.62</v>
      </c>
      <c r="J1506">
        <v>0</v>
      </c>
      <c r="K1506">
        <v>106.2</v>
      </c>
    </row>
    <row r="1507" spans="1:11" x14ac:dyDescent="0.35">
      <c r="A1507" t="s">
        <v>1886</v>
      </c>
      <c r="B1507" t="s">
        <v>1887</v>
      </c>
      <c r="C1507" t="s">
        <v>72</v>
      </c>
      <c r="D1507" t="s">
        <v>19</v>
      </c>
      <c r="E1507" t="s">
        <v>771</v>
      </c>
      <c r="F1507" t="s">
        <v>53</v>
      </c>
      <c r="G1507" t="s">
        <v>63</v>
      </c>
      <c r="H1507">
        <v>3</v>
      </c>
      <c r="I1507">
        <v>58.66</v>
      </c>
      <c r="J1507">
        <v>0</v>
      </c>
      <c r="K1507">
        <v>175.98</v>
      </c>
    </row>
    <row r="1508" spans="1:11" x14ac:dyDescent="0.35">
      <c r="A1508" t="s">
        <v>1888</v>
      </c>
      <c r="B1508" s="1">
        <v>45296</v>
      </c>
      <c r="C1508" t="s">
        <v>29</v>
      </c>
      <c r="D1508" t="s">
        <v>57</v>
      </c>
      <c r="E1508" t="s">
        <v>663</v>
      </c>
      <c r="F1508" t="s">
        <v>15</v>
      </c>
      <c r="G1508" t="s">
        <v>74</v>
      </c>
      <c r="H1508">
        <v>1</v>
      </c>
      <c r="I1508">
        <v>27.54</v>
      </c>
      <c r="J1508">
        <v>0</v>
      </c>
      <c r="K1508">
        <v>27.54</v>
      </c>
    </row>
    <row r="1509" spans="1:11" x14ac:dyDescent="0.35">
      <c r="A1509" t="s">
        <v>1889</v>
      </c>
      <c r="B1509" t="s">
        <v>1031</v>
      </c>
      <c r="C1509" t="s">
        <v>56</v>
      </c>
      <c r="D1509" t="s">
        <v>19</v>
      </c>
      <c r="E1509" t="s">
        <v>535</v>
      </c>
      <c r="F1509" t="s">
        <v>35</v>
      </c>
      <c r="G1509" t="s">
        <v>36</v>
      </c>
      <c r="H1509">
        <v>0</v>
      </c>
      <c r="I1509">
        <v>217.72</v>
      </c>
      <c r="J1509">
        <v>0</v>
      </c>
      <c r="K1509">
        <v>2394.92</v>
      </c>
    </row>
    <row r="1510" spans="1:11" x14ac:dyDescent="0.35">
      <c r="A1510" t="s">
        <v>1890</v>
      </c>
      <c r="B1510" s="2">
        <v>45529</v>
      </c>
      <c r="C1510" t="s">
        <v>12</v>
      </c>
      <c r="D1510" t="s">
        <v>57</v>
      </c>
      <c r="E1510" t="s">
        <v>166</v>
      </c>
      <c r="F1510" t="s">
        <v>15</v>
      </c>
      <c r="G1510" t="s">
        <v>147</v>
      </c>
      <c r="H1510">
        <v>3</v>
      </c>
      <c r="I1510">
        <v>204.31</v>
      </c>
      <c r="J1510">
        <v>0</v>
      </c>
      <c r="K1510">
        <v>612.92999999999995</v>
      </c>
    </row>
    <row r="1511" spans="1:11" x14ac:dyDescent="0.35">
      <c r="A1511" t="s">
        <v>1891</v>
      </c>
      <c r="B1511" s="1">
        <v>45539</v>
      </c>
      <c r="C1511" t="s">
        <v>79</v>
      </c>
      <c r="D1511" t="s">
        <v>42</v>
      </c>
      <c r="E1511" t="s">
        <v>334</v>
      </c>
      <c r="F1511" t="s">
        <v>15</v>
      </c>
      <c r="G1511" t="s">
        <v>16</v>
      </c>
      <c r="H1511">
        <v>10</v>
      </c>
      <c r="I1511">
        <v>63.12</v>
      </c>
      <c r="J1511">
        <v>0</v>
      </c>
      <c r="K1511">
        <v>631.20000000000005</v>
      </c>
    </row>
    <row r="1512" spans="1:11" x14ac:dyDescent="0.35">
      <c r="A1512" t="s">
        <v>1892</v>
      </c>
      <c r="B1512" s="2">
        <v>45632</v>
      </c>
      <c r="C1512" t="s">
        <v>24</v>
      </c>
      <c r="D1512" t="s">
        <v>42</v>
      </c>
      <c r="E1512" t="s">
        <v>263</v>
      </c>
      <c r="F1512" t="s">
        <v>53</v>
      </c>
      <c r="G1512" t="s">
        <v>125</v>
      </c>
      <c r="H1512">
        <v>9</v>
      </c>
      <c r="I1512">
        <v>85.14</v>
      </c>
      <c r="J1512">
        <v>0</v>
      </c>
      <c r="K1512">
        <v>766.26</v>
      </c>
    </row>
    <row r="1513" spans="1:11" x14ac:dyDescent="0.35">
      <c r="A1513" t="s">
        <v>1893</v>
      </c>
      <c r="B1513" s="1">
        <v>45535</v>
      </c>
      <c r="C1513" t="s">
        <v>72</v>
      </c>
      <c r="D1513" t="s">
        <v>42</v>
      </c>
      <c r="E1513" t="s">
        <v>77</v>
      </c>
      <c r="F1513" t="s">
        <v>21</v>
      </c>
      <c r="G1513" t="s">
        <v>22</v>
      </c>
      <c r="H1513">
        <v>7</v>
      </c>
      <c r="I1513">
        <v>63.35</v>
      </c>
      <c r="J1513">
        <v>0.05</v>
      </c>
      <c r="K1513">
        <v>421.28</v>
      </c>
    </row>
    <row r="1514" spans="1:11" x14ac:dyDescent="0.35">
      <c r="A1514" t="s">
        <v>1894</v>
      </c>
      <c r="B1514" s="1">
        <v>45364</v>
      </c>
      <c r="C1514" t="s">
        <v>65</v>
      </c>
      <c r="D1514" t="s">
        <v>42</v>
      </c>
      <c r="E1514" t="s">
        <v>865</v>
      </c>
      <c r="F1514" t="s">
        <v>44</v>
      </c>
      <c r="G1514" t="s">
        <v>94</v>
      </c>
      <c r="H1514">
        <v>1</v>
      </c>
      <c r="I1514">
        <v>228.48</v>
      </c>
      <c r="J1514">
        <v>0</v>
      </c>
      <c r="K1514">
        <v>228.48</v>
      </c>
    </row>
    <row r="1515" spans="1:11" x14ac:dyDescent="0.35">
      <c r="A1515" t="s">
        <v>1895</v>
      </c>
      <c r="B1515" t="s">
        <v>1896</v>
      </c>
      <c r="C1515" t="s">
        <v>102</v>
      </c>
      <c r="D1515" t="s">
        <v>19</v>
      </c>
      <c r="E1515" t="s">
        <v>720</v>
      </c>
      <c r="F1515" t="s">
        <v>15</v>
      </c>
      <c r="G1515" t="s">
        <v>16</v>
      </c>
      <c r="H1515">
        <v>3</v>
      </c>
      <c r="I1515">
        <v>179.39</v>
      </c>
      <c r="J1515">
        <v>0.1</v>
      </c>
      <c r="K1515">
        <v>484.35</v>
      </c>
    </row>
    <row r="1516" spans="1:11" x14ac:dyDescent="0.35">
      <c r="A1516" t="s">
        <v>1897</v>
      </c>
      <c r="B1516" s="1">
        <v>45424</v>
      </c>
      <c r="C1516" t="s">
        <v>12</v>
      </c>
      <c r="D1516" t="s">
        <v>57</v>
      </c>
      <c r="E1516" t="s">
        <v>825</v>
      </c>
      <c r="F1516" t="s">
        <v>15</v>
      </c>
      <c r="G1516" t="s">
        <v>74</v>
      </c>
      <c r="H1516">
        <v>10</v>
      </c>
      <c r="I1516">
        <v>162.22</v>
      </c>
      <c r="J1516">
        <v>0</v>
      </c>
      <c r="K1516">
        <v>1622.2</v>
      </c>
    </row>
    <row r="1517" spans="1:11" x14ac:dyDescent="0.35">
      <c r="A1517" t="s">
        <v>1898</v>
      </c>
      <c r="B1517" s="1">
        <v>45616</v>
      </c>
      <c r="C1517" t="s">
        <v>48</v>
      </c>
      <c r="D1517" t="s">
        <v>13</v>
      </c>
      <c r="E1517" t="s">
        <v>1155</v>
      </c>
      <c r="F1517" t="s">
        <v>15</v>
      </c>
      <c r="G1517" t="s">
        <v>27</v>
      </c>
      <c r="H1517">
        <v>11</v>
      </c>
      <c r="I1517">
        <v>64.3</v>
      </c>
      <c r="J1517">
        <v>0</v>
      </c>
      <c r="K1517">
        <v>707.3</v>
      </c>
    </row>
    <row r="1518" spans="1:11" x14ac:dyDescent="0.35">
      <c r="A1518" t="s">
        <v>1899</v>
      </c>
      <c r="B1518" s="1">
        <v>45578</v>
      </c>
      <c r="C1518" t="s">
        <v>33</v>
      </c>
      <c r="D1518" t="s">
        <v>25</v>
      </c>
      <c r="E1518" t="s">
        <v>448</v>
      </c>
      <c r="F1518" t="s">
        <v>15</v>
      </c>
      <c r="G1518" t="s">
        <v>74</v>
      </c>
      <c r="H1518">
        <v>12</v>
      </c>
      <c r="I1518">
        <v>104.92</v>
      </c>
      <c r="J1518">
        <v>0</v>
      </c>
      <c r="K1518">
        <v>1259.04</v>
      </c>
    </row>
    <row r="1519" spans="1:11" x14ac:dyDescent="0.35">
      <c r="A1519" t="s">
        <v>1900</v>
      </c>
      <c r="B1519" s="1">
        <v>45499</v>
      </c>
      <c r="C1519" t="s">
        <v>56</v>
      </c>
      <c r="D1519" t="s">
        <v>19</v>
      </c>
      <c r="E1519" t="s">
        <v>139</v>
      </c>
      <c r="F1519" t="s">
        <v>21</v>
      </c>
      <c r="G1519" t="s">
        <v>167</v>
      </c>
      <c r="H1519">
        <v>12</v>
      </c>
      <c r="I1519">
        <v>78.09</v>
      </c>
      <c r="J1519">
        <v>0.05</v>
      </c>
      <c r="K1519">
        <v>890.23</v>
      </c>
    </row>
    <row r="1520" spans="1:11" x14ac:dyDescent="0.35">
      <c r="A1520" t="s">
        <v>1901</v>
      </c>
      <c r="B1520" t="s">
        <v>1902</v>
      </c>
      <c r="C1520" t="s">
        <v>41</v>
      </c>
      <c r="D1520" t="s">
        <v>57</v>
      </c>
      <c r="E1520" t="s">
        <v>219</v>
      </c>
      <c r="F1520" t="s">
        <v>44</v>
      </c>
      <c r="G1520" t="s">
        <v>86</v>
      </c>
      <c r="H1520">
        <v>3</v>
      </c>
      <c r="I1520">
        <v>149.58000000000001</v>
      </c>
      <c r="J1520">
        <v>0</v>
      </c>
      <c r="K1520">
        <v>448.74</v>
      </c>
    </row>
    <row r="1521" spans="1:11" x14ac:dyDescent="0.35">
      <c r="A1521" t="s">
        <v>1903</v>
      </c>
      <c r="B1521" s="1">
        <v>45530</v>
      </c>
      <c r="C1521" t="s">
        <v>102</v>
      </c>
      <c r="D1521" t="s">
        <v>25</v>
      </c>
      <c r="E1521" t="s">
        <v>472</v>
      </c>
      <c r="F1521" t="s">
        <v>53</v>
      </c>
      <c r="G1521" t="s">
        <v>59</v>
      </c>
      <c r="H1521">
        <v>12</v>
      </c>
      <c r="I1521">
        <v>26.03</v>
      </c>
      <c r="J1521">
        <v>0</v>
      </c>
      <c r="K1521">
        <v>312.36</v>
      </c>
    </row>
    <row r="1522" spans="1:11" x14ac:dyDescent="0.35">
      <c r="A1522" t="s">
        <v>1904</v>
      </c>
      <c r="B1522" t="s">
        <v>1905</v>
      </c>
      <c r="C1522" t="s">
        <v>41</v>
      </c>
      <c r="D1522" t="s">
        <v>13</v>
      </c>
      <c r="E1522" t="s">
        <v>317</v>
      </c>
      <c r="F1522" t="s">
        <v>35</v>
      </c>
      <c r="G1522" t="s">
        <v>177</v>
      </c>
      <c r="H1522">
        <v>5</v>
      </c>
      <c r="I1522">
        <v>246.06</v>
      </c>
      <c r="J1522">
        <v>0</v>
      </c>
      <c r="K1522">
        <v>1230.3</v>
      </c>
    </row>
    <row r="1523" spans="1:11" x14ac:dyDescent="0.35">
      <c r="A1523" t="s">
        <v>1906</v>
      </c>
      <c r="B1523" s="1">
        <v>45460</v>
      </c>
      <c r="C1523" t="s">
        <v>41</v>
      </c>
      <c r="D1523" t="s">
        <v>57</v>
      </c>
      <c r="E1523" t="s">
        <v>150</v>
      </c>
      <c r="F1523" t="s">
        <v>21</v>
      </c>
      <c r="G1523" t="s">
        <v>22</v>
      </c>
      <c r="H1523">
        <v>9</v>
      </c>
      <c r="I1523">
        <v>71.510000000000005</v>
      </c>
      <c r="J1523">
        <v>0.15</v>
      </c>
      <c r="K1523">
        <v>547.04999999999995</v>
      </c>
    </row>
    <row r="1524" spans="1:11" x14ac:dyDescent="0.35">
      <c r="A1524" t="s">
        <v>1907</v>
      </c>
      <c r="B1524" s="1">
        <v>45569</v>
      </c>
      <c r="C1524" t="s">
        <v>24</v>
      </c>
      <c r="D1524" t="s">
        <v>13</v>
      </c>
      <c r="E1524" t="s">
        <v>562</v>
      </c>
      <c r="F1524" t="s">
        <v>21</v>
      </c>
      <c r="G1524" t="s">
        <v>129</v>
      </c>
      <c r="H1524">
        <v>5</v>
      </c>
      <c r="I1524">
        <v>53.42</v>
      </c>
      <c r="J1524">
        <v>0.05</v>
      </c>
      <c r="K1524">
        <v>253.75</v>
      </c>
    </row>
    <row r="1525" spans="1:11" x14ac:dyDescent="0.35">
      <c r="A1525" t="s">
        <v>1908</v>
      </c>
      <c r="B1525" s="1">
        <v>45484</v>
      </c>
      <c r="C1525" t="s">
        <v>24</v>
      </c>
      <c r="D1525" t="s">
        <v>57</v>
      </c>
      <c r="E1525" t="s">
        <v>284</v>
      </c>
      <c r="F1525" t="s">
        <v>15</v>
      </c>
      <c r="G1525" t="s">
        <v>147</v>
      </c>
      <c r="H1525">
        <v>4</v>
      </c>
      <c r="I1525">
        <v>135.86000000000001</v>
      </c>
      <c r="J1525">
        <v>0</v>
      </c>
      <c r="K1525">
        <v>543.44000000000005</v>
      </c>
    </row>
    <row r="1526" spans="1:11" x14ac:dyDescent="0.35">
      <c r="A1526" t="s">
        <v>1909</v>
      </c>
      <c r="B1526" s="1">
        <v>45301</v>
      </c>
      <c r="C1526" t="s">
        <v>72</v>
      </c>
      <c r="D1526" t="s">
        <v>25</v>
      </c>
      <c r="E1526" t="s">
        <v>508</v>
      </c>
      <c r="F1526" t="s">
        <v>21</v>
      </c>
      <c r="G1526" t="s">
        <v>22</v>
      </c>
      <c r="H1526">
        <v>7</v>
      </c>
      <c r="I1526">
        <v>20.53</v>
      </c>
      <c r="J1526">
        <v>0</v>
      </c>
      <c r="K1526">
        <v>143.71</v>
      </c>
    </row>
    <row r="1527" spans="1:11" x14ac:dyDescent="0.35">
      <c r="A1527" t="s">
        <v>1910</v>
      </c>
      <c r="B1527" s="1">
        <v>45307</v>
      </c>
      <c r="C1527" t="s">
        <v>72</v>
      </c>
      <c r="D1527" t="s">
        <v>25</v>
      </c>
      <c r="E1527" t="s">
        <v>404</v>
      </c>
      <c r="F1527" t="s">
        <v>44</v>
      </c>
      <c r="G1527" t="s">
        <v>94</v>
      </c>
      <c r="H1527">
        <v>3</v>
      </c>
      <c r="I1527">
        <v>131.91</v>
      </c>
      <c r="J1527">
        <v>0</v>
      </c>
      <c r="K1527">
        <v>395.73</v>
      </c>
    </row>
    <row r="1528" spans="1:11" x14ac:dyDescent="0.35">
      <c r="A1528" t="s">
        <v>1911</v>
      </c>
      <c r="B1528" s="1">
        <v>45498</v>
      </c>
      <c r="C1528" t="s">
        <v>56</v>
      </c>
      <c r="D1528" t="s">
        <v>57</v>
      </c>
      <c r="E1528" t="s">
        <v>128</v>
      </c>
      <c r="F1528" t="s">
        <v>35</v>
      </c>
      <c r="G1528" t="s">
        <v>177</v>
      </c>
      <c r="H1528">
        <v>2</v>
      </c>
      <c r="I1528">
        <v>201.15</v>
      </c>
      <c r="J1528">
        <v>0</v>
      </c>
      <c r="K1528">
        <v>402.3</v>
      </c>
    </row>
    <row r="1529" spans="1:11" x14ac:dyDescent="0.35">
      <c r="A1529" t="s">
        <v>1912</v>
      </c>
      <c r="B1529" s="1">
        <v>45318</v>
      </c>
      <c r="C1529" t="s">
        <v>90</v>
      </c>
      <c r="D1529" t="s">
        <v>19</v>
      </c>
      <c r="E1529" t="s">
        <v>14</v>
      </c>
      <c r="F1529" t="s">
        <v>15</v>
      </c>
      <c r="G1529" t="s">
        <v>111</v>
      </c>
      <c r="H1529">
        <v>8</v>
      </c>
      <c r="I1529">
        <v>221.47</v>
      </c>
      <c r="J1529">
        <v>0.05</v>
      </c>
      <c r="K1529">
        <v>1683.17</v>
      </c>
    </row>
    <row r="1530" spans="1:11" x14ac:dyDescent="0.35">
      <c r="A1530" t="s">
        <v>1913</v>
      </c>
      <c r="B1530" s="1">
        <v>45515</v>
      </c>
      <c r="C1530" t="s">
        <v>38</v>
      </c>
      <c r="D1530" t="s">
        <v>57</v>
      </c>
      <c r="E1530" t="s">
        <v>212</v>
      </c>
      <c r="F1530" t="s">
        <v>44</v>
      </c>
      <c r="G1530" t="s">
        <v>94</v>
      </c>
      <c r="H1530">
        <v>2</v>
      </c>
      <c r="I1530">
        <v>117.64</v>
      </c>
      <c r="J1530">
        <v>0</v>
      </c>
      <c r="K1530">
        <v>235.28</v>
      </c>
    </row>
    <row r="1531" spans="1:11" x14ac:dyDescent="0.35">
      <c r="A1531" t="s">
        <v>1914</v>
      </c>
      <c r="B1531" s="1">
        <v>45631</v>
      </c>
      <c r="C1531" t="s">
        <v>79</v>
      </c>
      <c r="D1531" t="s">
        <v>57</v>
      </c>
      <c r="E1531" t="s">
        <v>674</v>
      </c>
      <c r="F1531" t="s">
        <v>15</v>
      </c>
      <c r="G1531" t="s">
        <v>147</v>
      </c>
      <c r="H1531">
        <v>11</v>
      </c>
      <c r="I1531">
        <v>174.22</v>
      </c>
      <c r="J1531">
        <v>0</v>
      </c>
      <c r="K1531">
        <v>1916.42</v>
      </c>
    </row>
    <row r="1532" spans="1:11" x14ac:dyDescent="0.35">
      <c r="A1532" t="s">
        <v>1915</v>
      </c>
      <c r="B1532" s="1">
        <v>45451</v>
      </c>
      <c r="C1532" t="s">
        <v>102</v>
      </c>
      <c r="D1532" t="s">
        <v>57</v>
      </c>
      <c r="E1532" t="s">
        <v>357</v>
      </c>
      <c r="F1532" t="s">
        <v>44</v>
      </c>
      <c r="G1532" t="s">
        <v>94</v>
      </c>
      <c r="H1532">
        <v>9</v>
      </c>
      <c r="I1532">
        <v>203.09</v>
      </c>
      <c r="J1532">
        <v>0.15</v>
      </c>
      <c r="K1532">
        <v>1553.64</v>
      </c>
    </row>
    <row r="1533" spans="1:11" x14ac:dyDescent="0.35">
      <c r="A1533" t="s">
        <v>1916</v>
      </c>
      <c r="B1533" s="2">
        <v>45651</v>
      </c>
      <c r="C1533" t="s">
        <v>12</v>
      </c>
      <c r="D1533" t="s">
        <v>42</v>
      </c>
      <c r="E1533" t="s">
        <v>506</v>
      </c>
      <c r="F1533" t="s">
        <v>44</v>
      </c>
      <c r="G1533" t="s">
        <v>94</v>
      </c>
      <c r="H1533">
        <v>9</v>
      </c>
      <c r="I1533">
        <v>25.19</v>
      </c>
      <c r="J1533">
        <v>0.1</v>
      </c>
      <c r="K1533">
        <v>204.04</v>
      </c>
    </row>
    <row r="1534" spans="1:11" x14ac:dyDescent="0.35">
      <c r="A1534" t="s">
        <v>1917</v>
      </c>
      <c r="B1534" s="1">
        <v>45650</v>
      </c>
      <c r="C1534" t="s">
        <v>56</v>
      </c>
      <c r="D1534" t="s">
        <v>42</v>
      </c>
      <c r="E1534" t="s">
        <v>248</v>
      </c>
      <c r="F1534" t="s">
        <v>21</v>
      </c>
      <c r="G1534" t="s">
        <v>194</v>
      </c>
      <c r="H1534">
        <v>7</v>
      </c>
      <c r="I1534">
        <v>94.44</v>
      </c>
      <c r="J1534">
        <v>0</v>
      </c>
      <c r="K1534">
        <v>661.08</v>
      </c>
    </row>
    <row r="1535" spans="1:11" x14ac:dyDescent="0.35">
      <c r="A1535" t="s">
        <v>1918</v>
      </c>
      <c r="B1535" s="2">
        <v>45558</v>
      </c>
      <c r="C1535" t="s">
        <v>90</v>
      </c>
      <c r="D1535" t="s">
        <v>57</v>
      </c>
      <c r="E1535" t="s">
        <v>370</v>
      </c>
      <c r="F1535" t="s">
        <v>15</v>
      </c>
      <c r="G1535" t="s">
        <v>74</v>
      </c>
      <c r="H1535">
        <v>5</v>
      </c>
      <c r="I1535">
        <v>163.77000000000001</v>
      </c>
      <c r="J1535">
        <v>0</v>
      </c>
      <c r="K1535">
        <v>818.85</v>
      </c>
    </row>
    <row r="1536" spans="1:11" x14ac:dyDescent="0.35">
      <c r="A1536" t="s">
        <v>1919</v>
      </c>
      <c r="B1536" s="1">
        <v>45485</v>
      </c>
      <c r="C1536" t="s">
        <v>48</v>
      </c>
      <c r="D1536" t="s">
        <v>25</v>
      </c>
      <c r="E1536" t="s">
        <v>429</v>
      </c>
      <c r="F1536" t="s">
        <v>53</v>
      </c>
      <c r="G1536" t="s">
        <v>63</v>
      </c>
      <c r="H1536">
        <v>12</v>
      </c>
      <c r="I1536">
        <v>71.959999999999994</v>
      </c>
      <c r="J1536">
        <v>0.15</v>
      </c>
      <c r="K1536">
        <v>733.99</v>
      </c>
    </row>
    <row r="1537" spans="1:11" x14ac:dyDescent="0.35">
      <c r="A1537" t="s">
        <v>1920</v>
      </c>
      <c r="B1537" s="2">
        <v>45543</v>
      </c>
      <c r="C1537" t="s">
        <v>12</v>
      </c>
      <c r="D1537" t="s">
        <v>25</v>
      </c>
      <c r="E1537" t="s">
        <v>193</v>
      </c>
      <c r="F1537" t="s">
        <v>21</v>
      </c>
      <c r="G1537" t="s">
        <v>70</v>
      </c>
      <c r="H1537">
        <v>12</v>
      </c>
      <c r="I1537">
        <v>152.63999999999999</v>
      </c>
      <c r="J1537">
        <v>0</v>
      </c>
      <c r="K1537">
        <v>1831.68</v>
      </c>
    </row>
    <row r="1538" spans="1:11" x14ac:dyDescent="0.35">
      <c r="A1538" t="s">
        <v>1921</v>
      </c>
      <c r="B1538" s="2">
        <v>45431</v>
      </c>
      <c r="C1538" t="s">
        <v>72</v>
      </c>
      <c r="D1538" t="s">
        <v>57</v>
      </c>
      <c r="E1538" t="s">
        <v>30</v>
      </c>
      <c r="F1538" t="s">
        <v>44</v>
      </c>
      <c r="G1538" t="s">
        <v>45</v>
      </c>
      <c r="H1538">
        <v>12</v>
      </c>
      <c r="I1538">
        <v>38.049999999999997</v>
      </c>
      <c r="J1538">
        <v>0.05</v>
      </c>
      <c r="K1538">
        <v>433.77</v>
      </c>
    </row>
    <row r="1539" spans="1:11" x14ac:dyDescent="0.35">
      <c r="A1539" t="s">
        <v>1922</v>
      </c>
      <c r="B1539" s="1">
        <v>45354</v>
      </c>
      <c r="C1539" t="s">
        <v>65</v>
      </c>
      <c r="D1539" t="s">
        <v>42</v>
      </c>
      <c r="E1539" t="s">
        <v>80</v>
      </c>
      <c r="F1539" t="s">
        <v>44</v>
      </c>
      <c r="G1539" t="s">
        <v>45</v>
      </c>
      <c r="H1539">
        <v>5</v>
      </c>
      <c r="I1539">
        <v>139.19999999999999</v>
      </c>
      <c r="J1539">
        <v>0</v>
      </c>
      <c r="K1539">
        <v>696</v>
      </c>
    </row>
    <row r="1540" spans="1:11" x14ac:dyDescent="0.35">
      <c r="A1540" t="s">
        <v>1923</v>
      </c>
      <c r="B1540" s="1">
        <v>45467</v>
      </c>
      <c r="C1540" t="s">
        <v>79</v>
      </c>
      <c r="D1540" t="s">
        <v>25</v>
      </c>
      <c r="E1540" t="s">
        <v>608</v>
      </c>
      <c r="F1540" t="s">
        <v>35</v>
      </c>
      <c r="G1540" t="s">
        <v>134</v>
      </c>
      <c r="H1540">
        <v>12</v>
      </c>
      <c r="I1540">
        <v>170.59</v>
      </c>
      <c r="J1540">
        <v>0.15</v>
      </c>
      <c r="K1540">
        <v>1740.02</v>
      </c>
    </row>
    <row r="1541" spans="1:11" x14ac:dyDescent="0.35">
      <c r="A1541" t="s">
        <v>1924</v>
      </c>
      <c r="B1541" s="1">
        <v>45627</v>
      </c>
      <c r="C1541" t="s">
        <v>48</v>
      </c>
      <c r="D1541" t="s">
        <v>42</v>
      </c>
      <c r="F1541" t="s">
        <v>53</v>
      </c>
      <c r="G1541" t="s">
        <v>59</v>
      </c>
      <c r="H1541">
        <v>4</v>
      </c>
      <c r="I1541">
        <v>188.1</v>
      </c>
      <c r="J1541">
        <v>0</v>
      </c>
      <c r="K1541">
        <v>752.4</v>
      </c>
    </row>
    <row r="1542" spans="1:11" x14ac:dyDescent="0.35">
      <c r="A1542" t="s">
        <v>1925</v>
      </c>
      <c r="B1542" s="1">
        <v>45598</v>
      </c>
      <c r="C1542" t="s">
        <v>33</v>
      </c>
      <c r="D1542" t="s">
        <v>42</v>
      </c>
      <c r="E1542" t="s">
        <v>1037</v>
      </c>
      <c r="F1542" t="s">
        <v>21</v>
      </c>
      <c r="G1542" t="s">
        <v>22</v>
      </c>
      <c r="H1542">
        <v>12</v>
      </c>
      <c r="I1542">
        <v>220.23</v>
      </c>
      <c r="J1542">
        <v>0.15</v>
      </c>
      <c r="K1542">
        <v>2246.35</v>
      </c>
    </row>
    <row r="1543" spans="1:11" x14ac:dyDescent="0.35">
      <c r="A1543" t="s">
        <v>1926</v>
      </c>
      <c r="B1543" s="1">
        <v>45381</v>
      </c>
      <c r="C1543" t="s">
        <v>65</v>
      </c>
      <c r="D1543" t="s">
        <v>57</v>
      </c>
      <c r="E1543" t="s">
        <v>106</v>
      </c>
      <c r="F1543" t="s">
        <v>35</v>
      </c>
      <c r="G1543" t="s">
        <v>67</v>
      </c>
      <c r="H1543">
        <v>8</v>
      </c>
      <c r="I1543">
        <v>149.26</v>
      </c>
      <c r="J1543">
        <v>0</v>
      </c>
      <c r="K1543">
        <v>1194.08</v>
      </c>
    </row>
    <row r="1544" spans="1:11" x14ac:dyDescent="0.35">
      <c r="A1544" t="s">
        <v>1927</v>
      </c>
      <c r="B1544" s="1">
        <v>45398</v>
      </c>
      <c r="C1544" t="s">
        <v>29</v>
      </c>
      <c r="D1544" t="s">
        <v>57</v>
      </c>
      <c r="E1544" t="s">
        <v>113</v>
      </c>
      <c r="F1544" t="s">
        <v>44</v>
      </c>
      <c r="G1544" t="s">
        <v>94</v>
      </c>
      <c r="H1544">
        <v>6</v>
      </c>
      <c r="I1544">
        <v>200.89</v>
      </c>
      <c r="J1544">
        <v>0</v>
      </c>
      <c r="K1544">
        <v>1205.3399999999999</v>
      </c>
    </row>
    <row r="1545" spans="1:11" x14ac:dyDescent="0.35">
      <c r="A1545" t="s">
        <v>1928</v>
      </c>
      <c r="B1545" t="s">
        <v>1161</v>
      </c>
      <c r="C1545" t="s">
        <v>79</v>
      </c>
      <c r="D1545" t="s">
        <v>42</v>
      </c>
      <c r="E1545" t="s">
        <v>164</v>
      </c>
      <c r="F1545" t="s">
        <v>15</v>
      </c>
      <c r="G1545" t="s">
        <v>147</v>
      </c>
      <c r="H1545">
        <v>3</v>
      </c>
      <c r="I1545">
        <v>119.25</v>
      </c>
      <c r="J1545">
        <v>0.1</v>
      </c>
      <c r="K1545">
        <v>321.98</v>
      </c>
    </row>
    <row r="1546" spans="1:11" x14ac:dyDescent="0.35">
      <c r="A1546" t="s">
        <v>1929</v>
      </c>
      <c r="B1546" t="s">
        <v>1207</v>
      </c>
      <c r="C1546" t="s">
        <v>79</v>
      </c>
      <c r="D1546" t="s">
        <v>13</v>
      </c>
      <c r="E1546" t="s">
        <v>30</v>
      </c>
      <c r="F1546" t="s">
        <v>53</v>
      </c>
      <c r="G1546" t="s">
        <v>260</v>
      </c>
      <c r="H1546">
        <v>11</v>
      </c>
      <c r="I1546">
        <v>239.93</v>
      </c>
      <c r="J1546">
        <v>0</v>
      </c>
      <c r="K1546">
        <v>2639.23</v>
      </c>
    </row>
    <row r="1547" spans="1:11" x14ac:dyDescent="0.35">
      <c r="A1547" t="s">
        <v>1930</v>
      </c>
      <c r="B1547" s="2">
        <v>45404</v>
      </c>
      <c r="C1547" t="s">
        <v>65</v>
      </c>
      <c r="D1547" t="s">
        <v>57</v>
      </c>
      <c r="E1547" t="s">
        <v>751</v>
      </c>
      <c r="F1547" t="s">
        <v>21</v>
      </c>
      <c r="G1547" t="s">
        <v>167</v>
      </c>
      <c r="H1547">
        <v>3</v>
      </c>
      <c r="I1547">
        <v>229.21</v>
      </c>
      <c r="J1547">
        <v>0.15</v>
      </c>
      <c r="K1547">
        <v>584.49</v>
      </c>
    </row>
    <row r="1548" spans="1:11" x14ac:dyDescent="0.35">
      <c r="A1548" t="s">
        <v>1931</v>
      </c>
      <c r="B1548" t="s">
        <v>1493</v>
      </c>
      <c r="C1548" t="s">
        <v>56</v>
      </c>
      <c r="D1548" t="s">
        <v>25</v>
      </c>
      <c r="E1548" t="s">
        <v>137</v>
      </c>
      <c r="F1548" t="s">
        <v>35</v>
      </c>
      <c r="G1548" t="s">
        <v>83</v>
      </c>
      <c r="H1548">
        <v>2</v>
      </c>
      <c r="I1548">
        <v>119.99</v>
      </c>
      <c r="J1548">
        <v>0.15</v>
      </c>
      <c r="K1548">
        <v>203.98</v>
      </c>
    </row>
    <row r="1549" spans="1:11" x14ac:dyDescent="0.35">
      <c r="A1549" t="s">
        <v>1932</v>
      </c>
      <c r="B1549" s="1">
        <v>45452</v>
      </c>
      <c r="C1549" t="s">
        <v>102</v>
      </c>
      <c r="D1549" t="s">
        <v>19</v>
      </c>
      <c r="E1549" t="s">
        <v>52</v>
      </c>
      <c r="F1549" t="s">
        <v>35</v>
      </c>
      <c r="G1549" t="s">
        <v>134</v>
      </c>
      <c r="H1549">
        <v>4</v>
      </c>
      <c r="I1549">
        <v>188.83</v>
      </c>
      <c r="J1549">
        <v>0.05</v>
      </c>
      <c r="K1549">
        <v>717.55</v>
      </c>
    </row>
    <row r="1550" spans="1:11" x14ac:dyDescent="0.35">
      <c r="A1550" t="s">
        <v>1933</v>
      </c>
      <c r="B1550" s="1">
        <v>45415</v>
      </c>
      <c r="C1550" t="s">
        <v>90</v>
      </c>
      <c r="D1550" t="s">
        <v>13</v>
      </c>
      <c r="E1550" t="s">
        <v>638</v>
      </c>
      <c r="F1550" t="s">
        <v>21</v>
      </c>
      <c r="G1550" t="s">
        <v>129</v>
      </c>
      <c r="H1550">
        <v>4</v>
      </c>
      <c r="I1550">
        <v>55.66</v>
      </c>
      <c r="J1550">
        <v>0</v>
      </c>
      <c r="K1550">
        <v>222.64</v>
      </c>
    </row>
    <row r="1551" spans="1:11" x14ac:dyDescent="0.35">
      <c r="A1551" t="s">
        <v>1934</v>
      </c>
      <c r="B1551" t="s">
        <v>1935</v>
      </c>
      <c r="C1551" t="s">
        <v>24</v>
      </c>
      <c r="D1551" t="s">
        <v>57</v>
      </c>
      <c r="E1551" t="s">
        <v>122</v>
      </c>
      <c r="F1551" t="s">
        <v>15</v>
      </c>
      <c r="G1551" t="s">
        <v>16</v>
      </c>
      <c r="H1551">
        <v>5</v>
      </c>
      <c r="I1551">
        <v>178.9</v>
      </c>
      <c r="J1551">
        <v>0.1</v>
      </c>
      <c r="K1551">
        <v>805.05</v>
      </c>
    </row>
    <row r="1552" spans="1:11" x14ac:dyDescent="0.35">
      <c r="A1552" t="s">
        <v>1936</v>
      </c>
      <c r="B1552" s="2">
        <v>45561</v>
      </c>
      <c r="C1552" t="s">
        <v>79</v>
      </c>
      <c r="D1552" t="s">
        <v>13</v>
      </c>
      <c r="E1552" t="s">
        <v>642</v>
      </c>
      <c r="F1552" t="s">
        <v>21</v>
      </c>
      <c r="G1552" t="s">
        <v>194</v>
      </c>
      <c r="H1552">
        <v>9</v>
      </c>
      <c r="I1552">
        <v>175.06</v>
      </c>
      <c r="J1552">
        <v>0.15</v>
      </c>
      <c r="K1552">
        <v>1339.21</v>
      </c>
    </row>
    <row r="1553" spans="1:11" x14ac:dyDescent="0.35">
      <c r="A1553" t="s">
        <v>1937</v>
      </c>
      <c r="B1553" s="1">
        <v>45438</v>
      </c>
      <c r="C1553" t="s">
        <v>90</v>
      </c>
      <c r="D1553" t="s">
        <v>25</v>
      </c>
      <c r="E1553" t="s">
        <v>296</v>
      </c>
      <c r="F1553" t="s">
        <v>15</v>
      </c>
      <c r="G1553" t="s">
        <v>147</v>
      </c>
      <c r="H1553">
        <v>1</v>
      </c>
      <c r="I1553">
        <v>78.62</v>
      </c>
      <c r="J1553">
        <v>0.05</v>
      </c>
      <c r="K1553">
        <v>74.69</v>
      </c>
    </row>
    <row r="1554" spans="1:11" x14ac:dyDescent="0.35">
      <c r="A1554" t="s">
        <v>1938</v>
      </c>
      <c r="B1554" s="1">
        <v>45363</v>
      </c>
      <c r="C1554" t="s">
        <v>38</v>
      </c>
      <c r="D1554" t="s">
        <v>57</v>
      </c>
      <c r="E1554" t="s">
        <v>825</v>
      </c>
      <c r="F1554" t="s">
        <v>35</v>
      </c>
      <c r="G1554" t="s">
        <v>134</v>
      </c>
      <c r="H1554">
        <v>7</v>
      </c>
      <c r="I1554">
        <v>80.48</v>
      </c>
      <c r="J1554">
        <v>0.1</v>
      </c>
      <c r="K1554">
        <v>507.02</v>
      </c>
    </row>
    <row r="1555" spans="1:11" x14ac:dyDescent="0.35">
      <c r="A1555" t="s">
        <v>1160</v>
      </c>
      <c r="B1555" t="s">
        <v>1161</v>
      </c>
      <c r="C1555" t="s">
        <v>79</v>
      </c>
      <c r="D1555" t="s">
        <v>19</v>
      </c>
      <c r="E1555" t="s">
        <v>120</v>
      </c>
      <c r="F1555" t="s">
        <v>44</v>
      </c>
      <c r="G1555" t="s">
        <v>45</v>
      </c>
      <c r="H1555">
        <v>12</v>
      </c>
      <c r="I1555">
        <v>174.86</v>
      </c>
      <c r="J1555">
        <v>0.15</v>
      </c>
      <c r="K1555">
        <v>1783.57</v>
      </c>
    </row>
    <row r="1556" spans="1:11" x14ac:dyDescent="0.35">
      <c r="A1556" t="s">
        <v>1588</v>
      </c>
      <c r="B1556" s="2">
        <v>45644</v>
      </c>
      <c r="C1556" t="s">
        <v>24</v>
      </c>
      <c r="D1556" t="s">
        <v>57</v>
      </c>
      <c r="E1556" t="s">
        <v>272</v>
      </c>
      <c r="F1556" t="s">
        <v>15</v>
      </c>
      <c r="G1556" t="s">
        <v>27</v>
      </c>
      <c r="H1556">
        <v>5</v>
      </c>
      <c r="I1556">
        <v>236.69</v>
      </c>
      <c r="J1556">
        <v>0.15</v>
      </c>
      <c r="K1556">
        <v>1005.93</v>
      </c>
    </row>
    <row r="1557" spans="1:11" x14ac:dyDescent="0.35">
      <c r="A1557" t="s">
        <v>1939</v>
      </c>
      <c r="B1557" s="1">
        <v>45478</v>
      </c>
      <c r="C1557" t="s">
        <v>102</v>
      </c>
      <c r="D1557" t="s">
        <v>19</v>
      </c>
      <c r="E1557" t="s">
        <v>110</v>
      </c>
      <c r="F1557" t="s">
        <v>53</v>
      </c>
      <c r="G1557" t="s">
        <v>54</v>
      </c>
      <c r="H1557">
        <v>6</v>
      </c>
      <c r="I1557">
        <v>208.57</v>
      </c>
      <c r="J1557">
        <v>0.05</v>
      </c>
      <c r="K1557">
        <v>1188.8499999999999</v>
      </c>
    </row>
    <row r="1558" spans="1:11" x14ac:dyDescent="0.35">
      <c r="A1558" t="s">
        <v>1940</v>
      </c>
      <c r="B1558" s="1">
        <v>45362</v>
      </c>
      <c r="C1558" t="s">
        <v>29</v>
      </c>
      <c r="D1558" t="s">
        <v>57</v>
      </c>
      <c r="E1558" t="s">
        <v>1159</v>
      </c>
      <c r="F1558" t="s">
        <v>15</v>
      </c>
      <c r="G1558" t="s">
        <v>27</v>
      </c>
      <c r="H1558">
        <v>2</v>
      </c>
      <c r="I1558">
        <v>90.68</v>
      </c>
      <c r="J1558">
        <v>0.1</v>
      </c>
      <c r="K1558">
        <v>163.22</v>
      </c>
    </row>
    <row r="1559" spans="1:11" x14ac:dyDescent="0.35">
      <c r="A1559" t="s">
        <v>1941</v>
      </c>
      <c r="B1559" s="2">
        <v>45504</v>
      </c>
      <c r="C1559" t="s">
        <v>29</v>
      </c>
      <c r="D1559" t="s">
        <v>13</v>
      </c>
      <c r="E1559" t="s">
        <v>166</v>
      </c>
      <c r="F1559" t="s">
        <v>53</v>
      </c>
      <c r="G1559" t="s">
        <v>54</v>
      </c>
      <c r="H1559">
        <v>6</v>
      </c>
      <c r="I1559">
        <v>244.7</v>
      </c>
      <c r="J1559">
        <v>0</v>
      </c>
      <c r="K1559">
        <v>1468.2</v>
      </c>
    </row>
    <row r="1560" spans="1:11" x14ac:dyDescent="0.35">
      <c r="A1560" t="s">
        <v>1942</v>
      </c>
      <c r="B1560" t="s">
        <v>1185</v>
      </c>
      <c r="C1560" t="s">
        <v>65</v>
      </c>
      <c r="D1560" t="s">
        <v>57</v>
      </c>
      <c r="E1560" t="s">
        <v>720</v>
      </c>
      <c r="F1560" t="s">
        <v>53</v>
      </c>
      <c r="G1560" t="s">
        <v>63</v>
      </c>
      <c r="H1560">
        <v>11</v>
      </c>
      <c r="I1560">
        <v>190.6</v>
      </c>
      <c r="J1560">
        <v>0.1</v>
      </c>
      <c r="K1560">
        <v>1886.94</v>
      </c>
    </row>
    <row r="1561" spans="1:11" x14ac:dyDescent="0.35">
      <c r="A1561" t="s">
        <v>1943</v>
      </c>
      <c r="B1561" t="s">
        <v>1321</v>
      </c>
      <c r="C1561" t="s">
        <v>79</v>
      </c>
      <c r="D1561" t="s">
        <v>19</v>
      </c>
      <c r="E1561" t="s">
        <v>82</v>
      </c>
      <c r="F1561" t="s">
        <v>21</v>
      </c>
      <c r="G1561" t="s">
        <v>22</v>
      </c>
      <c r="H1561">
        <v>4</v>
      </c>
      <c r="I1561">
        <v>140.47</v>
      </c>
      <c r="J1561">
        <v>0</v>
      </c>
      <c r="K1561">
        <v>561.88</v>
      </c>
    </row>
    <row r="1562" spans="1:11" x14ac:dyDescent="0.35">
      <c r="A1562" t="s">
        <v>1944</v>
      </c>
      <c r="B1562" s="2">
        <v>45571</v>
      </c>
      <c r="C1562" t="s">
        <v>90</v>
      </c>
      <c r="D1562" t="s">
        <v>42</v>
      </c>
      <c r="F1562" t="s">
        <v>53</v>
      </c>
      <c r="G1562" t="s">
        <v>59</v>
      </c>
      <c r="H1562">
        <v>11</v>
      </c>
      <c r="I1562">
        <v>81.69</v>
      </c>
      <c r="J1562">
        <v>0</v>
      </c>
      <c r="K1562">
        <v>898.59</v>
      </c>
    </row>
    <row r="1563" spans="1:11" x14ac:dyDescent="0.35">
      <c r="A1563" t="s">
        <v>1945</v>
      </c>
      <c r="B1563" s="1">
        <v>45399</v>
      </c>
      <c r="C1563" t="s">
        <v>48</v>
      </c>
      <c r="D1563" t="s">
        <v>25</v>
      </c>
      <c r="E1563" t="s">
        <v>339</v>
      </c>
      <c r="F1563" t="s">
        <v>44</v>
      </c>
      <c r="G1563" t="s">
        <v>45</v>
      </c>
      <c r="H1563">
        <v>5</v>
      </c>
      <c r="I1563">
        <v>58.47</v>
      </c>
      <c r="J1563">
        <v>0</v>
      </c>
      <c r="K1563">
        <v>292.35000000000002</v>
      </c>
    </row>
    <row r="1564" spans="1:11" x14ac:dyDescent="0.35">
      <c r="A1564" t="s">
        <v>1946</v>
      </c>
      <c r="B1564" s="1">
        <v>45629</v>
      </c>
      <c r="C1564" t="s">
        <v>24</v>
      </c>
      <c r="D1564" t="s">
        <v>42</v>
      </c>
      <c r="F1564" t="s">
        <v>44</v>
      </c>
      <c r="G1564" t="s">
        <v>45</v>
      </c>
      <c r="H1564">
        <v>3</v>
      </c>
      <c r="I1564">
        <v>122.83</v>
      </c>
      <c r="J1564">
        <v>0</v>
      </c>
      <c r="K1564">
        <v>368.49</v>
      </c>
    </row>
    <row r="1565" spans="1:11" x14ac:dyDescent="0.35">
      <c r="A1565" t="s">
        <v>1947</v>
      </c>
      <c r="B1565" t="s">
        <v>1948</v>
      </c>
      <c r="C1565" t="s">
        <v>102</v>
      </c>
      <c r="D1565" t="s">
        <v>42</v>
      </c>
      <c r="E1565" t="s">
        <v>462</v>
      </c>
      <c r="F1565" t="s">
        <v>44</v>
      </c>
      <c r="G1565" t="s">
        <v>45</v>
      </c>
      <c r="H1565">
        <v>11</v>
      </c>
      <c r="I1565">
        <v>108.65</v>
      </c>
      <c r="J1565">
        <v>0.05</v>
      </c>
      <c r="K1565">
        <v>1135.3900000000001</v>
      </c>
    </row>
    <row r="1566" spans="1:11" x14ac:dyDescent="0.35">
      <c r="A1566" t="s">
        <v>1949</v>
      </c>
      <c r="B1566" s="1">
        <v>45339</v>
      </c>
      <c r="C1566" t="s">
        <v>79</v>
      </c>
      <c r="D1566" t="s">
        <v>13</v>
      </c>
      <c r="E1566" t="s">
        <v>82</v>
      </c>
      <c r="F1566" t="s">
        <v>15</v>
      </c>
      <c r="G1566" t="s">
        <v>111</v>
      </c>
      <c r="H1566">
        <v>1</v>
      </c>
      <c r="I1566">
        <v>11.28</v>
      </c>
      <c r="J1566">
        <v>0.15</v>
      </c>
      <c r="K1566">
        <v>9.59</v>
      </c>
    </row>
    <row r="1567" spans="1:11" x14ac:dyDescent="0.35">
      <c r="A1567" t="s">
        <v>1950</v>
      </c>
      <c r="B1567" s="2">
        <v>45642</v>
      </c>
      <c r="C1567" t="s">
        <v>65</v>
      </c>
      <c r="D1567" t="s">
        <v>57</v>
      </c>
      <c r="E1567" t="s">
        <v>865</v>
      </c>
      <c r="F1567" t="s">
        <v>53</v>
      </c>
      <c r="G1567" t="s">
        <v>54</v>
      </c>
      <c r="H1567">
        <v>12</v>
      </c>
      <c r="I1567">
        <v>91.12</v>
      </c>
      <c r="J1567">
        <v>0</v>
      </c>
      <c r="K1567">
        <v>1093.44</v>
      </c>
    </row>
    <row r="1568" spans="1:11" x14ac:dyDescent="0.35">
      <c r="A1568" t="s">
        <v>1951</v>
      </c>
      <c r="B1568" s="1">
        <v>45492</v>
      </c>
      <c r="C1568" t="s">
        <v>12</v>
      </c>
      <c r="D1568" t="s">
        <v>42</v>
      </c>
      <c r="E1568" t="s">
        <v>492</v>
      </c>
      <c r="F1568" t="s">
        <v>15</v>
      </c>
      <c r="G1568" t="s">
        <v>16</v>
      </c>
      <c r="H1568">
        <v>5</v>
      </c>
      <c r="I1568">
        <v>134.32</v>
      </c>
      <c r="J1568">
        <v>0</v>
      </c>
      <c r="K1568">
        <v>671.6</v>
      </c>
    </row>
    <row r="1569" spans="1:11" x14ac:dyDescent="0.35">
      <c r="A1569" t="s">
        <v>1952</v>
      </c>
      <c r="B1569" s="2">
        <v>45440</v>
      </c>
      <c r="C1569" t="s">
        <v>38</v>
      </c>
      <c r="D1569" t="s">
        <v>57</v>
      </c>
      <c r="E1569" t="s">
        <v>392</v>
      </c>
      <c r="F1569" t="s">
        <v>21</v>
      </c>
      <c r="G1569" t="s">
        <v>194</v>
      </c>
      <c r="H1569">
        <v>8</v>
      </c>
      <c r="I1569">
        <v>112.15</v>
      </c>
      <c r="J1569">
        <v>0</v>
      </c>
      <c r="K1569">
        <v>897.2</v>
      </c>
    </row>
    <row r="1570" spans="1:11" x14ac:dyDescent="0.35">
      <c r="A1570" t="s">
        <v>1953</v>
      </c>
      <c r="B1570" s="1">
        <v>45477</v>
      </c>
      <c r="C1570" t="s">
        <v>29</v>
      </c>
      <c r="D1570" t="s">
        <v>57</v>
      </c>
      <c r="E1570" t="s">
        <v>85</v>
      </c>
      <c r="F1570" t="s">
        <v>21</v>
      </c>
      <c r="G1570" t="s">
        <v>194</v>
      </c>
      <c r="H1570">
        <v>7</v>
      </c>
      <c r="I1570">
        <v>134.86000000000001</v>
      </c>
      <c r="J1570">
        <v>0.05</v>
      </c>
      <c r="K1570">
        <v>896.82</v>
      </c>
    </row>
    <row r="1571" spans="1:11" x14ac:dyDescent="0.35">
      <c r="A1571" t="s">
        <v>1954</v>
      </c>
      <c r="B1571" t="s">
        <v>364</v>
      </c>
      <c r="C1571" t="s">
        <v>90</v>
      </c>
      <c r="D1571" t="s">
        <v>25</v>
      </c>
      <c r="E1571" t="s">
        <v>88</v>
      </c>
      <c r="F1571" t="s">
        <v>53</v>
      </c>
      <c r="G1571" t="s">
        <v>260</v>
      </c>
      <c r="H1571">
        <v>6</v>
      </c>
      <c r="I1571">
        <v>247.67</v>
      </c>
      <c r="J1571">
        <v>0.1</v>
      </c>
      <c r="K1571">
        <v>1337.42</v>
      </c>
    </row>
    <row r="1572" spans="1:11" x14ac:dyDescent="0.35">
      <c r="A1572" t="s">
        <v>1955</v>
      </c>
      <c r="B1572" s="2">
        <v>45565</v>
      </c>
      <c r="C1572" t="s">
        <v>48</v>
      </c>
      <c r="D1572" t="s">
        <v>19</v>
      </c>
      <c r="E1572" t="s">
        <v>1159</v>
      </c>
      <c r="F1572" t="s">
        <v>53</v>
      </c>
      <c r="G1572" t="s">
        <v>260</v>
      </c>
      <c r="H1572">
        <v>1</v>
      </c>
      <c r="I1572">
        <v>248.38</v>
      </c>
      <c r="J1572">
        <v>0.1</v>
      </c>
      <c r="K1572">
        <v>223.54</v>
      </c>
    </row>
    <row r="1573" spans="1:11" x14ac:dyDescent="0.35">
      <c r="A1573" t="s">
        <v>1956</v>
      </c>
      <c r="B1573" s="2">
        <v>45316</v>
      </c>
      <c r="C1573" t="s">
        <v>90</v>
      </c>
      <c r="D1573" t="s">
        <v>25</v>
      </c>
      <c r="E1573" t="s">
        <v>477</v>
      </c>
      <c r="F1573" t="s">
        <v>35</v>
      </c>
      <c r="G1573" t="s">
        <v>134</v>
      </c>
      <c r="H1573">
        <v>3</v>
      </c>
      <c r="I1573">
        <v>29.25</v>
      </c>
      <c r="J1573">
        <v>0</v>
      </c>
      <c r="K1573">
        <v>87.75</v>
      </c>
    </row>
    <row r="1574" spans="1:11" x14ac:dyDescent="0.35">
      <c r="A1574" t="s">
        <v>1957</v>
      </c>
      <c r="B1574" s="2">
        <v>45542</v>
      </c>
      <c r="C1574" t="s">
        <v>41</v>
      </c>
      <c r="D1574" t="s">
        <v>19</v>
      </c>
      <c r="E1574" t="s">
        <v>659</v>
      </c>
      <c r="F1574" t="s">
        <v>53</v>
      </c>
      <c r="G1574" t="s">
        <v>125</v>
      </c>
      <c r="H1574">
        <v>1</v>
      </c>
      <c r="I1574">
        <v>187.38</v>
      </c>
      <c r="J1574">
        <v>0</v>
      </c>
      <c r="K1574">
        <v>187.38</v>
      </c>
    </row>
    <row r="1575" spans="1:11" x14ac:dyDescent="0.35">
      <c r="A1575" t="s">
        <v>1638</v>
      </c>
      <c r="B1575" s="1">
        <v>45512</v>
      </c>
      <c r="C1575" t="s">
        <v>48</v>
      </c>
      <c r="D1575" t="s">
        <v>42</v>
      </c>
      <c r="F1575" t="s">
        <v>15</v>
      </c>
      <c r="G1575" t="s">
        <v>147</v>
      </c>
      <c r="H1575">
        <v>9</v>
      </c>
      <c r="I1575">
        <v>36.65</v>
      </c>
      <c r="J1575">
        <v>0.15</v>
      </c>
      <c r="K1575">
        <v>280.37</v>
      </c>
    </row>
    <row r="1576" spans="1:11" x14ac:dyDescent="0.35">
      <c r="A1576" t="s">
        <v>1958</v>
      </c>
      <c r="B1576" s="1">
        <v>45523</v>
      </c>
      <c r="C1576" t="s">
        <v>41</v>
      </c>
      <c r="D1576" t="s">
        <v>19</v>
      </c>
      <c r="E1576" t="s">
        <v>286</v>
      </c>
      <c r="F1576" t="s">
        <v>15</v>
      </c>
      <c r="G1576" t="s">
        <v>111</v>
      </c>
      <c r="H1576">
        <v>8</v>
      </c>
      <c r="I1576">
        <v>42.16</v>
      </c>
      <c r="J1576">
        <v>0</v>
      </c>
      <c r="K1576">
        <v>337.28</v>
      </c>
    </row>
    <row r="1577" spans="1:11" x14ac:dyDescent="0.35">
      <c r="A1577" t="s">
        <v>1959</v>
      </c>
      <c r="B1577" s="2">
        <v>45536</v>
      </c>
      <c r="C1577" t="s">
        <v>48</v>
      </c>
      <c r="D1577" t="s">
        <v>42</v>
      </c>
      <c r="E1577" t="s">
        <v>58</v>
      </c>
      <c r="F1577" t="s">
        <v>21</v>
      </c>
      <c r="G1577" t="s">
        <v>194</v>
      </c>
      <c r="H1577">
        <v>3</v>
      </c>
      <c r="I1577">
        <v>57.46</v>
      </c>
      <c r="J1577">
        <v>0.05</v>
      </c>
      <c r="K1577">
        <v>163.76</v>
      </c>
    </row>
    <row r="1578" spans="1:11" x14ac:dyDescent="0.35">
      <c r="A1578" t="s">
        <v>1960</v>
      </c>
      <c r="B1578" s="1">
        <v>45380</v>
      </c>
      <c r="C1578" t="s">
        <v>38</v>
      </c>
      <c r="D1578" t="s">
        <v>13</v>
      </c>
      <c r="E1578" t="s">
        <v>388</v>
      </c>
      <c r="F1578" t="s">
        <v>21</v>
      </c>
      <c r="G1578" t="s">
        <v>22</v>
      </c>
      <c r="H1578">
        <v>7</v>
      </c>
      <c r="I1578">
        <v>43.35</v>
      </c>
      <c r="J1578">
        <v>0.05</v>
      </c>
      <c r="K1578">
        <v>288.27999999999997</v>
      </c>
    </row>
    <row r="1579" spans="1:11" x14ac:dyDescent="0.35">
      <c r="A1579" t="s">
        <v>1961</v>
      </c>
      <c r="B1579" s="1">
        <v>45588</v>
      </c>
      <c r="C1579" t="s">
        <v>90</v>
      </c>
      <c r="D1579" t="s">
        <v>13</v>
      </c>
      <c r="E1579" t="s">
        <v>142</v>
      </c>
      <c r="F1579" t="s">
        <v>15</v>
      </c>
      <c r="G1579" t="s">
        <v>147</v>
      </c>
      <c r="H1579">
        <v>7</v>
      </c>
      <c r="I1579">
        <v>16.71</v>
      </c>
      <c r="J1579">
        <v>0</v>
      </c>
      <c r="K1579">
        <v>116.97</v>
      </c>
    </row>
    <row r="1580" spans="1:11" x14ac:dyDescent="0.35">
      <c r="A1580" t="s">
        <v>1962</v>
      </c>
      <c r="B1580" s="2">
        <v>45521</v>
      </c>
      <c r="C1580" t="s">
        <v>56</v>
      </c>
      <c r="D1580" t="s">
        <v>25</v>
      </c>
      <c r="E1580" t="s">
        <v>674</v>
      </c>
      <c r="F1580" t="s">
        <v>53</v>
      </c>
      <c r="G1580" t="s">
        <v>59</v>
      </c>
      <c r="H1580">
        <v>12</v>
      </c>
      <c r="I1580">
        <v>130.19999999999999</v>
      </c>
      <c r="J1580">
        <v>0</v>
      </c>
      <c r="K1580">
        <v>1562.4</v>
      </c>
    </row>
    <row r="1581" spans="1:11" x14ac:dyDescent="0.35">
      <c r="A1581" t="s">
        <v>1963</v>
      </c>
      <c r="B1581" s="2">
        <v>45416</v>
      </c>
      <c r="C1581" t="s">
        <v>72</v>
      </c>
      <c r="D1581" t="s">
        <v>13</v>
      </c>
      <c r="E1581" t="s">
        <v>547</v>
      </c>
      <c r="F1581" t="s">
        <v>44</v>
      </c>
      <c r="G1581" t="s">
        <v>94</v>
      </c>
      <c r="H1581">
        <v>9</v>
      </c>
      <c r="I1581">
        <v>118.75</v>
      </c>
      <c r="J1581">
        <v>0</v>
      </c>
      <c r="K1581">
        <v>1068.75</v>
      </c>
    </row>
    <row r="1582" spans="1:11" x14ac:dyDescent="0.35">
      <c r="A1582" t="s">
        <v>1964</v>
      </c>
      <c r="B1582" s="1">
        <v>45600</v>
      </c>
      <c r="C1582" t="s">
        <v>41</v>
      </c>
      <c r="D1582" t="s">
        <v>25</v>
      </c>
      <c r="E1582" t="s">
        <v>445</v>
      </c>
      <c r="F1582" t="s">
        <v>44</v>
      </c>
      <c r="G1582" t="s">
        <v>86</v>
      </c>
      <c r="H1582">
        <v>3</v>
      </c>
      <c r="I1582">
        <v>96.61</v>
      </c>
      <c r="J1582">
        <v>0.1</v>
      </c>
      <c r="K1582">
        <v>260.85000000000002</v>
      </c>
    </row>
    <row r="1583" spans="1:11" x14ac:dyDescent="0.35">
      <c r="A1583" t="s">
        <v>1965</v>
      </c>
      <c r="B1583" s="1">
        <v>45597</v>
      </c>
      <c r="C1583" t="s">
        <v>79</v>
      </c>
      <c r="D1583" t="s">
        <v>42</v>
      </c>
      <c r="E1583" t="s">
        <v>847</v>
      </c>
      <c r="F1583" t="s">
        <v>44</v>
      </c>
      <c r="G1583" t="s">
        <v>50</v>
      </c>
      <c r="H1583">
        <v>10</v>
      </c>
      <c r="I1583">
        <v>159.83000000000001</v>
      </c>
      <c r="J1583">
        <v>0</v>
      </c>
      <c r="K1583">
        <v>1598.3</v>
      </c>
    </row>
    <row r="1584" spans="1:11" x14ac:dyDescent="0.35">
      <c r="A1584" t="s">
        <v>1966</v>
      </c>
      <c r="B1584" s="1">
        <v>45363</v>
      </c>
      <c r="C1584" t="s">
        <v>90</v>
      </c>
      <c r="D1584" t="s">
        <v>19</v>
      </c>
      <c r="E1584" t="s">
        <v>385</v>
      </c>
      <c r="F1584" t="s">
        <v>21</v>
      </c>
      <c r="G1584" t="s">
        <v>167</v>
      </c>
      <c r="H1584">
        <v>9</v>
      </c>
      <c r="I1584">
        <v>117.8</v>
      </c>
      <c r="J1584">
        <v>0.05</v>
      </c>
      <c r="K1584">
        <v>1007.19</v>
      </c>
    </row>
    <row r="1585" spans="1:11" x14ac:dyDescent="0.35">
      <c r="A1585" t="s">
        <v>1967</v>
      </c>
      <c r="B1585" s="1">
        <v>45393</v>
      </c>
      <c r="C1585" t="s">
        <v>48</v>
      </c>
      <c r="D1585" t="s">
        <v>25</v>
      </c>
      <c r="E1585" t="s">
        <v>185</v>
      </c>
      <c r="F1585" t="s">
        <v>21</v>
      </c>
      <c r="G1585" t="s">
        <v>129</v>
      </c>
      <c r="H1585">
        <v>8</v>
      </c>
      <c r="I1585">
        <v>23.01</v>
      </c>
      <c r="J1585">
        <v>0</v>
      </c>
      <c r="K1585">
        <v>184.08</v>
      </c>
    </row>
    <row r="1586" spans="1:11" x14ac:dyDescent="0.35">
      <c r="A1586" t="s">
        <v>1968</v>
      </c>
      <c r="B1586" t="s">
        <v>377</v>
      </c>
      <c r="C1586" t="s">
        <v>90</v>
      </c>
      <c r="D1586" t="s">
        <v>13</v>
      </c>
      <c r="E1586" t="s">
        <v>385</v>
      </c>
      <c r="F1586" t="s">
        <v>21</v>
      </c>
      <c r="G1586" t="s">
        <v>194</v>
      </c>
      <c r="H1586">
        <v>1</v>
      </c>
      <c r="I1586">
        <v>89.55</v>
      </c>
      <c r="J1586">
        <v>0</v>
      </c>
      <c r="K1586">
        <v>89.55</v>
      </c>
    </row>
    <row r="1587" spans="1:11" x14ac:dyDescent="0.35">
      <c r="A1587" t="s">
        <v>1969</v>
      </c>
      <c r="B1587" s="2">
        <v>45484</v>
      </c>
      <c r="C1587" t="s">
        <v>65</v>
      </c>
      <c r="D1587" t="s">
        <v>19</v>
      </c>
      <c r="E1587" t="s">
        <v>431</v>
      </c>
      <c r="F1587" t="s">
        <v>35</v>
      </c>
      <c r="G1587" t="s">
        <v>36</v>
      </c>
      <c r="H1587">
        <v>1</v>
      </c>
      <c r="I1587">
        <v>117.62</v>
      </c>
      <c r="J1587">
        <v>0</v>
      </c>
      <c r="K1587">
        <v>117.62</v>
      </c>
    </row>
    <row r="1588" spans="1:11" x14ac:dyDescent="0.35">
      <c r="A1588" t="s">
        <v>1970</v>
      </c>
      <c r="B1588" s="1">
        <v>45607</v>
      </c>
      <c r="C1588" t="s">
        <v>41</v>
      </c>
      <c r="D1588" t="s">
        <v>42</v>
      </c>
      <c r="E1588" t="s">
        <v>833</v>
      </c>
      <c r="F1588" t="s">
        <v>15</v>
      </c>
      <c r="G1588" t="s">
        <v>111</v>
      </c>
      <c r="H1588">
        <v>9</v>
      </c>
      <c r="I1588">
        <v>150.46</v>
      </c>
      <c r="J1588">
        <v>0.1</v>
      </c>
      <c r="K1588">
        <v>1218.73</v>
      </c>
    </row>
    <row r="1589" spans="1:11" x14ac:dyDescent="0.35">
      <c r="A1589" t="s">
        <v>1971</v>
      </c>
      <c r="B1589" s="2">
        <v>45549</v>
      </c>
      <c r="C1589" t="s">
        <v>56</v>
      </c>
      <c r="D1589" t="s">
        <v>13</v>
      </c>
      <c r="E1589" t="s">
        <v>884</v>
      </c>
      <c r="F1589" t="s">
        <v>44</v>
      </c>
      <c r="G1589" t="s">
        <v>94</v>
      </c>
      <c r="H1589">
        <v>12</v>
      </c>
      <c r="I1589">
        <v>186.08</v>
      </c>
      <c r="J1589">
        <v>0</v>
      </c>
      <c r="K1589">
        <v>2232.96</v>
      </c>
    </row>
    <row r="1590" spans="1:11" x14ac:dyDescent="0.35">
      <c r="A1590" t="s">
        <v>1972</v>
      </c>
      <c r="B1590" s="1">
        <v>45374</v>
      </c>
      <c r="C1590" t="s">
        <v>79</v>
      </c>
      <c r="D1590" t="s">
        <v>57</v>
      </c>
      <c r="E1590" t="s">
        <v>106</v>
      </c>
      <c r="F1590" t="s">
        <v>44</v>
      </c>
      <c r="G1590" t="s">
        <v>45</v>
      </c>
      <c r="H1590">
        <v>6</v>
      </c>
      <c r="I1590">
        <v>60.91</v>
      </c>
      <c r="J1590">
        <v>0.15</v>
      </c>
      <c r="K1590">
        <v>310.64</v>
      </c>
    </row>
    <row r="1591" spans="1:11" x14ac:dyDescent="0.35">
      <c r="A1591" t="s">
        <v>1973</v>
      </c>
      <c r="B1591" s="2">
        <v>45584</v>
      </c>
      <c r="C1591" t="s">
        <v>48</v>
      </c>
      <c r="D1591" t="s">
        <v>13</v>
      </c>
      <c r="E1591" t="s">
        <v>131</v>
      </c>
      <c r="F1591" t="s">
        <v>53</v>
      </c>
      <c r="G1591" t="s">
        <v>59</v>
      </c>
      <c r="H1591">
        <v>2</v>
      </c>
      <c r="I1591">
        <v>50.91</v>
      </c>
      <c r="J1591">
        <v>0</v>
      </c>
      <c r="K1591">
        <v>101.82</v>
      </c>
    </row>
    <row r="1592" spans="1:11" x14ac:dyDescent="0.35">
      <c r="A1592" t="s">
        <v>1974</v>
      </c>
      <c r="B1592" t="s">
        <v>1975</v>
      </c>
      <c r="C1592" t="s">
        <v>24</v>
      </c>
      <c r="D1592" t="s">
        <v>57</v>
      </c>
      <c r="E1592" t="s">
        <v>62</v>
      </c>
      <c r="F1592" t="s">
        <v>44</v>
      </c>
      <c r="G1592" t="s">
        <v>107</v>
      </c>
      <c r="H1592">
        <v>1</v>
      </c>
      <c r="I1592">
        <v>236.91</v>
      </c>
      <c r="J1592">
        <v>0</v>
      </c>
      <c r="K1592">
        <v>236.91</v>
      </c>
    </row>
    <row r="1593" spans="1:11" x14ac:dyDescent="0.35">
      <c r="A1593" t="s">
        <v>1976</v>
      </c>
      <c r="B1593" s="1">
        <v>45589</v>
      </c>
      <c r="C1593" t="s">
        <v>38</v>
      </c>
      <c r="D1593" t="s">
        <v>19</v>
      </c>
      <c r="E1593" t="s">
        <v>176</v>
      </c>
      <c r="F1593" t="s">
        <v>21</v>
      </c>
      <c r="G1593" t="s">
        <v>129</v>
      </c>
      <c r="H1593">
        <v>1</v>
      </c>
      <c r="I1593">
        <v>216.16</v>
      </c>
      <c r="J1593">
        <v>0</v>
      </c>
      <c r="K1593">
        <v>216.16</v>
      </c>
    </row>
    <row r="1594" spans="1:11" x14ac:dyDescent="0.35">
      <c r="A1594" t="s">
        <v>1977</v>
      </c>
      <c r="B1594" s="2">
        <v>45299</v>
      </c>
      <c r="C1594" t="s">
        <v>24</v>
      </c>
      <c r="E1594" t="s">
        <v>257</v>
      </c>
      <c r="F1594" t="s">
        <v>15</v>
      </c>
      <c r="G1594" t="s">
        <v>16</v>
      </c>
      <c r="H1594">
        <v>5</v>
      </c>
      <c r="I1594">
        <v>15.03</v>
      </c>
      <c r="J1594">
        <v>0.1</v>
      </c>
      <c r="K1594">
        <v>67.63</v>
      </c>
    </row>
    <row r="1595" spans="1:11" x14ac:dyDescent="0.35">
      <c r="A1595" t="s">
        <v>1978</v>
      </c>
      <c r="B1595" s="1">
        <v>45490</v>
      </c>
      <c r="C1595" t="s">
        <v>48</v>
      </c>
      <c r="D1595" t="s">
        <v>25</v>
      </c>
      <c r="E1595" t="s">
        <v>243</v>
      </c>
      <c r="F1595" t="s">
        <v>21</v>
      </c>
      <c r="G1595" t="s">
        <v>70</v>
      </c>
      <c r="H1595">
        <v>6</v>
      </c>
      <c r="I1595">
        <v>178.15</v>
      </c>
      <c r="J1595">
        <v>0</v>
      </c>
      <c r="K1595">
        <v>1068.9000000000001</v>
      </c>
    </row>
    <row r="1596" spans="1:11" x14ac:dyDescent="0.35">
      <c r="A1596" t="s">
        <v>1979</v>
      </c>
      <c r="B1596" s="1">
        <v>45445</v>
      </c>
      <c r="C1596" t="s">
        <v>79</v>
      </c>
      <c r="D1596" t="s">
        <v>13</v>
      </c>
      <c r="E1596" t="s">
        <v>360</v>
      </c>
      <c r="F1596" t="s">
        <v>35</v>
      </c>
      <c r="G1596" t="s">
        <v>177</v>
      </c>
      <c r="H1596">
        <v>12</v>
      </c>
      <c r="I1596">
        <v>23.34</v>
      </c>
      <c r="J1596">
        <v>0.1</v>
      </c>
      <c r="K1596">
        <v>252.07</v>
      </c>
    </row>
    <row r="1597" spans="1:11" x14ac:dyDescent="0.35">
      <c r="A1597" t="s">
        <v>1980</v>
      </c>
      <c r="B1597" t="s">
        <v>960</v>
      </c>
      <c r="C1597" t="s">
        <v>33</v>
      </c>
      <c r="D1597" t="s">
        <v>57</v>
      </c>
      <c r="E1597" t="s">
        <v>506</v>
      </c>
      <c r="F1597" t="s">
        <v>44</v>
      </c>
      <c r="G1597" t="s">
        <v>45</v>
      </c>
      <c r="H1597">
        <v>1</v>
      </c>
      <c r="I1597">
        <v>78.78</v>
      </c>
      <c r="J1597">
        <v>0</v>
      </c>
      <c r="K1597">
        <v>78.78</v>
      </c>
    </row>
    <row r="1598" spans="1:11" x14ac:dyDescent="0.35">
      <c r="A1598" t="s">
        <v>1981</v>
      </c>
      <c r="B1598" s="2">
        <v>45294</v>
      </c>
      <c r="C1598" t="s">
        <v>33</v>
      </c>
      <c r="D1598" t="s">
        <v>19</v>
      </c>
      <c r="E1598" t="s">
        <v>80</v>
      </c>
      <c r="F1598" t="s">
        <v>15</v>
      </c>
      <c r="G1598" t="s">
        <v>16</v>
      </c>
      <c r="H1598">
        <v>2</v>
      </c>
      <c r="I1598">
        <v>52.68</v>
      </c>
      <c r="J1598">
        <v>0.1</v>
      </c>
      <c r="K1598">
        <v>94.82</v>
      </c>
    </row>
    <row r="1599" spans="1:11" x14ac:dyDescent="0.35">
      <c r="A1599" t="s">
        <v>1982</v>
      </c>
      <c r="B1599" s="2">
        <v>45463</v>
      </c>
      <c r="C1599" t="s">
        <v>18</v>
      </c>
      <c r="D1599" t="s">
        <v>25</v>
      </c>
      <c r="E1599" t="s">
        <v>241</v>
      </c>
      <c r="F1599" t="s">
        <v>21</v>
      </c>
      <c r="G1599" t="s">
        <v>194</v>
      </c>
      <c r="H1599">
        <v>7</v>
      </c>
      <c r="I1599">
        <v>197.08</v>
      </c>
      <c r="J1599">
        <v>0.15</v>
      </c>
      <c r="K1599">
        <v>1172.6300000000001</v>
      </c>
    </row>
    <row r="1600" spans="1:11" x14ac:dyDescent="0.35">
      <c r="A1600" t="s">
        <v>997</v>
      </c>
      <c r="B1600" s="2">
        <v>45486</v>
      </c>
      <c r="C1600" t="s">
        <v>72</v>
      </c>
      <c r="D1600" t="s">
        <v>25</v>
      </c>
      <c r="E1600" t="s">
        <v>142</v>
      </c>
      <c r="F1600" t="s">
        <v>35</v>
      </c>
      <c r="G1600" t="s">
        <v>177</v>
      </c>
      <c r="H1600">
        <v>6</v>
      </c>
      <c r="I1600">
        <v>6.44</v>
      </c>
      <c r="J1600">
        <v>0</v>
      </c>
      <c r="K1600">
        <v>38.64</v>
      </c>
    </row>
    <row r="1601" spans="1:11" x14ac:dyDescent="0.35">
      <c r="A1601" t="s">
        <v>1410</v>
      </c>
      <c r="B1601" s="1">
        <v>45325</v>
      </c>
      <c r="C1601" t="s">
        <v>38</v>
      </c>
      <c r="D1601" t="s">
        <v>13</v>
      </c>
      <c r="E1601" t="s">
        <v>902</v>
      </c>
      <c r="F1601" t="s">
        <v>53</v>
      </c>
      <c r="G1601" t="s">
        <v>63</v>
      </c>
      <c r="H1601">
        <v>6</v>
      </c>
      <c r="I1601">
        <v>20.38</v>
      </c>
      <c r="J1601">
        <v>0.15</v>
      </c>
      <c r="K1601">
        <v>103.94</v>
      </c>
    </row>
    <row r="1602" spans="1:11" x14ac:dyDescent="0.35">
      <c r="A1602" t="s">
        <v>1983</v>
      </c>
      <c r="B1602" s="2">
        <v>45425</v>
      </c>
      <c r="C1602" t="s">
        <v>33</v>
      </c>
      <c r="D1602" t="s">
        <v>13</v>
      </c>
      <c r="E1602" t="s">
        <v>52</v>
      </c>
      <c r="F1602" t="s">
        <v>35</v>
      </c>
      <c r="G1602" t="s">
        <v>36</v>
      </c>
      <c r="H1602">
        <v>3</v>
      </c>
      <c r="I1602">
        <v>236.34</v>
      </c>
      <c r="J1602">
        <v>0</v>
      </c>
      <c r="K1602">
        <v>709.02</v>
      </c>
    </row>
    <row r="1603" spans="1:11" x14ac:dyDescent="0.35">
      <c r="A1603" t="s">
        <v>1984</v>
      </c>
      <c r="B1603" s="1">
        <v>45606</v>
      </c>
      <c r="C1603" t="s">
        <v>90</v>
      </c>
      <c r="D1603" t="s">
        <v>42</v>
      </c>
      <c r="E1603" t="s">
        <v>503</v>
      </c>
      <c r="F1603" t="s">
        <v>21</v>
      </c>
      <c r="G1603" t="s">
        <v>167</v>
      </c>
      <c r="H1603">
        <v>9</v>
      </c>
      <c r="I1603">
        <v>192.24</v>
      </c>
      <c r="J1603">
        <v>0</v>
      </c>
      <c r="K1603">
        <v>1730.16</v>
      </c>
    </row>
    <row r="1604" spans="1:11" x14ac:dyDescent="0.35">
      <c r="A1604" t="s">
        <v>519</v>
      </c>
      <c r="B1604" s="2">
        <v>45447</v>
      </c>
      <c r="C1604" t="s">
        <v>18</v>
      </c>
      <c r="D1604" t="s">
        <v>13</v>
      </c>
      <c r="E1604" t="s">
        <v>388</v>
      </c>
      <c r="F1604" t="s">
        <v>44</v>
      </c>
      <c r="G1604" t="s">
        <v>45</v>
      </c>
      <c r="H1604">
        <v>9</v>
      </c>
      <c r="I1604">
        <v>247.15</v>
      </c>
      <c r="J1604">
        <v>0</v>
      </c>
      <c r="K1604">
        <v>2224.35</v>
      </c>
    </row>
    <row r="1605" spans="1:11" x14ac:dyDescent="0.35">
      <c r="A1605" t="s">
        <v>1985</v>
      </c>
      <c r="B1605" s="1">
        <v>45379</v>
      </c>
      <c r="C1605" t="s">
        <v>18</v>
      </c>
      <c r="D1605" t="s">
        <v>57</v>
      </c>
      <c r="E1605" t="s">
        <v>137</v>
      </c>
      <c r="F1605" t="s">
        <v>53</v>
      </c>
      <c r="G1605" t="s">
        <v>125</v>
      </c>
      <c r="H1605">
        <v>3</v>
      </c>
      <c r="I1605">
        <v>13.61</v>
      </c>
      <c r="J1605">
        <v>0.15</v>
      </c>
      <c r="K1605">
        <v>34.71</v>
      </c>
    </row>
    <row r="1606" spans="1:11" x14ac:dyDescent="0.35">
      <c r="A1606" t="s">
        <v>1986</v>
      </c>
      <c r="B1606" s="1">
        <v>45461</v>
      </c>
      <c r="C1606" t="s">
        <v>65</v>
      </c>
      <c r="D1606" t="s">
        <v>25</v>
      </c>
      <c r="E1606" t="s">
        <v>250</v>
      </c>
      <c r="F1606" t="s">
        <v>35</v>
      </c>
      <c r="G1606" t="s">
        <v>67</v>
      </c>
      <c r="H1606">
        <v>5</v>
      </c>
      <c r="I1606">
        <v>59.89</v>
      </c>
      <c r="J1606">
        <v>0</v>
      </c>
      <c r="K1606">
        <v>299.45</v>
      </c>
    </row>
    <row r="1607" spans="1:11" x14ac:dyDescent="0.35">
      <c r="A1607" t="s">
        <v>1987</v>
      </c>
      <c r="B1607" s="1">
        <v>45419</v>
      </c>
      <c r="C1607" t="s">
        <v>72</v>
      </c>
      <c r="D1607" t="s">
        <v>19</v>
      </c>
      <c r="E1607" t="s">
        <v>103</v>
      </c>
      <c r="F1607" t="s">
        <v>44</v>
      </c>
      <c r="G1607" t="s">
        <v>94</v>
      </c>
      <c r="H1607">
        <v>3</v>
      </c>
      <c r="I1607">
        <v>11.35</v>
      </c>
      <c r="J1607">
        <v>0.05</v>
      </c>
      <c r="K1607">
        <v>32.35</v>
      </c>
    </row>
    <row r="1608" spans="1:11" x14ac:dyDescent="0.35">
      <c r="A1608" t="s">
        <v>1988</v>
      </c>
      <c r="B1608" s="2">
        <v>45607</v>
      </c>
      <c r="C1608" t="s">
        <v>72</v>
      </c>
      <c r="D1608" t="s">
        <v>42</v>
      </c>
      <c r="E1608" t="s">
        <v>88</v>
      </c>
      <c r="F1608" t="s">
        <v>21</v>
      </c>
      <c r="G1608" t="s">
        <v>194</v>
      </c>
      <c r="H1608">
        <v>11</v>
      </c>
      <c r="I1608">
        <v>52.94</v>
      </c>
      <c r="J1608">
        <v>0</v>
      </c>
      <c r="K1608">
        <v>582.34</v>
      </c>
    </row>
    <row r="1609" spans="1:11" x14ac:dyDescent="0.35">
      <c r="A1609" t="s">
        <v>1989</v>
      </c>
      <c r="B1609" t="s">
        <v>773</v>
      </c>
      <c r="C1609" t="s">
        <v>41</v>
      </c>
      <c r="D1609" t="s">
        <v>25</v>
      </c>
      <c r="E1609" t="s">
        <v>96</v>
      </c>
      <c r="F1609" t="s">
        <v>21</v>
      </c>
      <c r="G1609" t="s">
        <v>167</v>
      </c>
      <c r="H1609">
        <v>5</v>
      </c>
      <c r="I1609">
        <v>208.45</v>
      </c>
      <c r="J1609">
        <v>0</v>
      </c>
      <c r="K1609">
        <v>1042.25</v>
      </c>
    </row>
    <row r="1610" spans="1:11" x14ac:dyDescent="0.35">
      <c r="A1610" t="s">
        <v>1990</v>
      </c>
      <c r="B1610" s="2">
        <v>45571</v>
      </c>
      <c r="C1610" t="s">
        <v>18</v>
      </c>
      <c r="D1610" t="s">
        <v>25</v>
      </c>
      <c r="E1610" t="s">
        <v>100</v>
      </c>
      <c r="F1610" t="s">
        <v>35</v>
      </c>
      <c r="G1610" t="s">
        <v>36</v>
      </c>
      <c r="H1610">
        <v>12</v>
      </c>
      <c r="I1610">
        <v>9</v>
      </c>
      <c r="J1610">
        <v>0.15</v>
      </c>
      <c r="K1610">
        <v>91.8</v>
      </c>
    </row>
    <row r="1611" spans="1:11" x14ac:dyDescent="0.35">
      <c r="A1611" t="s">
        <v>1991</v>
      </c>
      <c r="B1611" s="1">
        <v>45565</v>
      </c>
      <c r="C1611" t="s">
        <v>24</v>
      </c>
      <c r="D1611" t="s">
        <v>25</v>
      </c>
      <c r="E1611" t="s">
        <v>212</v>
      </c>
      <c r="F1611" t="s">
        <v>53</v>
      </c>
      <c r="G1611" t="s">
        <v>63</v>
      </c>
      <c r="H1611">
        <v>3</v>
      </c>
      <c r="I1611">
        <v>156.55000000000001</v>
      </c>
      <c r="J1611">
        <v>0.15</v>
      </c>
      <c r="K1611">
        <v>399.2</v>
      </c>
    </row>
    <row r="1612" spans="1:11" x14ac:dyDescent="0.35">
      <c r="A1612" t="s">
        <v>1992</v>
      </c>
      <c r="B1612" s="2">
        <v>45457</v>
      </c>
      <c r="C1612" t="s">
        <v>56</v>
      </c>
      <c r="D1612" t="s">
        <v>19</v>
      </c>
      <c r="E1612" t="s">
        <v>1037</v>
      </c>
      <c r="F1612" t="s">
        <v>21</v>
      </c>
      <c r="G1612" t="s">
        <v>70</v>
      </c>
      <c r="H1612">
        <v>10</v>
      </c>
      <c r="I1612">
        <v>72.45</v>
      </c>
      <c r="J1612">
        <v>0.1</v>
      </c>
      <c r="K1612">
        <v>652.04999999999995</v>
      </c>
    </row>
    <row r="1613" spans="1:11" x14ac:dyDescent="0.35">
      <c r="A1613" t="s">
        <v>1993</v>
      </c>
      <c r="B1613" s="1">
        <v>45589</v>
      </c>
      <c r="C1613" t="s">
        <v>38</v>
      </c>
      <c r="D1613" t="s">
        <v>13</v>
      </c>
      <c r="E1613" t="s">
        <v>608</v>
      </c>
      <c r="F1613" t="s">
        <v>15</v>
      </c>
      <c r="G1613" t="s">
        <v>111</v>
      </c>
      <c r="H1613">
        <v>11</v>
      </c>
      <c r="I1613">
        <v>37.68</v>
      </c>
      <c r="J1613">
        <v>0.1</v>
      </c>
      <c r="K1613">
        <v>373.03</v>
      </c>
    </row>
    <row r="1614" spans="1:11" x14ac:dyDescent="0.35">
      <c r="A1614" t="s">
        <v>1994</v>
      </c>
      <c r="B1614" s="2">
        <v>45514</v>
      </c>
      <c r="C1614" t="s">
        <v>24</v>
      </c>
      <c r="D1614" t="s">
        <v>25</v>
      </c>
      <c r="E1614" t="s">
        <v>720</v>
      </c>
      <c r="F1614" t="s">
        <v>21</v>
      </c>
      <c r="G1614" t="s">
        <v>194</v>
      </c>
      <c r="H1614">
        <v>12</v>
      </c>
      <c r="I1614">
        <v>199.03</v>
      </c>
      <c r="J1614">
        <v>0.15</v>
      </c>
      <c r="K1614">
        <v>2030.11</v>
      </c>
    </row>
    <row r="1615" spans="1:11" x14ac:dyDescent="0.35">
      <c r="A1615" t="s">
        <v>1995</v>
      </c>
      <c r="B1615" t="s">
        <v>1996</v>
      </c>
      <c r="C1615" t="s">
        <v>41</v>
      </c>
      <c r="D1615" t="s">
        <v>57</v>
      </c>
      <c r="E1615" t="s">
        <v>429</v>
      </c>
      <c r="F1615" t="s">
        <v>35</v>
      </c>
      <c r="G1615" t="s">
        <v>83</v>
      </c>
      <c r="H1615">
        <v>1</v>
      </c>
      <c r="I1615">
        <v>77.94</v>
      </c>
      <c r="J1615">
        <v>0.05</v>
      </c>
      <c r="K1615">
        <v>74.040000000000006</v>
      </c>
    </row>
    <row r="1616" spans="1:11" x14ac:dyDescent="0.35">
      <c r="A1616" t="s">
        <v>1997</v>
      </c>
      <c r="B1616" s="1">
        <v>45345</v>
      </c>
      <c r="C1616" t="s">
        <v>24</v>
      </c>
      <c r="D1616" t="s">
        <v>13</v>
      </c>
      <c r="E1616" t="s">
        <v>390</v>
      </c>
      <c r="F1616" t="s">
        <v>53</v>
      </c>
      <c r="G1616" t="s">
        <v>125</v>
      </c>
      <c r="H1616">
        <v>12</v>
      </c>
      <c r="I1616">
        <v>216.04</v>
      </c>
      <c r="J1616">
        <v>0.05</v>
      </c>
      <c r="K1616">
        <v>2462.86</v>
      </c>
    </row>
    <row r="1617" spans="1:11" x14ac:dyDescent="0.35">
      <c r="A1617" t="s">
        <v>1998</v>
      </c>
      <c r="B1617" t="s">
        <v>154</v>
      </c>
      <c r="C1617" t="s">
        <v>24</v>
      </c>
      <c r="D1617" t="s">
        <v>57</v>
      </c>
      <c r="E1617" t="s">
        <v>825</v>
      </c>
      <c r="F1617" t="s">
        <v>21</v>
      </c>
      <c r="G1617" t="s">
        <v>194</v>
      </c>
      <c r="H1617">
        <v>10</v>
      </c>
      <c r="I1617">
        <v>29.47</v>
      </c>
      <c r="J1617">
        <v>0</v>
      </c>
      <c r="K1617">
        <v>294.7</v>
      </c>
    </row>
    <row r="1618" spans="1:11" x14ac:dyDescent="0.35">
      <c r="A1618" t="s">
        <v>1999</v>
      </c>
      <c r="B1618" s="1">
        <v>45513</v>
      </c>
      <c r="C1618" t="s">
        <v>24</v>
      </c>
      <c r="D1618" t="s">
        <v>13</v>
      </c>
      <c r="E1618" t="s">
        <v>221</v>
      </c>
      <c r="F1618" t="s">
        <v>53</v>
      </c>
      <c r="G1618" t="s">
        <v>63</v>
      </c>
      <c r="H1618">
        <v>1</v>
      </c>
      <c r="I1618">
        <v>76.25</v>
      </c>
      <c r="J1618">
        <v>0.05</v>
      </c>
      <c r="K1618">
        <v>72.44</v>
      </c>
    </row>
    <row r="1619" spans="1:11" x14ac:dyDescent="0.35">
      <c r="A1619" t="s">
        <v>2000</v>
      </c>
      <c r="B1619" s="2">
        <v>45612</v>
      </c>
      <c r="C1619" t="s">
        <v>24</v>
      </c>
      <c r="D1619" t="s">
        <v>57</v>
      </c>
      <c r="E1619" t="s">
        <v>489</v>
      </c>
      <c r="F1619" t="s">
        <v>44</v>
      </c>
      <c r="G1619" t="s">
        <v>50</v>
      </c>
      <c r="H1619">
        <v>4</v>
      </c>
      <c r="I1619">
        <v>17.989999999999998</v>
      </c>
      <c r="J1619">
        <v>0</v>
      </c>
      <c r="K1619">
        <v>71.959999999999994</v>
      </c>
    </row>
    <row r="1620" spans="1:11" x14ac:dyDescent="0.35">
      <c r="A1620" t="s">
        <v>2001</v>
      </c>
      <c r="B1620" t="s">
        <v>2002</v>
      </c>
      <c r="C1620" t="s">
        <v>24</v>
      </c>
      <c r="D1620" t="s">
        <v>57</v>
      </c>
      <c r="E1620" t="s">
        <v>521</v>
      </c>
      <c r="F1620" t="s">
        <v>53</v>
      </c>
      <c r="G1620" t="s">
        <v>260</v>
      </c>
      <c r="H1620">
        <v>11</v>
      </c>
      <c r="I1620">
        <v>237.87</v>
      </c>
      <c r="J1620">
        <v>0</v>
      </c>
      <c r="K1620">
        <v>2616.5700000000002</v>
      </c>
    </row>
    <row r="1621" spans="1:11" x14ac:dyDescent="0.35">
      <c r="A1621" t="s">
        <v>2003</v>
      </c>
      <c r="B1621" t="s">
        <v>1623</v>
      </c>
      <c r="C1621" t="s">
        <v>102</v>
      </c>
      <c r="D1621" t="s">
        <v>25</v>
      </c>
      <c r="E1621" t="s">
        <v>266</v>
      </c>
      <c r="F1621" t="s">
        <v>21</v>
      </c>
      <c r="G1621" t="s">
        <v>22</v>
      </c>
      <c r="H1621">
        <v>5</v>
      </c>
      <c r="I1621">
        <v>213.09</v>
      </c>
      <c r="J1621">
        <v>0.15</v>
      </c>
      <c r="K1621">
        <v>905.63</v>
      </c>
    </row>
    <row r="1622" spans="1:11" x14ac:dyDescent="0.35">
      <c r="A1622" t="s">
        <v>2004</v>
      </c>
      <c r="B1622" s="1">
        <v>45476</v>
      </c>
      <c r="C1622" t="s">
        <v>29</v>
      </c>
      <c r="D1622" t="s">
        <v>57</v>
      </c>
      <c r="E1622" t="s">
        <v>233</v>
      </c>
      <c r="F1622" t="s">
        <v>15</v>
      </c>
      <c r="G1622" t="s">
        <v>27</v>
      </c>
      <c r="H1622">
        <v>10</v>
      </c>
      <c r="I1622">
        <v>224.42</v>
      </c>
      <c r="J1622">
        <v>0</v>
      </c>
      <c r="K1622">
        <v>2244.1999999999998</v>
      </c>
    </row>
    <row r="1623" spans="1:11" x14ac:dyDescent="0.35">
      <c r="A1623" t="s">
        <v>2005</v>
      </c>
      <c r="B1623" s="1">
        <v>45312</v>
      </c>
      <c r="C1623" t="s">
        <v>38</v>
      </c>
      <c r="D1623" t="s">
        <v>19</v>
      </c>
      <c r="E1623" t="s">
        <v>437</v>
      </c>
      <c r="F1623" t="s">
        <v>15</v>
      </c>
      <c r="G1623" t="s">
        <v>147</v>
      </c>
      <c r="H1623">
        <v>11</v>
      </c>
      <c r="I1623">
        <v>188.75</v>
      </c>
      <c r="J1623">
        <v>0.05</v>
      </c>
      <c r="K1623">
        <v>1972.44</v>
      </c>
    </row>
    <row r="1624" spans="1:11" x14ac:dyDescent="0.35">
      <c r="A1624" t="s">
        <v>2006</v>
      </c>
      <c r="B1624" s="2">
        <v>45393</v>
      </c>
      <c r="C1624" t="s">
        <v>72</v>
      </c>
      <c r="D1624" t="s">
        <v>25</v>
      </c>
      <c r="E1624" t="s">
        <v>225</v>
      </c>
      <c r="F1624" t="s">
        <v>21</v>
      </c>
      <c r="G1624" t="s">
        <v>70</v>
      </c>
      <c r="H1624">
        <v>10</v>
      </c>
      <c r="I1624">
        <v>59.01</v>
      </c>
      <c r="J1624">
        <v>0</v>
      </c>
      <c r="K1624">
        <v>590.1</v>
      </c>
    </row>
    <row r="1625" spans="1:11" x14ac:dyDescent="0.35">
      <c r="A1625" t="s">
        <v>2007</v>
      </c>
      <c r="B1625" s="1">
        <v>45336</v>
      </c>
      <c r="C1625" t="s">
        <v>38</v>
      </c>
      <c r="D1625" t="s">
        <v>42</v>
      </c>
      <c r="F1625" t="s">
        <v>35</v>
      </c>
      <c r="G1625" t="s">
        <v>83</v>
      </c>
      <c r="H1625">
        <v>6</v>
      </c>
      <c r="I1625">
        <v>221.77</v>
      </c>
      <c r="J1625">
        <v>0</v>
      </c>
      <c r="K1625">
        <v>1330.62</v>
      </c>
    </row>
    <row r="1626" spans="1:11" x14ac:dyDescent="0.35">
      <c r="A1626" t="s">
        <v>2008</v>
      </c>
      <c r="B1626" s="1">
        <v>45488</v>
      </c>
      <c r="C1626" t="s">
        <v>18</v>
      </c>
      <c r="D1626" t="s">
        <v>25</v>
      </c>
      <c r="E1626" t="s">
        <v>139</v>
      </c>
      <c r="F1626" t="s">
        <v>53</v>
      </c>
      <c r="G1626" t="s">
        <v>260</v>
      </c>
      <c r="H1626">
        <v>6</v>
      </c>
      <c r="I1626">
        <v>241</v>
      </c>
      <c r="J1626">
        <v>0</v>
      </c>
      <c r="K1626">
        <v>1446</v>
      </c>
    </row>
    <row r="1627" spans="1:11" x14ac:dyDescent="0.35">
      <c r="A1627" t="s">
        <v>2009</v>
      </c>
      <c r="B1627" s="1">
        <v>45292</v>
      </c>
      <c r="C1627" t="s">
        <v>12</v>
      </c>
      <c r="D1627" t="s">
        <v>57</v>
      </c>
      <c r="E1627" t="s">
        <v>642</v>
      </c>
      <c r="F1627" t="s">
        <v>15</v>
      </c>
      <c r="G1627" t="s">
        <v>74</v>
      </c>
      <c r="H1627">
        <v>3</v>
      </c>
      <c r="I1627">
        <v>121.82</v>
      </c>
      <c r="J1627">
        <v>0.1</v>
      </c>
      <c r="K1627">
        <v>328.91</v>
      </c>
    </row>
    <row r="1628" spans="1:11" x14ac:dyDescent="0.35">
      <c r="A1628" t="s">
        <v>2010</v>
      </c>
      <c r="B1628" s="1">
        <v>45617</v>
      </c>
      <c r="C1628" t="s">
        <v>56</v>
      </c>
      <c r="D1628" t="s">
        <v>25</v>
      </c>
      <c r="E1628" t="s">
        <v>137</v>
      </c>
      <c r="F1628" t="s">
        <v>35</v>
      </c>
      <c r="G1628" t="s">
        <v>177</v>
      </c>
      <c r="H1628">
        <v>11</v>
      </c>
      <c r="I1628">
        <v>38.86</v>
      </c>
      <c r="J1628">
        <v>0</v>
      </c>
      <c r="K1628">
        <v>427.46</v>
      </c>
    </row>
    <row r="1629" spans="1:11" x14ac:dyDescent="0.35">
      <c r="A1629" t="s">
        <v>2011</v>
      </c>
      <c r="B1629" s="2">
        <v>45554</v>
      </c>
      <c r="C1629" t="s">
        <v>33</v>
      </c>
      <c r="D1629" t="s">
        <v>25</v>
      </c>
      <c r="E1629" t="s">
        <v>330</v>
      </c>
      <c r="F1629" t="s">
        <v>21</v>
      </c>
      <c r="G1629" t="s">
        <v>194</v>
      </c>
      <c r="H1629">
        <v>0</v>
      </c>
      <c r="I1629">
        <v>30.31</v>
      </c>
      <c r="J1629">
        <v>0</v>
      </c>
      <c r="K1629">
        <v>60.62</v>
      </c>
    </row>
    <row r="1630" spans="1:11" x14ac:dyDescent="0.35">
      <c r="A1630" t="s">
        <v>2012</v>
      </c>
      <c r="B1630" s="1">
        <v>45627</v>
      </c>
      <c r="C1630" t="s">
        <v>24</v>
      </c>
      <c r="D1630" t="s">
        <v>19</v>
      </c>
      <c r="E1630" t="s">
        <v>291</v>
      </c>
      <c r="F1630" t="s">
        <v>15</v>
      </c>
      <c r="G1630" t="s">
        <v>74</v>
      </c>
      <c r="H1630">
        <v>3</v>
      </c>
      <c r="I1630">
        <v>70.31</v>
      </c>
      <c r="J1630">
        <v>0</v>
      </c>
      <c r="K1630">
        <v>210.93</v>
      </c>
    </row>
    <row r="1631" spans="1:11" x14ac:dyDescent="0.35">
      <c r="A1631" t="s">
        <v>2013</v>
      </c>
      <c r="B1631" s="1">
        <v>45359</v>
      </c>
      <c r="C1631" t="s">
        <v>65</v>
      </c>
      <c r="D1631" t="s">
        <v>13</v>
      </c>
      <c r="E1631" t="s">
        <v>679</v>
      </c>
      <c r="F1631" t="s">
        <v>15</v>
      </c>
      <c r="G1631" t="s">
        <v>27</v>
      </c>
      <c r="H1631">
        <v>2</v>
      </c>
      <c r="I1631">
        <v>107.8</v>
      </c>
      <c r="J1631">
        <v>0</v>
      </c>
      <c r="K1631">
        <v>215.6</v>
      </c>
    </row>
    <row r="1632" spans="1:11" x14ac:dyDescent="0.35">
      <c r="A1632" t="s">
        <v>2014</v>
      </c>
      <c r="B1632" s="1">
        <v>45541</v>
      </c>
      <c r="C1632" t="s">
        <v>33</v>
      </c>
      <c r="D1632" t="s">
        <v>42</v>
      </c>
      <c r="E1632" t="s">
        <v>351</v>
      </c>
      <c r="F1632" t="s">
        <v>44</v>
      </c>
      <c r="G1632" t="s">
        <v>86</v>
      </c>
      <c r="H1632">
        <v>6</v>
      </c>
      <c r="I1632">
        <v>127.77</v>
      </c>
      <c r="J1632">
        <v>0.05</v>
      </c>
      <c r="K1632">
        <v>728.29</v>
      </c>
    </row>
    <row r="1633" spans="1:11" x14ac:dyDescent="0.35">
      <c r="A1633" t="s">
        <v>2015</v>
      </c>
      <c r="B1633" t="s">
        <v>1374</v>
      </c>
      <c r="C1633" t="s">
        <v>12</v>
      </c>
      <c r="D1633" t="s">
        <v>19</v>
      </c>
      <c r="E1633" t="s">
        <v>282</v>
      </c>
      <c r="F1633" t="s">
        <v>53</v>
      </c>
      <c r="G1633" t="s">
        <v>59</v>
      </c>
      <c r="H1633">
        <v>4</v>
      </c>
      <c r="I1633">
        <v>217.87</v>
      </c>
      <c r="J1633">
        <v>0</v>
      </c>
      <c r="K1633">
        <v>871.48</v>
      </c>
    </row>
    <row r="1634" spans="1:11" x14ac:dyDescent="0.35">
      <c r="A1634" t="s">
        <v>2016</v>
      </c>
      <c r="B1634" s="1">
        <v>45352</v>
      </c>
      <c r="C1634" t="s">
        <v>41</v>
      </c>
      <c r="D1634" t="s">
        <v>19</v>
      </c>
      <c r="E1634" t="s">
        <v>433</v>
      </c>
      <c r="F1634" t="s">
        <v>44</v>
      </c>
      <c r="G1634" t="s">
        <v>94</v>
      </c>
      <c r="H1634">
        <v>9</v>
      </c>
      <c r="I1634">
        <v>105.08</v>
      </c>
      <c r="J1634">
        <v>0</v>
      </c>
      <c r="K1634">
        <v>945.72</v>
      </c>
    </row>
    <row r="1635" spans="1:11" x14ac:dyDescent="0.35">
      <c r="A1635" t="s">
        <v>2017</v>
      </c>
      <c r="B1635" s="2">
        <v>45318</v>
      </c>
      <c r="C1635" t="s">
        <v>33</v>
      </c>
      <c r="D1635" t="s">
        <v>19</v>
      </c>
      <c r="E1635" t="s">
        <v>531</v>
      </c>
      <c r="F1635" t="s">
        <v>53</v>
      </c>
      <c r="G1635" t="s">
        <v>59</v>
      </c>
      <c r="H1635">
        <v>3</v>
      </c>
      <c r="I1635">
        <v>126.4</v>
      </c>
      <c r="J1635">
        <v>0</v>
      </c>
      <c r="K1635">
        <v>379.2</v>
      </c>
    </row>
    <row r="1636" spans="1:11" x14ac:dyDescent="0.35">
      <c r="A1636" t="s">
        <v>2018</v>
      </c>
      <c r="B1636" s="1">
        <v>45632</v>
      </c>
      <c r="C1636" t="s">
        <v>12</v>
      </c>
      <c r="D1636" t="s">
        <v>25</v>
      </c>
      <c r="E1636" t="s">
        <v>683</v>
      </c>
      <c r="F1636" t="s">
        <v>44</v>
      </c>
      <c r="G1636" t="s">
        <v>107</v>
      </c>
      <c r="H1636">
        <v>3</v>
      </c>
      <c r="I1636">
        <v>245.59</v>
      </c>
      <c r="J1636">
        <v>0.1</v>
      </c>
      <c r="K1636">
        <v>663.09</v>
      </c>
    </row>
    <row r="1637" spans="1:11" x14ac:dyDescent="0.35">
      <c r="A1637" t="s">
        <v>2019</v>
      </c>
      <c r="B1637" t="s">
        <v>1765</v>
      </c>
      <c r="C1637" t="s">
        <v>102</v>
      </c>
      <c r="D1637" t="s">
        <v>13</v>
      </c>
      <c r="E1637" t="s">
        <v>510</v>
      </c>
      <c r="F1637" t="s">
        <v>44</v>
      </c>
      <c r="G1637" t="s">
        <v>86</v>
      </c>
      <c r="H1637">
        <v>3</v>
      </c>
      <c r="I1637">
        <v>114.32</v>
      </c>
      <c r="J1637">
        <v>0.1</v>
      </c>
      <c r="K1637">
        <v>308.66000000000003</v>
      </c>
    </row>
    <row r="1638" spans="1:11" x14ac:dyDescent="0.35">
      <c r="A1638" t="s">
        <v>2020</v>
      </c>
      <c r="B1638" s="1">
        <v>45340</v>
      </c>
      <c r="C1638" t="s">
        <v>65</v>
      </c>
      <c r="D1638" t="s">
        <v>19</v>
      </c>
      <c r="E1638" t="s">
        <v>480</v>
      </c>
      <c r="F1638" t="s">
        <v>35</v>
      </c>
      <c r="G1638" t="s">
        <v>36</v>
      </c>
      <c r="H1638">
        <v>11</v>
      </c>
      <c r="I1638">
        <v>62.63</v>
      </c>
      <c r="J1638">
        <v>0.15</v>
      </c>
      <c r="K1638">
        <v>585.59</v>
      </c>
    </row>
    <row r="1639" spans="1:11" x14ac:dyDescent="0.35">
      <c r="A1639" t="s">
        <v>2021</v>
      </c>
      <c r="B1639" s="1">
        <v>45631</v>
      </c>
      <c r="C1639" t="s">
        <v>90</v>
      </c>
      <c r="D1639" t="s">
        <v>42</v>
      </c>
      <c r="E1639" t="s">
        <v>608</v>
      </c>
      <c r="F1639" t="s">
        <v>44</v>
      </c>
      <c r="G1639" t="s">
        <v>50</v>
      </c>
      <c r="H1639">
        <v>5</v>
      </c>
      <c r="I1639">
        <v>210.77</v>
      </c>
      <c r="J1639">
        <v>0.1</v>
      </c>
      <c r="K1639">
        <v>948.47</v>
      </c>
    </row>
    <row r="1640" spans="1:11" x14ac:dyDescent="0.35">
      <c r="A1640" t="s">
        <v>2022</v>
      </c>
      <c r="B1640" s="1">
        <v>45475</v>
      </c>
      <c r="C1640" t="s">
        <v>56</v>
      </c>
      <c r="D1640" t="s">
        <v>25</v>
      </c>
      <c r="E1640" t="s">
        <v>448</v>
      </c>
      <c r="F1640" t="s">
        <v>35</v>
      </c>
      <c r="G1640" t="s">
        <v>83</v>
      </c>
      <c r="H1640">
        <v>11</v>
      </c>
      <c r="I1640">
        <v>243.23</v>
      </c>
      <c r="J1640">
        <v>0</v>
      </c>
      <c r="K1640">
        <v>2675.53</v>
      </c>
    </row>
    <row r="1641" spans="1:11" x14ac:dyDescent="0.35">
      <c r="A1641" t="s">
        <v>2023</v>
      </c>
      <c r="B1641" s="2">
        <v>45563</v>
      </c>
      <c r="C1641" t="s">
        <v>48</v>
      </c>
      <c r="D1641" t="s">
        <v>19</v>
      </c>
      <c r="E1641" t="s">
        <v>39</v>
      </c>
      <c r="F1641" t="s">
        <v>21</v>
      </c>
      <c r="G1641" t="s">
        <v>194</v>
      </c>
      <c r="H1641">
        <v>2</v>
      </c>
      <c r="I1641">
        <v>132.06</v>
      </c>
      <c r="J1641">
        <v>0.15</v>
      </c>
      <c r="K1641">
        <v>224.5</v>
      </c>
    </row>
    <row r="1642" spans="1:11" x14ac:dyDescent="0.35">
      <c r="A1642" t="s">
        <v>2024</v>
      </c>
      <c r="B1642" s="1">
        <v>45326</v>
      </c>
      <c r="C1642" t="s">
        <v>33</v>
      </c>
      <c r="D1642" t="s">
        <v>19</v>
      </c>
      <c r="E1642" t="s">
        <v>865</v>
      </c>
      <c r="F1642" t="s">
        <v>35</v>
      </c>
      <c r="G1642" t="s">
        <v>36</v>
      </c>
      <c r="H1642">
        <v>10</v>
      </c>
      <c r="I1642">
        <v>107.31</v>
      </c>
      <c r="J1642">
        <v>0</v>
      </c>
      <c r="K1642">
        <v>1073.0999999999999</v>
      </c>
    </row>
    <row r="1643" spans="1:11" x14ac:dyDescent="0.35">
      <c r="A1643" t="s">
        <v>2025</v>
      </c>
      <c r="B1643" s="1">
        <v>45384</v>
      </c>
      <c r="C1643" t="s">
        <v>90</v>
      </c>
      <c r="D1643" t="s">
        <v>57</v>
      </c>
      <c r="E1643" t="s">
        <v>608</v>
      </c>
      <c r="F1643" t="s">
        <v>15</v>
      </c>
      <c r="G1643" t="s">
        <v>111</v>
      </c>
      <c r="H1643">
        <v>7</v>
      </c>
      <c r="I1643">
        <v>245.42</v>
      </c>
      <c r="J1643">
        <v>0</v>
      </c>
      <c r="K1643">
        <v>1717.94</v>
      </c>
    </row>
    <row r="1644" spans="1:11" x14ac:dyDescent="0.35">
      <c r="A1644" t="s">
        <v>2026</v>
      </c>
      <c r="B1644" t="s">
        <v>1374</v>
      </c>
      <c r="C1644" t="s">
        <v>56</v>
      </c>
      <c r="D1644" t="s">
        <v>42</v>
      </c>
      <c r="E1644" t="s">
        <v>321</v>
      </c>
      <c r="F1644" t="s">
        <v>15</v>
      </c>
      <c r="G1644" t="s">
        <v>16</v>
      </c>
      <c r="H1644">
        <v>4</v>
      </c>
      <c r="I1644">
        <v>23.3</v>
      </c>
      <c r="J1644">
        <v>0</v>
      </c>
      <c r="K1644">
        <v>93.2</v>
      </c>
    </row>
    <row r="1645" spans="1:11" x14ac:dyDescent="0.35">
      <c r="A1645" t="s">
        <v>2027</v>
      </c>
      <c r="B1645" t="s">
        <v>983</v>
      </c>
      <c r="C1645" t="s">
        <v>29</v>
      </c>
      <c r="D1645" t="s">
        <v>57</v>
      </c>
      <c r="E1645" t="s">
        <v>150</v>
      </c>
      <c r="F1645" t="s">
        <v>44</v>
      </c>
      <c r="G1645" t="s">
        <v>86</v>
      </c>
      <c r="H1645">
        <v>8</v>
      </c>
      <c r="I1645">
        <v>106.77</v>
      </c>
      <c r="J1645">
        <v>0</v>
      </c>
      <c r="K1645">
        <v>854.16</v>
      </c>
    </row>
    <row r="1646" spans="1:11" x14ac:dyDescent="0.35">
      <c r="A1646" t="s">
        <v>880</v>
      </c>
      <c r="B1646" s="1">
        <v>45476</v>
      </c>
      <c r="C1646" t="s">
        <v>12</v>
      </c>
      <c r="D1646" t="s">
        <v>25</v>
      </c>
      <c r="E1646" t="s">
        <v>881</v>
      </c>
      <c r="F1646" t="s">
        <v>15</v>
      </c>
      <c r="G1646" t="s">
        <v>74</v>
      </c>
      <c r="H1646">
        <v>11</v>
      </c>
      <c r="I1646">
        <v>243.9</v>
      </c>
      <c r="J1646">
        <v>0</v>
      </c>
      <c r="K1646">
        <v>2682.9</v>
      </c>
    </row>
    <row r="1647" spans="1:11" x14ac:dyDescent="0.35">
      <c r="A1647" t="s">
        <v>2028</v>
      </c>
      <c r="B1647" s="1">
        <v>45514</v>
      </c>
      <c r="C1647" t="s">
        <v>90</v>
      </c>
      <c r="D1647" t="s">
        <v>57</v>
      </c>
      <c r="E1647" t="s">
        <v>810</v>
      </c>
      <c r="F1647" t="s">
        <v>53</v>
      </c>
      <c r="G1647" t="s">
        <v>63</v>
      </c>
      <c r="H1647">
        <v>9</v>
      </c>
      <c r="I1647">
        <v>194.34</v>
      </c>
      <c r="J1647">
        <v>0.05</v>
      </c>
      <c r="K1647">
        <v>1661.61</v>
      </c>
    </row>
    <row r="1648" spans="1:11" x14ac:dyDescent="0.35">
      <c r="A1648" t="s">
        <v>2029</v>
      </c>
      <c r="B1648" s="1">
        <v>45463</v>
      </c>
      <c r="C1648" t="s">
        <v>41</v>
      </c>
      <c r="D1648" t="s">
        <v>13</v>
      </c>
      <c r="E1648" t="s">
        <v>250</v>
      </c>
      <c r="F1648" t="s">
        <v>15</v>
      </c>
      <c r="G1648" t="s">
        <v>74</v>
      </c>
      <c r="H1648">
        <v>3</v>
      </c>
      <c r="I1648">
        <v>34.58</v>
      </c>
      <c r="J1648">
        <v>0.05</v>
      </c>
      <c r="K1648">
        <v>98.55</v>
      </c>
    </row>
    <row r="1649" spans="1:11" x14ac:dyDescent="0.35">
      <c r="A1649" t="s">
        <v>2030</v>
      </c>
      <c r="B1649" s="1">
        <v>45573</v>
      </c>
      <c r="C1649" t="s">
        <v>18</v>
      </c>
      <c r="D1649" t="s">
        <v>25</v>
      </c>
      <c r="E1649" t="s">
        <v>379</v>
      </c>
      <c r="F1649" t="s">
        <v>53</v>
      </c>
      <c r="G1649" t="s">
        <v>260</v>
      </c>
      <c r="H1649">
        <v>7</v>
      </c>
      <c r="I1649">
        <v>158.61000000000001</v>
      </c>
      <c r="J1649">
        <v>0</v>
      </c>
      <c r="K1649">
        <v>1110.27</v>
      </c>
    </row>
    <row r="1650" spans="1:11" x14ac:dyDescent="0.35">
      <c r="A1650" t="s">
        <v>2031</v>
      </c>
      <c r="B1650" s="1">
        <v>45365</v>
      </c>
      <c r="C1650" t="s">
        <v>48</v>
      </c>
      <c r="D1650" t="s">
        <v>13</v>
      </c>
      <c r="E1650" t="s">
        <v>219</v>
      </c>
      <c r="F1650" t="s">
        <v>35</v>
      </c>
      <c r="G1650" t="s">
        <v>36</v>
      </c>
      <c r="H1650">
        <v>11</v>
      </c>
      <c r="I1650">
        <v>11.19</v>
      </c>
      <c r="J1650">
        <v>0.15</v>
      </c>
      <c r="K1650">
        <v>104.63</v>
      </c>
    </row>
    <row r="1651" spans="1:11" x14ac:dyDescent="0.35">
      <c r="A1651" t="s">
        <v>2032</v>
      </c>
      <c r="B1651" s="1">
        <v>45368</v>
      </c>
      <c r="C1651" t="s">
        <v>48</v>
      </c>
      <c r="D1651" t="s">
        <v>42</v>
      </c>
      <c r="E1651" t="s">
        <v>679</v>
      </c>
      <c r="F1651" t="s">
        <v>44</v>
      </c>
      <c r="G1651" t="s">
        <v>94</v>
      </c>
      <c r="H1651">
        <v>5</v>
      </c>
      <c r="I1651">
        <v>158.07</v>
      </c>
      <c r="J1651">
        <v>0</v>
      </c>
      <c r="K1651">
        <v>790.35</v>
      </c>
    </row>
    <row r="1652" spans="1:11" x14ac:dyDescent="0.35">
      <c r="A1652" t="s">
        <v>2033</v>
      </c>
      <c r="B1652" s="2">
        <v>45539</v>
      </c>
      <c r="C1652" t="s">
        <v>33</v>
      </c>
      <c r="D1652" t="s">
        <v>25</v>
      </c>
      <c r="E1652" t="s">
        <v>562</v>
      </c>
      <c r="F1652" t="s">
        <v>53</v>
      </c>
      <c r="G1652" t="s">
        <v>59</v>
      </c>
      <c r="H1652">
        <v>9</v>
      </c>
      <c r="I1652">
        <v>106.56</v>
      </c>
      <c r="J1652">
        <v>0.1</v>
      </c>
      <c r="K1652">
        <v>863.14</v>
      </c>
    </row>
    <row r="1653" spans="1:11" x14ac:dyDescent="0.35">
      <c r="A1653" t="s">
        <v>2034</v>
      </c>
      <c r="B1653" s="1">
        <v>45580</v>
      </c>
      <c r="C1653" t="s">
        <v>29</v>
      </c>
      <c r="D1653" t="s">
        <v>57</v>
      </c>
      <c r="E1653" t="s">
        <v>113</v>
      </c>
      <c r="F1653" t="s">
        <v>44</v>
      </c>
      <c r="G1653" t="s">
        <v>107</v>
      </c>
      <c r="H1653">
        <v>6</v>
      </c>
      <c r="I1653">
        <v>145.66999999999999</v>
      </c>
      <c r="J1653">
        <v>0</v>
      </c>
      <c r="K1653">
        <v>874.02</v>
      </c>
    </row>
    <row r="1654" spans="1:11" x14ac:dyDescent="0.35">
      <c r="A1654" t="s">
        <v>2035</v>
      </c>
      <c r="B1654" s="2">
        <v>45582</v>
      </c>
      <c r="C1654" t="s">
        <v>18</v>
      </c>
      <c r="D1654" t="s">
        <v>13</v>
      </c>
      <c r="E1654" t="s">
        <v>521</v>
      </c>
      <c r="F1654" t="s">
        <v>21</v>
      </c>
      <c r="G1654" t="s">
        <v>70</v>
      </c>
      <c r="H1654">
        <v>1</v>
      </c>
      <c r="I1654">
        <v>28.86</v>
      </c>
      <c r="J1654">
        <v>0</v>
      </c>
      <c r="K1654">
        <v>28.86</v>
      </c>
    </row>
    <row r="1655" spans="1:11" x14ac:dyDescent="0.35">
      <c r="A1655" t="s">
        <v>2036</v>
      </c>
      <c r="B1655" t="s">
        <v>1852</v>
      </c>
      <c r="C1655" t="s">
        <v>41</v>
      </c>
      <c r="D1655" t="s">
        <v>19</v>
      </c>
      <c r="E1655" t="s">
        <v>217</v>
      </c>
      <c r="F1655" t="s">
        <v>53</v>
      </c>
      <c r="G1655" t="s">
        <v>54</v>
      </c>
      <c r="H1655">
        <v>12</v>
      </c>
      <c r="I1655">
        <v>13.94</v>
      </c>
      <c r="J1655">
        <v>0.1</v>
      </c>
      <c r="K1655">
        <v>150.55000000000001</v>
      </c>
    </row>
    <row r="1656" spans="1:11" x14ac:dyDescent="0.35">
      <c r="A1656" t="s">
        <v>2037</v>
      </c>
      <c r="B1656" s="1">
        <v>45591</v>
      </c>
      <c r="C1656" t="s">
        <v>72</v>
      </c>
      <c r="D1656" t="s">
        <v>13</v>
      </c>
      <c r="E1656" t="s">
        <v>160</v>
      </c>
      <c r="F1656" t="s">
        <v>15</v>
      </c>
      <c r="G1656" t="s">
        <v>16</v>
      </c>
      <c r="H1656">
        <v>11</v>
      </c>
      <c r="I1656">
        <v>135.43</v>
      </c>
      <c r="J1656">
        <v>0.15</v>
      </c>
      <c r="K1656">
        <v>1266.27</v>
      </c>
    </row>
    <row r="1657" spans="1:11" x14ac:dyDescent="0.35">
      <c r="A1657" t="s">
        <v>2038</v>
      </c>
      <c r="B1657" s="1">
        <v>45479</v>
      </c>
      <c r="C1657" t="s">
        <v>48</v>
      </c>
      <c r="E1657" t="s">
        <v>865</v>
      </c>
      <c r="F1657" t="s">
        <v>53</v>
      </c>
      <c r="G1657" t="s">
        <v>104</v>
      </c>
      <c r="H1657">
        <v>2</v>
      </c>
      <c r="I1657">
        <v>53.28</v>
      </c>
      <c r="J1657">
        <v>0</v>
      </c>
      <c r="K1657">
        <v>106.56</v>
      </c>
    </row>
    <row r="1658" spans="1:11" x14ac:dyDescent="0.35">
      <c r="A1658" t="s">
        <v>2039</v>
      </c>
      <c r="B1658" s="1">
        <v>45596</v>
      </c>
      <c r="C1658" t="s">
        <v>29</v>
      </c>
      <c r="D1658" t="s">
        <v>57</v>
      </c>
      <c r="E1658" t="s">
        <v>110</v>
      </c>
      <c r="F1658" t="s">
        <v>35</v>
      </c>
      <c r="G1658" t="s">
        <v>67</v>
      </c>
      <c r="H1658">
        <v>10</v>
      </c>
      <c r="I1658">
        <v>14.16</v>
      </c>
      <c r="J1658">
        <v>0.05</v>
      </c>
      <c r="K1658">
        <v>134.52000000000001</v>
      </c>
    </row>
    <row r="1659" spans="1:11" x14ac:dyDescent="0.35">
      <c r="A1659" t="s">
        <v>2040</v>
      </c>
      <c r="B1659" s="2">
        <v>45611</v>
      </c>
      <c r="C1659" t="s">
        <v>48</v>
      </c>
      <c r="D1659" t="s">
        <v>19</v>
      </c>
      <c r="E1659" t="s">
        <v>696</v>
      </c>
      <c r="F1659" t="s">
        <v>21</v>
      </c>
      <c r="G1659" t="s">
        <v>167</v>
      </c>
      <c r="H1659">
        <v>6</v>
      </c>
      <c r="I1659">
        <v>164.21</v>
      </c>
      <c r="J1659">
        <v>0.15</v>
      </c>
      <c r="K1659">
        <v>837.47</v>
      </c>
    </row>
    <row r="1660" spans="1:11" x14ac:dyDescent="0.35">
      <c r="A1660" t="s">
        <v>2041</v>
      </c>
      <c r="B1660" s="2">
        <v>45577</v>
      </c>
      <c r="C1660" t="s">
        <v>18</v>
      </c>
      <c r="D1660" t="s">
        <v>13</v>
      </c>
      <c r="E1660" t="s">
        <v>510</v>
      </c>
      <c r="F1660" t="s">
        <v>21</v>
      </c>
      <c r="G1660" t="s">
        <v>70</v>
      </c>
      <c r="H1660">
        <v>11</v>
      </c>
      <c r="I1660">
        <v>187.8</v>
      </c>
      <c r="J1660">
        <v>0.1</v>
      </c>
      <c r="K1660">
        <v>1859.22</v>
      </c>
    </row>
    <row r="1661" spans="1:11" x14ac:dyDescent="0.35">
      <c r="A1661" t="s">
        <v>2042</v>
      </c>
      <c r="B1661" t="s">
        <v>2043</v>
      </c>
      <c r="C1661" t="s">
        <v>38</v>
      </c>
      <c r="D1661" t="s">
        <v>13</v>
      </c>
      <c r="E1661" t="s">
        <v>100</v>
      </c>
      <c r="F1661" t="s">
        <v>21</v>
      </c>
      <c r="G1661" t="s">
        <v>194</v>
      </c>
      <c r="H1661">
        <v>7</v>
      </c>
      <c r="I1661">
        <v>143.84</v>
      </c>
      <c r="J1661">
        <v>0.15</v>
      </c>
      <c r="K1661">
        <v>855.85</v>
      </c>
    </row>
    <row r="1662" spans="1:11" x14ac:dyDescent="0.35">
      <c r="A1662" t="s">
        <v>2044</v>
      </c>
      <c r="B1662" t="s">
        <v>1031</v>
      </c>
      <c r="C1662" t="s">
        <v>38</v>
      </c>
      <c r="D1662" t="s">
        <v>25</v>
      </c>
      <c r="E1662" t="s">
        <v>30</v>
      </c>
      <c r="F1662" t="s">
        <v>35</v>
      </c>
      <c r="G1662" t="s">
        <v>83</v>
      </c>
      <c r="H1662">
        <v>6</v>
      </c>
      <c r="I1662">
        <v>83.85</v>
      </c>
      <c r="J1662">
        <v>0.1</v>
      </c>
      <c r="K1662">
        <v>452.79</v>
      </c>
    </row>
    <row r="1663" spans="1:11" x14ac:dyDescent="0.35">
      <c r="A1663" t="s">
        <v>2045</v>
      </c>
      <c r="B1663" s="1">
        <v>45603</v>
      </c>
      <c r="C1663" t="s">
        <v>18</v>
      </c>
      <c r="D1663" t="s">
        <v>19</v>
      </c>
      <c r="E1663" t="s">
        <v>231</v>
      </c>
      <c r="F1663" t="s">
        <v>21</v>
      </c>
      <c r="G1663" t="s">
        <v>70</v>
      </c>
      <c r="H1663">
        <v>12</v>
      </c>
      <c r="I1663">
        <v>179.62</v>
      </c>
      <c r="J1663">
        <v>0.15</v>
      </c>
      <c r="K1663">
        <v>1832.12</v>
      </c>
    </row>
    <row r="1664" spans="1:11" x14ac:dyDescent="0.35">
      <c r="A1664" t="s">
        <v>2046</v>
      </c>
      <c r="B1664" s="1">
        <v>45331</v>
      </c>
      <c r="C1664" t="s">
        <v>72</v>
      </c>
      <c r="D1664" t="s">
        <v>42</v>
      </c>
      <c r="E1664" t="s">
        <v>586</v>
      </c>
      <c r="F1664" t="s">
        <v>35</v>
      </c>
      <c r="G1664" t="s">
        <v>134</v>
      </c>
      <c r="H1664">
        <v>4</v>
      </c>
      <c r="I1664">
        <v>66.67</v>
      </c>
      <c r="J1664">
        <v>0.15</v>
      </c>
      <c r="K1664">
        <v>226.68</v>
      </c>
    </row>
    <row r="1665" spans="1:11" x14ac:dyDescent="0.35">
      <c r="A1665" t="s">
        <v>2047</v>
      </c>
      <c r="B1665" s="1">
        <v>45528</v>
      </c>
      <c r="C1665" t="s">
        <v>12</v>
      </c>
      <c r="D1665" t="s">
        <v>42</v>
      </c>
      <c r="E1665" t="s">
        <v>304</v>
      </c>
      <c r="F1665" t="s">
        <v>44</v>
      </c>
      <c r="G1665" t="s">
        <v>50</v>
      </c>
      <c r="H1665">
        <v>7</v>
      </c>
      <c r="I1665">
        <v>8.5500000000000007</v>
      </c>
      <c r="J1665">
        <v>0.15</v>
      </c>
      <c r="K1665">
        <v>50.87</v>
      </c>
    </row>
    <row r="1666" spans="1:11" x14ac:dyDescent="0.35">
      <c r="A1666" t="s">
        <v>2048</v>
      </c>
      <c r="B1666" s="1">
        <v>45445</v>
      </c>
      <c r="C1666" t="s">
        <v>48</v>
      </c>
      <c r="D1666" t="s">
        <v>19</v>
      </c>
      <c r="E1666" t="s">
        <v>288</v>
      </c>
      <c r="F1666" t="s">
        <v>15</v>
      </c>
      <c r="G1666" t="s">
        <v>111</v>
      </c>
      <c r="H1666">
        <v>10</v>
      </c>
      <c r="I1666">
        <v>144.77000000000001</v>
      </c>
      <c r="J1666">
        <v>0</v>
      </c>
      <c r="K1666">
        <v>1447.7</v>
      </c>
    </row>
    <row r="1667" spans="1:11" x14ac:dyDescent="0.35">
      <c r="A1667" t="s">
        <v>2049</v>
      </c>
      <c r="B1667" s="1">
        <v>45347</v>
      </c>
      <c r="C1667" t="s">
        <v>102</v>
      </c>
      <c r="D1667" t="s">
        <v>19</v>
      </c>
      <c r="E1667" t="s">
        <v>542</v>
      </c>
      <c r="F1667" t="s">
        <v>44</v>
      </c>
      <c r="G1667" t="s">
        <v>94</v>
      </c>
      <c r="H1667">
        <v>4</v>
      </c>
      <c r="I1667">
        <v>101.75</v>
      </c>
      <c r="J1667">
        <v>0</v>
      </c>
      <c r="K1667">
        <v>407</v>
      </c>
    </row>
    <row r="1668" spans="1:11" x14ac:dyDescent="0.35">
      <c r="A1668" t="s">
        <v>2050</v>
      </c>
      <c r="B1668" t="s">
        <v>2051</v>
      </c>
      <c r="C1668" t="s">
        <v>65</v>
      </c>
      <c r="D1668" t="s">
        <v>42</v>
      </c>
      <c r="E1668" t="s">
        <v>415</v>
      </c>
      <c r="F1668" t="s">
        <v>21</v>
      </c>
      <c r="G1668" t="s">
        <v>22</v>
      </c>
      <c r="H1668">
        <v>11</v>
      </c>
      <c r="I1668">
        <v>132.57</v>
      </c>
      <c r="J1668">
        <v>0</v>
      </c>
      <c r="K1668">
        <v>1458.27</v>
      </c>
    </row>
    <row r="1669" spans="1:11" x14ac:dyDescent="0.35">
      <c r="A1669" t="s">
        <v>2052</v>
      </c>
      <c r="B1669" s="1">
        <v>45299</v>
      </c>
      <c r="C1669" t="s">
        <v>102</v>
      </c>
      <c r="D1669" t="s">
        <v>25</v>
      </c>
      <c r="E1669" t="s">
        <v>69</v>
      </c>
      <c r="F1669" t="s">
        <v>35</v>
      </c>
      <c r="G1669" t="s">
        <v>177</v>
      </c>
      <c r="H1669">
        <v>9</v>
      </c>
      <c r="I1669">
        <v>230.2</v>
      </c>
      <c r="J1669">
        <v>0</v>
      </c>
      <c r="K1669">
        <v>2071.8000000000002</v>
      </c>
    </row>
    <row r="1670" spans="1:11" x14ac:dyDescent="0.35">
      <c r="A1670" t="s">
        <v>2053</v>
      </c>
      <c r="B1670" s="1">
        <v>45407</v>
      </c>
      <c r="C1670" t="s">
        <v>56</v>
      </c>
      <c r="D1670" t="s">
        <v>19</v>
      </c>
      <c r="E1670" t="s">
        <v>477</v>
      </c>
      <c r="F1670" t="s">
        <v>21</v>
      </c>
      <c r="G1670" t="s">
        <v>129</v>
      </c>
      <c r="H1670">
        <v>12</v>
      </c>
      <c r="I1670">
        <v>193.94</v>
      </c>
      <c r="J1670">
        <v>0</v>
      </c>
      <c r="K1670">
        <v>2327.2800000000002</v>
      </c>
    </row>
    <row r="1671" spans="1:11" x14ac:dyDescent="0.35">
      <c r="A1671" t="s">
        <v>2054</v>
      </c>
      <c r="B1671" t="s">
        <v>1424</v>
      </c>
      <c r="C1671" t="s">
        <v>72</v>
      </c>
      <c r="D1671" t="s">
        <v>57</v>
      </c>
      <c r="E1671" t="s">
        <v>404</v>
      </c>
      <c r="F1671" t="s">
        <v>35</v>
      </c>
      <c r="G1671" t="s">
        <v>36</v>
      </c>
      <c r="H1671">
        <v>0</v>
      </c>
      <c r="I1671">
        <v>70.36</v>
      </c>
      <c r="J1671">
        <v>0.15</v>
      </c>
      <c r="K1671">
        <v>478.45</v>
      </c>
    </row>
    <row r="1672" spans="1:11" x14ac:dyDescent="0.35">
      <c r="A1672" t="s">
        <v>2055</v>
      </c>
      <c r="B1672" s="1">
        <v>45358</v>
      </c>
      <c r="C1672" t="s">
        <v>48</v>
      </c>
      <c r="D1672" t="s">
        <v>42</v>
      </c>
      <c r="E1672" t="s">
        <v>510</v>
      </c>
      <c r="F1672" t="s">
        <v>35</v>
      </c>
      <c r="G1672" t="s">
        <v>36</v>
      </c>
      <c r="H1672">
        <v>4</v>
      </c>
      <c r="I1672">
        <v>187.37</v>
      </c>
      <c r="J1672">
        <v>0.05</v>
      </c>
      <c r="K1672">
        <v>712.01</v>
      </c>
    </row>
    <row r="1673" spans="1:11" x14ac:dyDescent="0.35">
      <c r="A1673" t="s">
        <v>2056</v>
      </c>
      <c r="B1673" s="1">
        <v>45538</v>
      </c>
      <c r="C1673" t="s">
        <v>29</v>
      </c>
      <c r="D1673" t="s">
        <v>13</v>
      </c>
      <c r="E1673" t="s">
        <v>357</v>
      </c>
      <c r="F1673" t="s">
        <v>53</v>
      </c>
      <c r="G1673" t="s">
        <v>63</v>
      </c>
      <c r="H1673">
        <v>6</v>
      </c>
      <c r="I1673">
        <v>108.5</v>
      </c>
      <c r="J1673">
        <v>0.1</v>
      </c>
      <c r="K1673">
        <v>585.9</v>
      </c>
    </row>
    <row r="1674" spans="1:11" x14ac:dyDescent="0.35">
      <c r="A1674" t="s">
        <v>2057</v>
      </c>
      <c r="B1674" s="1">
        <v>45317</v>
      </c>
      <c r="C1674" t="s">
        <v>33</v>
      </c>
      <c r="D1674" t="s">
        <v>25</v>
      </c>
      <c r="E1674" t="s">
        <v>720</v>
      </c>
      <c r="F1674" t="s">
        <v>44</v>
      </c>
      <c r="G1674" t="s">
        <v>86</v>
      </c>
      <c r="H1674">
        <v>1</v>
      </c>
      <c r="I1674">
        <v>236.96</v>
      </c>
      <c r="J1674">
        <v>0</v>
      </c>
      <c r="K1674">
        <v>236.96</v>
      </c>
    </row>
    <row r="1675" spans="1:11" x14ac:dyDescent="0.35">
      <c r="A1675" t="s">
        <v>1974</v>
      </c>
      <c r="B1675" t="s">
        <v>1975</v>
      </c>
      <c r="C1675" t="s">
        <v>24</v>
      </c>
      <c r="D1675" t="s">
        <v>57</v>
      </c>
      <c r="E1675" t="s">
        <v>62</v>
      </c>
      <c r="F1675" t="s">
        <v>44</v>
      </c>
      <c r="G1675" t="s">
        <v>107</v>
      </c>
      <c r="H1675">
        <v>1</v>
      </c>
      <c r="I1675">
        <v>236.91</v>
      </c>
      <c r="J1675">
        <v>0</v>
      </c>
      <c r="K1675">
        <v>236.91</v>
      </c>
    </row>
    <row r="1676" spans="1:11" x14ac:dyDescent="0.35">
      <c r="A1676" t="s">
        <v>2058</v>
      </c>
      <c r="B1676" s="1">
        <v>45404</v>
      </c>
      <c r="C1676" t="s">
        <v>102</v>
      </c>
      <c r="D1676" t="s">
        <v>42</v>
      </c>
      <c r="E1676" t="s">
        <v>77</v>
      </c>
      <c r="F1676" t="s">
        <v>44</v>
      </c>
      <c r="G1676" t="s">
        <v>45</v>
      </c>
      <c r="H1676">
        <v>1</v>
      </c>
      <c r="I1676">
        <v>111.78</v>
      </c>
      <c r="J1676">
        <v>0.05</v>
      </c>
      <c r="K1676">
        <v>106.19</v>
      </c>
    </row>
    <row r="1677" spans="1:11" x14ac:dyDescent="0.35">
      <c r="A1677" t="s">
        <v>1066</v>
      </c>
      <c r="B1677" t="s">
        <v>707</v>
      </c>
      <c r="C1677" t="s">
        <v>48</v>
      </c>
      <c r="D1677" t="s">
        <v>25</v>
      </c>
      <c r="E1677" t="s">
        <v>567</v>
      </c>
      <c r="F1677" t="s">
        <v>21</v>
      </c>
      <c r="G1677" t="s">
        <v>167</v>
      </c>
      <c r="H1677">
        <v>8</v>
      </c>
      <c r="I1677">
        <v>205.81</v>
      </c>
      <c r="J1677">
        <v>0</v>
      </c>
      <c r="K1677">
        <v>1646.48</v>
      </c>
    </row>
    <row r="1678" spans="1:11" x14ac:dyDescent="0.35">
      <c r="A1678" t="s">
        <v>2059</v>
      </c>
      <c r="B1678" s="1">
        <v>45363</v>
      </c>
      <c r="C1678" t="s">
        <v>33</v>
      </c>
      <c r="D1678" t="s">
        <v>57</v>
      </c>
      <c r="E1678" t="s">
        <v>404</v>
      </c>
      <c r="F1678" t="s">
        <v>44</v>
      </c>
      <c r="G1678" t="s">
        <v>86</v>
      </c>
      <c r="H1678">
        <v>7</v>
      </c>
      <c r="I1678">
        <v>93.09</v>
      </c>
      <c r="J1678">
        <v>0.1</v>
      </c>
      <c r="K1678">
        <v>586.47</v>
      </c>
    </row>
    <row r="1679" spans="1:11" x14ac:dyDescent="0.35">
      <c r="A1679" t="s">
        <v>2060</v>
      </c>
      <c r="B1679" s="2">
        <v>45568</v>
      </c>
      <c r="C1679" t="s">
        <v>24</v>
      </c>
      <c r="E1679" t="s">
        <v>542</v>
      </c>
      <c r="F1679" t="s">
        <v>21</v>
      </c>
      <c r="G1679" t="s">
        <v>167</v>
      </c>
      <c r="H1679">
        <v>1</v>
      </c>
      <c r="I1679">
        <v>17.43</v>
      </c>
      <c r="J1679">
        <v>0.05</v>
      </c>
      <c r="K1679">
        <v>16.559999999999999</v>
      </c>
    </row>
    <row r="1680" spans="1:11" x14ac:dyDescent="0.35">
      <c r="A1680" t="s">
        <v>2061</v>
      </c>
      <c r="B1680" s="2">
        <v>45608</v>
      </c>
      <c r="C1680" t="s">
        <v>41</v>
      </c>
      <c r="D1680" t="s">
        <v>42</v>
      </c>
      <c r="E1680" t="s">
        <v>142</v>
      </c>
      <c r="F1680" t="s">
        <v>35</v>
      </c>
      <c r="G1680" t="s">
        <v>134</v>
      </c>
      <c r="H1680">
        <v>7</v>
      </c>
      <c r="I1680">
        <v>126.8</v>
      </c>
      <c r="J1680">
        <v>0</v>
      </c>
      <c r="K1680">
        <v>887.6</v>
      </c>
    </row>
    <row r="1681" spans="1:11" x14ac:dyDescent="0.35">
      <c r="A1681" t="s">
        <v>2062</v>
      </c>
      <c r="B1681" t="s">
        <v>1905</v>
      </c>
      <c r="C1681" t="s">
        <v>33</v>
      </c>
      <c r="D1681" t="s">
        <v>42</v>
      </c>
      <c r="E1681" t="s">
        <v>477</v>
      </c>
      <c r="F1681" t="s">
        <v>44</v>
      </c>
      <c r="G1681" t="s">
        <v>45</v>
      </c>
      <c r="H1681">
        <v>11</v>
      </c>
      <c r="I1681">
        <v>175.29</v>
      </c>
      <c r="J1681">
        <v>0</v>
      </c>
      <c r="K1681">
        <v>1928.19</v>
      </c>
    </row>
    <row r="1682" spans="1:11" x14ac:dyDescent="0.35">
      <c r="A1682" t="s">
        <v>2063</v>
      </c>
      <c r="B1682" t="s">
        <v>740</v>
      </c>
      <c r="C1682" t="s">
        <v>41</v>
      </c>
      <c r="D1682" t="s">
        <v>19</v>
      </c>
      <c r="E1682" t="s">
        <v>503</v>
      </c>
      <c r="F1682" t="s">
        <v>53</v>
      </c>
      <c r="G1682" t="s">
        <v>54</v>
      </c>
      <c r="H1682">
        <v>9</v>
      </c>
      <c r="I1682">
        <v>179.86</v>
      </c>
      <c r="J1682">
        <v>0</v>
      </c>
      <c r="K1682">
        <v>1618.74</v>
      </c>
    </row>
    <row r="1683" spans="1:11" x14ac:dyDescent="0.35">
      <c r="A1683" t="s">
        <v>2064</v>
      </c>
      <c r="B1683" s="2">
        <v>45360</v>
      </c>
      <c r="C1683" t="s">
        <v>41</v>
      </c>
      <c r="D1683" t="s">
        <v>42</v>
      </c>
      <c r="E1683" t="s">
        <v>180</v>
      </c>
      <c r="F1683" t="s">
        <v>21</v>
      </c>
      <c r="G1683" t="s">
        <v>167</v>
      </c>
      <c r="H1683">
        <v>6</v>
      </c>
      <c r="I1683">
        <v>179.44</v>
      </c>
      <c r="J1683">
        <v>0</v>
      </c>
      <c r="K1683">
        <v>1076.6400000000001</v>
      </c>
    </row>
    <row r="1684" spans="1:11" x14ac:dyDescent="0.35">
      <c r="A1684" t="s">
        <v>2065</v>
      </c>
      <c r="B1684" s="1">
        <v>45537</v>
      </c>
      <c r="C1684" t="s">
        <v>56</v>
      </c>
      <c r="D1684" t="s">
        <v>19</v>
      </c>
      <c r="E1684" t="s">
        <v>185</v>
      </c>
      <c r="F1684" t="s">
        <v>15</v>
      </c>
      <c r="G1684" t="s">
        <v>16</v>
      </c>
      <c r="H1684">
        <v>5</v>
      </c>
      <c r="I1684">
        <v>38.53</v>
      </c>
      <c r="J1684">
        <v>0.05</v>
      </c>
      <c r="K1684">
        <v>183.02</v>
      </c>
    </row>
    <row r="1685" spans="1:11" x14ac:dyDescent="0.35">
      <c r="A1685" t="s">
        <v>2066</v>
      </c>
      <c r="B1685" s="2">
        <v>45347</v>
      </c>
      <c r="C1685" t="s">
        <v>65</v>
      </c>
      <c r="D1685" t="s">
        <v>25</v>
      </c>
      <c r="E1685" t="s">
        <v>1159</v>
      </c>
      <c r="F1685" t="s">
        <v>35</v>
      </c>
      <c r="G1685" t="s">
        <v>177</v>
      </c>
      <c r="H1685">
        <v>10</v>
      </c>
      <c r="I1685">
        <v>128.44</v>
      </c>
      <c r="J1685">
        <v>0</v>
      </c>
      <c r="K1685">
        <v>1284.4000000000001</v>
      </c>
    </row>
    <row r="1686" spans="1:11" x14ac:dyDescent="0.35">
      <c r="A1686" t="s">
        <v>2067</v>
      </c>
      <c r="B1686" s="1">
        <v>45637</v>
      </c>
      <c r="C1686" t="s">
        <v>65</v>
      </c>
      <c r="D1686" t="s">
        <v>19</v>
      </c>
      <c r="E1686" t="s">
        <v>847</v>
      </c>
      <c r="F1686" t="s">
        <v>35</v>
      </c>
      <c r="G1686" t="s">
        <v>83</v>
      </c>
      <c r="H1686">
        <v>7</v>
      </c>
      <c r="I1686">
        <v>25.66</v>
      </c>
      <c r="J1686">
        <v>0</v>
      </c>
      <c r="K1686">
        <v>179.62</v>
      </c>
    </row>
    <row r="1687" spans="1:11" x14ac:dyDescent="0.35">
      <c r="A1687" t="s">
        <v>2068</v>
      </c>
      <c r="B1687" s="1">
        <v>45404</v>
      </c>
      <c r="C1687" t="s">
        <v>33</v>
      </c>
      <c r="D1687" t="s">
        <v>13</v>
      </c>
      <c r="E1687" t="s">
        <v>638</v>
      </c>
      <c r="F1687" t="s">
        <v>53</v>
      </c>
      <c r="G1687" t="s">
        <v>54</v>
      </c>
      <c r="H1687">
        <v>10</v>
      </c>
      <c r="I1687">
        <v>131.9</v>
      </c>
      <c r="J1687">
        <v>0.05</v>
      </c>
      <c r="K1687">
        <v>1253.05</v>
      </c>
    </row>
    <row r="1688" spans="1:11" x14ac:dyDescent="0.35">
      <c r="A1688" t="s">
        <v>2069</v>
      </c>
      <c r="B1688" t="s">
        <v>1948</v>
      </c>
      <c r="C1688" t="s">
        <v>90</v>
      </c>
      <c r="D1688" t="s">
        <v>57</v>
      </c>
      <c r="E1688" t="s">
        <v>825</v>
      </c>
      <c r="F1688" t="s">
        <v>15</v>
      </c>
      <c r="G1688" t="s">
        <v>111</v>
      </c>
      <c r="H1688">
        <v>9</v>
      </c>
      <c r="I1688">
        <v>87.31</v>
      </c>
      <c r="J1688">
        <v>0.15</v>
      </c>
      <c r="K1688">
        <v>667.92</v>
      </c>
    </row>
    <row r="1689" spans="1:11" x14ac:dyDescent="0.35">
      <c r="A1689" t="s">
        <v>2070</v>
      </c>
      <c r="B1689" s="2">
        <v>45328</v>
      </c>
      <c r="C1689" t="s">
        <v>48</v>
      </c>
      <c r="D1689" t="s">
        <v>19</v>
      </c>
      <c r="E1689" t="s">
        <v>225</v>
      </c>
      <c r="F1689" t="s">
        <v>53</v>
      </c>
      <c r="G1689" t="s">
        <v>104</v>
      </c>
      <c r="H1689">
        <v>10</v>
      </c>
      <c r="I1689">
        <v>151.55000000000001</v>
      </c>
      <c r="J1689">
        <v>0</v>
      </c>
      <c r="K1689">
        <v>1515.5</v>
      </c>
    </row>
    <row r="1690" spans="1:11" x14ac:dyDescent="0.35">
      <c r="A1690" t="s">
        <v>2071</v>
      </c>
      <c r="B1690" s="1">
        <v>45507</v>
      </c>
      <c r="C1690" t="s">
        <v>56</v>
      </c>
      <c r="D1690" t="s">
        <v>25</v>
      </c>
      <c r="E1690" t="s">
        <v>238</v>
      </c>
      <c r="F1690" t="s">
        <v>35</v>
      </c>
      <c r="G1690" t="s">
        <v>36</v>
      </c>
      <c r="H1690">
        <v>5</v>
      </c>
      <c r="I1690">
        <v>234.52</v>
      </c>
      <c r="J1690">
        <v>0</v>
      </c>
      <c r="K1690">
        <v>1172.5999999999999</v>
      </c>
    </row>
    <row r="1691" spans="1:11" x14ac:dyDescent="0.35">
      <c r="A1691" t="s">
        <v>1117</v>
      </c>
      <c r="B1691" s="1">
        <v>45349</v>
      </c>
      <c r="C1691" t="s">
        <v>90</v>
      </c>
      <c r="D1691" t="s">
        <v>13</v>
      </c>
      <c r="E1691" t="s">
        <v>293</v>
      </c>
      <c r="F1691" t="s">
        <v>21</v>
      </c>
      <c r="G1691" t="s">
        <v>70</v>
      </c>
      <c r="H1691">
        <v>8</v>
      </c>
      <c r="I1691">
        <v>44.81</v>
      </c>
      <c r="J1691">
        <v>0.15</v>
      </c>
      <c r="K1691">
        <v>304.70999999999998</v>
      </c>
    </row>
    <row r="1692" spans="1:11" x14ac:dyDescent="0.35">
      <c r="A1692" t="s">
        <v>2072</v>
      </c>
      <c r="B1692" s="2">
        <v>45315</v>
      </c>
      <c r="C1692" t="s">
        <v>24</v>
      </c>
      <c r="D1692" t="s">
        <v>25</v>
      </c>
      <c r="E1692" t="s">
        <v>185</v>
      </c>
      <c r="F1692" t="s">
        <v>44</v>
      </c>
      <c r="G1692" t="s">
        <v>86</v>
      </c>
      <c r="H1692">
        <v>8</v>
      </c>
      <c r="I1692">
        <v>21.89</v>
      </c>
      <c r="J1692">
        <v>0</v>
      </c>
      <c r="K1692">
        <v>175.12</v>
      </c>
    </row>
    <row r="1693" spans="1:11" x14ac:dyDescent="0.35">
      <c r="A1693" t="s">
        <v>2073</v>
      </c>
      <c r="B1693" s="2">
        <v>45339</v>
      </c>
      <c r="C1693" t="s">
        <v>24</v>
      </c>
      <c r="D1693" t="s">
        <v>57</v>
      </c>
      <c r="E1693" t="s">
        <v>696</v>
      </c>
      <c r="F1693" t="s">
        <v>15</v>
      </c>
      <c r="G1693" t="s">
        <v>111</v>
      </c>
      <c r="H1693">
        <v>1</v>
      </c>
      <c r="I1693">
        <v>208.19</v>
      </c>
      <c r="J1693">
        <v>0</v>
      </c>
      <c r="K1693">
        <v>208.19</v>
      </c>
    </row>
    <row r="1694" spans="1:11" x14ac:dyDescent="0.35">
      <c r="A1694" t="s">
        <v>2074</v>
      </c>
      <c r="B1694" s="2">
        <v>45488</v>
      </c>
      <c r="C1694" t="s">
        <v>56</v>
      </c>
      <c r="D1694" t="s">
        <v>19</v>
      </c>
      <c r="E1694" t="s">
        <v>164</v>
      </c>
      <c r="F1694" t="s">
        <v>21</v>
      </c>
      <c r="G1694" t="s">
        <v>129</v>
      </c>
      <c r="H1694">
        <v>3</v>
      </c>
      <c r="I1694">
        <v>65.83</v>
      </c>
      <c r="J1694">
        <v>0</v>
      </c>
      <c r="K1694">
        <v>197.49</v>
      </c>
    </row>
    <row r="1695" spans="1:11" x14ac:dyDescent="0.35">
      <c r="A1695" t="s">
        <v>2075</v>
      </c>
      <c r="B1695" s="1">
        <v>45639</v>
      </c>
      <c r="C1695" t="s">
        <v>29</v>
      </c>
      <c r="D1695" t="s">
        <v>19</v>
      </c>
      <c r="E1695" t="s">
        <v>590</v>
      </c>
      <c r="F1695" t="s">
        <v>44</v>
      </c>
      <c r="G1695" t="s">
        <v>50</v>
      </c>
      <c r="H1695">
        <v>7</v>
      </c>
      <c r="I1695">
        <v>222.56</v>
      </c>
      <c r="J1695">
        <v>0.1</v>
      </c>
      <c r="K1695">
        <v>1402.13</v>
      </c>
    </row>
    <row r="1696" spans="1:11" x14ac:dyDescent="0.35">
      <c r="A1696" t="s">
        <v>2076</v>
      </c>
      <c r="B1696" s="1">
        <v>45373</v>
      </c>
      <c r="C1696" t="s">
        <v>65</v>
      </c>
      <c r="D1696" t="s">
        <v>25</v>
      </c>
      <c r="E1696" t="s">
        <v>201</v>
      </c>
      <c r="F1696" t="s">
        <v>44</v>
      </c>
      <c r="G1696" t="s">
        <v>86</v>
      </c>
      <c r="H1696">
        <v>8</v>
      </c>
      <c r="I1696">
        <v>145.61000000000001</v>
      </c>
      <c r="J1696">
        <v>0.1</v>
      </c>
      <c r="K1696">
        <v>1048.3900000000001</v>
      </c>
    </row>
    <row r="1697" spans="1:11" x14ac:dyDescent="0.35">
      <c r="A1697" t="s">
        <v>2077</v>
      </c>
      <c r="B1697" s="2">
        <v>45607</v>
      </c>
      <c r="C1697" t="s">
        <v>90</v>
      </c>
      <c r="D1697" t="s">
        <v>42</v>
      </c>
      <c r="E1697" t="s">
        <v>642</v>
      </c>
      <c r="F1697" t="s">
        <v>44</v>
      </c>
      <c r="G1697" t="s">
        <v>107</v>
      </c>
      <c r="H1697">
        <v>5</v>
      </c>
      <c r="I1697">
        <v>235.07</v>
      </c>
      <c r="J1697">
        <v>0</v>
      </c>
      <c r="K1697">
        <v>1175.3499999999999</v>
      </c>
    </row>
    <row r="1698" spans="1:11" x14ac:dyDescent="0.35">
      <c r="A1698" t="s">
        <v>2078</v>
      </c>
      <c r="B1698" s="2">
        <v>45558</v>
      </c>
      <c r="C1698" t="s">
        <v>72</v>
      </c>
      <c r="D1698" t="s">
        <v>19</v>
      </c>
      <c r="E1698" t="s">
        <v>238</v>
      </c>
      <c r="F1698" t="s">
        <v>44</v>
      </c>
      <c r="G1698" t="s">
        <v>45</v>
      </c>
      <c r="H1698">
        <v>4</v>
      </c>
      <c r="I1698">
        <v>33.479999999999997</v>
      </c>
      <c r="J1698">
        <v>0.15</v>
      </c>
      <c r="K1698">
        <v>113.83</v>
      </c>
    </row>
    <row r="1699" spans="1:11" x14ac:dyDescent="0.35">
      <c r="A1699" t="s">
        <v>2079</v>
      </c>
      <c r="B1699" s="1">
        <v>45502</v>
      </c>
      <c r="C1699" t="s">
        <v>72</v>
      </c>
      <c r="E1699" t="s">
        <v>881</v>
      </c>
      <c r="F1699" t="s">
        <v>15</v>
      </c>
      <c r="G1699" t="s">
        <v>74</v>
      </c>
      <c r="H1699">
        <v>11</v>
      </c>
      <c r="I1699">
        <v>113.54</v>
      </c>
      <c r="J1699">
        <v>0.15</v>
      </c>
      <c r="K1699">
        <v>1061.5999999999999</v>
      </c>
    </row>
    <row r="1700" spans="1:11" x14ac:dyDescent="0.35">
      <c r="A1700" t="s">
        <v>2080</v>
      </c>
      <c r="B1700" s="1">
        <v>45546</v>
      </c>
      <c r="C1700" t="s">
        <v>24</v>
      </c>
      <c r="D1700" t="s">
        <v>13</v>
      </c>
      <c r="E1700" t="s">
        <v>152</v>
      </c>
      <c r="F1700" t="s">
        <v>44</v>
      </c>
      <c r="G1700" t="s">
        <v>94</v>
      </c>
      <c r="H1700">
        <v>9</v>
      </c>
      <c r="I1700">
        <v>210.89</v>
      </c>
      <c r="J1700">
        <v>0</v>
      </c>
      <c r="K1700">
        <v>1898.01</v>
      </c>
    </row>
    <row r="1701" spans="1:11" x14ac:dyDescent="0.35">
      <c r="A1701" t="s">
        <v>2081</v>
      </c>
      <c r="B1701" s="1">
        <v>45643</v>
      </c>
      <c r="C1701" t="s">
        <v>48</v>
      </c>
      <c r="D1701" t="s">
        <v>13</v>
      </c>
      <c r="E1701" t="s">
        <v>217</v>
      </c>
      <c r="F1701" t="s">
        <v>21</v>
      </c>
      <c r="G1701" t="s">
        <v>167</v>
      </c>
      <c r="H1701">
        <v>10</v>
      </c>
      <c r="I1701">
        <v>238.12</v>
      </c>
      <c r="J1701">
        <v>0.15</v>
      </c>
      <c r="K1701">
        <v>2024.02</v>
      </c>
    </row>
    <row r="1702" spans="1:11" x14ac:dyDescent="0.35">
      <c r="A1702" t="s">
        <v>2082</v>
      </c>
      <c r="B1702" s="1">
        <v>45529</v>
      </c>
      <c r="C1702" t="s">
        <v>18</v>
      </c>
      <c r="D1702" t="s">
        <v>13</v>
      </c>
      <c r="E1702" t="s">
        <v>825</v>
      </c>
      <c r="F1702" t="s">
        <v>44</v>
      </c>
      <c r="G1702" t="s">
        <v>107</v>
      </c>
      <c r="H1702">
        <v>8</v>
      </c>
      <c r="I1702">
        <v>237.76</v>
      </c>
      <c r="J1702">
        <v>0.1</v>
      </c>
      <c r="K1702">
        <v>1711.87</v>
      </c>
    </row>
    <row r="1703" spans="1:11" x14ac:dyDescent="0.35">
      <c r="A1703" t="s">
        <v>2083</v>
      </c>
      <c r="B1703" s="1">
        <v>45317</v>
      </c>
      <c r="C1703" t="s">
        <v>79</v>
      </c>
      <c r="D1703" t="s">
        <v>25</v>
      </c>
      <c r="E1703" t="s">
        <v>171</v>
      </c>
      <c r="F1703" t="s">
        <v>21</v>
      </c>
      <c r="G1703" t="s">
        <v>129</v>
      </c>
      <c r="H1703">
        <v>10</v>
      </c>
      <c r="I1703">
        <v>178.53</v>
      </c>
      <c r="J1703">
        <v>0.15</v>
      </c>
      <c r="K1703">
        <v>1517.5</v>
      </c>
    </row>
    <row r="1704" spans="1:11" x14ac:dyDescent="0.35">
      <c r="A1704" t="s">
        <v>2084</v>
      </c>
      <c r="B1704" t="s">
        <v>2085</v>
      </c>
      <c r="C1704" t="s">
        <v>56</v>
      </c>
      <c r="D1704" t="s">
        <v>19</v>
      </c>
      <c r="E1704" t="s">
        <v>415</v>
      </c>
      <c r="F1704" t="s">
        <v>44</v>
      </c>
      <c r="G1704" t="s">
        <v>50</v>
      </c>
      <c r="H1704">
        <v>4</v>
      </c>
      <c r="I1704">
        <v>35.130000000000003</v>
      </c>
      <c r="J1704">
        <v>0.05</v>
      </c>
      <c r="K1704">
        <v>133.49</v>
      </c>
    </row>
    <row r="1705" spans="1:11" x14ac:dyDescent="0.35">
      <c r="A1705" t="s">
        <v>2086</v>
      </c>
      <c r="B1705" s="1">
        <v>45646</v>
      </c>
      <c r="C1705" t="s">
        <v>41</v>
      </c>
      <c r="D1705" t="s">
        <v>19</v>
      </c>
      <c r="E1705" t="s">
        <v>117</v>
      </c>
      <c r="F1705" t="s">
        <v>44</v>
      </c>
      <c r="G1705" t="s">
        <v>50</v>
      </c>
      <c r="H1705">
        <v>7</v>
      </c>
      <c r="I1705">
        <v>231.99</v>
      </c>
      <c r="J1705">
        <v>0.05</v>
      </c>
      <c r="K1705">
        <v>1542.73</v>
      </c>
    </row>
    <row r="1706" spans="1:11" x14ac:dyDescent="0.35">
      <c r="A1706" t="s">
        <v>2087</v>
      </c>
      <c r="B1706" s="2">
        <v>45452</v>
      </c>
      <c r="C1706" t="s">
        <v>56</v>
      </c>
      <c r="D1706" t="s">
        <v>25</v>
      </c>
      <c r="E1706" t="s">
        <v>343</v>
      </c>
      <c r="F1706" t="s">
        <v>15</v>
      </c>
      <c r="G1706" t="s">
        <v>147</v>
      </c>
      <c r="H1706">
        <v>6</v>
      </c>
      <c r="I1706">
        <v>223.7</v>
      </c>
      <c r="J1706">
        <v>0.15</v>
      </c>
      <c r="K1706">
        <v>1140.8699999999999</v>
      </c>
    </row>
    <row r="1707" spans="1:11" x14ac:dyDescent="0.35">
      <c r="A1707" t="s">
        <v>2088</v>
      </c>
      <c r="B1707" s="2">
        <v>45293</v>
      </c>
      <c r="C1707" t="s">
        <v>12</v>
      </c>
      <c r="D1707" t="s">
        <v>25</v>
      </c>
      <c r="E1707" t="s">
        <v>663</v>
      </c>
      <c r="F1707" t="s">
        <v>15</v>
      </c>
      <c r="G1707" t="s">
        <v>74</v>
      </c>
      <c r="H1707">
        <v>7</v>
      </c>
      <c r="I1707">
        <v>122.14</v>
      </c>
      <c r="J1707">
        <v>0.15</v>
      </c>
      <c r="K1707">
        <v>726.73</v>
      </c>
    </row>
    <row r="1708" spans="1:11" x14ac:dyDescent="0.35">
      <c r="A1708" t="s">
        <v>2089</v>
      </c>
      <c r="B1708" s="1">
        <v>45406</v>
      </c>
      <c r="C1708" t="s">
        <v>41</v>
      </c>
      <c r="D1708" t="s">
        <v>25</v>
      </c>
      <c r="F1708" t="s">
        <v>21</v>
      </c>
      <c r="G1708" t="s">
        <v>194</v>
      </c>
      <c r="H1708">
        <v>6</v>
      </c>
      <c r="I1708">
        <v>182.1</v>
      </c>
      <c r="J1708">
        <v>0</v>
      </c>
      <c r="K1708">
        <v>1092.5999999999999</v>
      </c>
    </row>
    <row r="1709" spans="1:11" x14ac:dyDescent="0.35">
      <c r="A1709" t="s">
        <v>2090</v>
      </c>
      <c r="B1709" s="1">
        <v>45589</v>
      </c>
      <c r="C1709" t="s">
        <v>38</v>
      </c>
      <c r="D1709" t="s">
        <v>19</v>
      </c>
      <c r="E1709" t="s">
        <v>415</v>
      </c>
      <c r="F1709" t="s">
        <v>44</v>
      </c>
      <c r="G1709" t="s">
        <v>50</v>
      </c>
      <c r="H1709">
        <v>12</v>
      </c>
      <c r="I1709">
        <v>213.2</v>
      </c>
      <c r="J1709">
        <v>0</v>
      </c>
      <c r="K1709">
        <v>2558.4</v>
      </c>
    </row>
    <row r="1710" spans="1:11" x14ac:dyDescent="0.35">
      <c r="A1710" t="s">
        <v>2091</v>
      </c>
      <c r="B1710" s="1">
        <v>45420</v>
      </c>
      <c r="C1710" t="s">
        <v>56</v>
      </c>
      <c r="D1710" t="s">
        <v>13</v>
      </c>
      <c r="E1710" t="s">
        <v>103</v>
      </c>
      <c r="F1710" t="s">
        <v>21</v>
      </c>
      <c r="G1710" t="s">
        <v>167</v>
      </c>
      <c r="H1710">
        <v>8</v>
      </c>
      <c r="I1710">
        <v>123.9</v>
      </c>
      <c r="J1710">
        <v>0.1</v>
      </c>
      <c r="K1710">
        <v>892.08</v>
      </c>
    </row>
    <row r="1711" spans="1:11" x14ac:dyDescent="0.35">
      <c r="A1711" t="s">
        <v>2092</v>
      </c>
      <c r="B1711" s="2">
        <v>45547</v>
      </c>
      <c r="C1711" t="s">
        <v>12</v>
      </c>
      <c r="D1711" t="s">
        <v>19</v>
      </c>
      <c r="E1711" t="s">
        <v>155</v>
      </c>
      <c r="F1711" t="s">
        <v>35</v>
      </c>
      <c r="G1711" t="s">
        <v>134</v>
      </c>
      <c r="H1711">
        <v>10</v>
      </c>
      <c r="I1711">
        <v>17.57</v>
      </c>
      <c r="J1711">
        <v>0</v>
      </c>
      <c r="K1711">
        <v>175.7</v>
      </c>
    </row>
    <row r="1712" spans="1:11" x14ac:dyDescent="0.35">
      <c r="A1712" t="s">
        <v>2093</v>
      </c>
      <c r="B1712" s="1">
        <v>45334</v>
      </c>
      <c r="C1712" t="s">
        <v>56</v>
      </c>
      <c r="D1712" t="s">
        <v>42</v>
      </c>
      <c r="E1712" t="s">
        <v>771</v>
      </c>
      <c r="F1712" t="s">
        <v>53</v>
      </c>
      <c r="G1712" t="s">
        <v>54</v>
      </c>
      <c r="H1712">
        <v>8</v>
      </c>
      <c r="I1712">
        <v>72.319999999999993</v>
      </c>
      <c r="J1712">
        <v>0.1</v>
      </c>
      <c r="K1712">
        <v>520.70000000000005</v>
      </c>
    </row>
    <row r="1713" spans="1:11" x14ac:dyDescent="0.35">
      <c r="A1713" t="s">
        <v>2094</v>
      </c>
      <c r="B1713" s="1">
        <v>45583</v>
      </c>
      <c r="C1713" t="s">
        <v>41</v>
      </c>
      <c r="D1713" t="s">
        <v>25</v>
      </c>
      <c r="E1713" t="s">
        <v>266</v>
      </c>
      <c r="F1713" t="s">
        <v>21</v>
      </c>
      <c r="G1713" t="s">
        <v>194</v>
      </c>
      <c r="H1713">
        <v>1</v>
      </c>
      <c r="I1713">
        <v>104.49</v>
      </c>
      <c r="J1713">
        <v>0</v>
      </c>
      <c r="K1713">
        <v>104.49</v>
      </c>
    </row>
    <row r="1714" spans="1:11" x14ac:dyDescent="0.35">
      <c r="A1714" t="s">
        <v>2095</v>
      </c>
      <c r="B1714" t="s">
        <v>327</v>
      </c>
      <c r="C1714" t="s">
        <v>18</v>
      </c>
      <c r="D1714" t="s">
        <v>57</v>
      </c>
      <c r="E1714" t="s">
        <v>69</v>
      </c>
      <c r="F1714" t="s">
        <v>44</v>
      </c>
      <c r="G1714" t="s">
        <v>107</v>
      </c>
      <c r="H1714">
        <v>7</v>
      </c>
      <c r="I1714">
        <v>141.06</v>
      </c>
      <c r="J1714">
        <v>0</v>
      </c>
      <c r="K1714">
        <v>987.42</v>
      </c>
    </row>
    <row r="1715" spans="1:11" x14ac:dyDescent="0.35">
      <c r="A1715" t="s">
        <v>2096</v>
      </c>
      <c r="B1715" s="1">
        <v>45393</v>
      </c>
      <c r="C1715" t="s">
        <v>90</v>
      </c>
      <c r="D1715" t="s">
        <v>19</v>
      </c>
      <c r="E1715" t="s">
        <v>212</v>
      </c>
      <c r="F1715" t="s">
        <v>21</v>
      </c>
      <c r="G1715" t="s">
        <v>70</v>
      </c>
      <c r="H1715">
        <v>2</v>
      </c>
      <c r="I1715">
        <v>134.18</v>
      </c>
      <c r="J1715">
        <v>0.1</v>
      </c>
      <c r="K1715">
        <v>241.52</v>
      </c>
    </row>
    <row r="1716" spans="1:11" x14ac:dyDescent="0.35">
      <c r="A1716" t="s">
        <v>2097</v>
      </c>
      <c r="B1716" s="1">
        <v>45487</v>
      </c>
      <c r="C1716" t="s">
        <v>90</v>
      </c>
      <c r="D1716" t="s">
        <v>57</v>
      </c>
      <c r="E1716" t="s">
        <v>14</v>
      </c>
      <c r="F1716" t="s">
        <v>21</v>
      </c>
      <c r="G1716" t="s">
        <v>167</v>
      </c>
      <c r="H1716">
        <v>8</v>
      </c>
      <c r="I1716">
        <v>32.65</v>
      </c>
      <c r="J1716">
        <v>0.05</v>
      </c>
      <c r="K1716">
        <v>248.14</v>
      </c>
    </row>
    <row r="1717" spans="1:11" x14ac:dyDescent="0.35">
      <c r="A1717" t="s">
        <v>2098</v>
      </c>
      <c r="B1717" s="1">
        <v>45446</v>
      </c>
      <c r="C1717" t="s">
        <v>24</v>
      </c>
      <c r="D1717" t="s">
        <v>19</v>
      </c>
      <c r="E1717" t="s">
        <v>106</v>
      </c>
      <c r="F1717" t="s">
        <v>35</v>
      </c>
      <c r="G1717" t="s">
        <v>177</v>
      </c>
      <c r="H1717">
        <v>7</v>
      </c>
      <c r="I1717">
        <v>47.46</v>
      </c>
      <c r="J1717">
        <v>0.15</v>
      </c>
      <c r="K1717">
        <v>282.39</v>
      </c>
    </row>
    <row r="1718" spans="1:11" x14ac:dyDescent="0.35">
      <c r="A1718" t="s">
        <v>2099</v>
      </c>
      <c r="B1718" t="s">
        <v>576</v>
      </c>
      <c r="C1718" t="s">
        <v>33</v>
      </c>
      <c r="D1718" t="s">
        <v>13</v>
      </c>
      <c r="E1718" t="s">
        <v>131</v>
      </c>
      <c r="F1718" t="s">
        <v>15</v>
      </c>
      <c r="G1718" t="s">
        <v>27</v>
      </c>
      <c r="H1718">
        <v>11</v>
      </c>
      <c r="I1718">
        <v>49.21</v>
      </c>
      <c r="J1718">
        <v>0</v>
      </c>
      <c r="K1718">
        <v>541.30999999999995</v>
      </c>
    </row>
    <row r="1719" spans="1:11" x14ac:dyDescent="0.35">
      <c r="A1719" t="s">
        <v>2100</v>
      </c>
      <c r="B1719" s="1">
        <v>45311</v>
      </c>
      <c r="C1719" t="s">
        <v>56</v>
      </c>
      <c r="D1719" t="s">
        <v>25</v>
      </c>
      <c r="E1719" t="s">
        <v>299</v>
      </c>
      <c r="F1719" t="s">
        <v>35</v>
      </c>
      <c r="G1719" t="s">
        <v>83</v>
      </c>
      <c r="H1719">
        <v>3</v>
      </c>
      <c r="I1719">
        <v>169.89</v>
      </c>
      <c r="J1719">
        <v>0</v>
      </c>
      <c r="K1719">
        <v>509.67</v>
      </c>
    </row>
    <row r="1720" spans="1:11" x14ac:dyDescent="0.35">
      <c r="A1720" t="s">
        <v>2101</v>
      </c>
      <c r="B1720" s="1">
        <v>45403</v>
      </c>
      <c r="C1720" t="s">
        <v>65</v>
      </c>
      <c r="D1720" t="s">
        <v>13</v>
      </c>
      <c r="E1720" t="s">
        <v>133</v>
      </c>
      <c r="F1720" t="s">
        <v>44</v>
      </c>
      <c r="G1720" t="s">
        <v>50</v>
      </c>
      <c r="H1720">
        <v>5</v>
      </c>
      <c r="I1720">
        <v>28.73</v>
      </c>
      <c r="J1720">
        <v>0</v>
      </c>
      <c r="K1720">
        <v>143.65</v>
      </c>
    </row>
    <row r="1721" spans="1:11" x14ac:dyDescent="0.35">
      <c r="A1721" t="s">
        <v>2102</v>
      </c>
      <c r="B1721" s="2">
        <v>45421</v>
      </c>
      <c r="C1721" t="s">
        <v>24</v>
      </c>
      <c r="D1721" t="s">
        <v>57</v>
      </c>
      <c r="E1721" t="s">
        <v>113</v>
      </c>
      <c r="F1721" t="s">
        <v>53</v>
      </c>
      <c r="G1721" t="s">
        <v>63</v>
      </c>
      <c r="H1721">
        <v>4</v>
      </c>
      <c r="I1721">
        <v>161.44</v>
      </c>
      <c r="J1721">
        <v>0</v>
      </c>
      <c r="K1721">
        <v>645.76</v>
      </c>
    </row>
    <row r="1722" spans="1:11" x14ac:dyDescent="0.35">
      <c r="A1722" t="s">
        <v>2103</v>
      </c>
      <c r="B1722" s="1">
        <v>45555</v>
      </c>
      <c r="C1722" t="s">
        <v>56</v>
      </c>
      <c r="D1722" t="s">
        <v>42</v>
      </c>
      <c r="E1722" t="s">
        <v>847</v>
      </c>
      <c r="F1722" t="s">
        <v>35</v>
      </c>
      <c r="G1722" t="s">
        <v>177</v>
      </c>
      <c r="H1722">
        <v>6</v>
      </c>
      <c r="I1722">
        <v>175.2</v>
      </c>
      <c r="J1722">
        <v>0.05</v>
      </c>
      <c r="K1722">
        <v>998.64</v>
      </c>
    </row>
    <row r="1723" spans="1:11" x14ac:dyDescent="0.35">
      <c r="A1723" t="s">
        <v>2104</v>
      </c>
      <c r="B1723" s="1">
        <v>45639</v>
      </c>
      <c r="C1723" t="s">
        <v>56</v>
      </c>
      <c r="D1723" t="s">
        <v>42</v>
      </c>
      <c r="E1723" t="s">
        <v>1159</v>
      </c>
      <c r="F1723" t="s">
        <v>53</v>
      </c>
      <c r="G1723" t="s">
        <v>59</v>
      </c>
      <c r="H1723">
        <v>2</v>
      </c>
      <c r="I1723">
        <v>235.11</v>
      </c>
      <c r="J1723">
        <v>0</v>
      </c>
      <c r="K1723">
        <v>470.22</v>
      </c>
    </row>
    <row r="1724" spans="1:11" x14ac:dyDescent="0.35">
      <c r="A1724" t="s">
        <v>2105</v>
      </c>
      <c r="B1724" s="2">
        <v>45348</v>
      </c>
      <c r="C1724" t="s">
        <v>24</v>
      </c>
      <c r="D1724" t="s">
        <v>25</v>
      </c>
      <c r="E1724" t="s">
        <v>462</v>
      </c>
      <c r="F1724" t="s">
        <v>21</v>
      </c>
      <c r="G1724" t="s">
        <v>129</v>
      </c>
      <c r="H1724">
        <v>4</v>
      </c>
      <c r="I1724">
        <v>143.94</v>
      </c>
      <c r="J1724">
        <v>0</v>
      </c>
      <c r="K1724">
        <v>575.76</v>
      </c>
    </row>
    <row r="1725" spans="1:11" x14ac:dyDescent="0.35">
      <c r="A1725" t="s">
        <v>2106</v>
      </c>
      <c r="B1725" s="1">
        <v>45485</v>
      </c>
      <c r="C1725" t="s">
        <v>12</v>
      </c>
      <c r="D1725" t="s">
        <v>42</v>
      </c>
      <c r="E1725" t="s">
        <v>454</v>
      </c>
      <c r="F1725" t="s">
        <v>35</v>
      </c>
      <c r="G1725" t="s">
        <v>177</v>
      </c>
      <c r="H1725">
        <v>2</v>
      </c>
      <c r="I1725">
        <v>138.78</v>
      </c>
      <c r="J1725">
        <v>0.05</v>
      </c>
      <c r="K1725">
        <v>263.68</v>
      </c>
    </row>
    <row r="1726" spans="1:11" x14ac:dyDescent="0.35">
      <c r="A1726" t="s">
        <v>2107</v>
      </c>
      <c r="B1726" s="1">
        <v>45514</v>
      </c>
      <c r="C1726" t="s">
        <v>29</v>
      </c>
      <c r="D1726" t="s">
        <v>57</v>
      </c>
      <c r="E1726" t="s">
        <v>547</v>
      </c>
      <c r="F1726" t="s">
        <v>35</v>
      </c>
      <c r="G1726" t="s">
        <v>67</v>
      </c>
      <c r="H1726">
        <v>10</v>
      </c>
      <c r="I1726">
        <v>116.08</v>
      </c>
      <c r="J1726">
        <v>0</v>
      </c>
      <c r="K1726">
        <v>1160.8</v>
      </c>
    </row>
    <row r="1727" spans="1:11" x14ac:dyDescent="0.35">
      <c r="A1727" t="s">
        <v>2108</v>
      </c>
      <c r="B1727" t="s">
        <v>255</v>
      </c>
      <c r="C1727" t="s">
        <v>48</v>
      </c>
      <c r="D1727" t="s">
        <v>42</v>
      </c>
      <c r="E1727" t="s">
        <v>751</v>
      </c>
      <c r="F1727" t="s">
        <v>53</v>
      </c>
      <c r="G1727" t="s">
        <v>260</v>
      </c>
      <c r="H1727">
        <v>12</v>
      </c>
      <c r="I1727">
        <v>12.28</v>
      </c>
      <c r="J1727">
        <v>0</v>
      </c>
      <c r="K1727">
        <v>147.36000000000001</v>
      </c>
    </row>
    <row r="1728" spans="1:11" x14ac:dyDescent="0.35">
      <c r="A1728" t="s">
        <v>2109</v>
      </c>
      <c r="B1728" t="s">
        <v>2110</v>
      </c>
      <c r="C1728" t="s">
        <v>41</v>
      </c>
      <c r="D1728" t="s">
        <v>13</v>
      </c>
      <c r="E1728" t="s">
        <v>415</v>
      </c>
      <c r="F1728" t="s">
        <v>35</v>
      </c>
      <c r="G1728" t="s">
        <v>67</v>
      </c>
      <c r="H1728">
        <v>5</v>
      </c>
      <c r="I1728">
        <v>200.28</v>
      </c>
      <c r="J1728">
        <v>0.05</v>
      </c>
      <c r="K1728">
        <v>951.33</v>
      </c>
    </row>
    <row r="1729" spans="1:11" x14ac:dyDescent="0.35">
      <c r="A1729" t="s">
        <v>2111</v>
      </c>
      <c r="B1729" s="2">
        <v>45300</v>
      </c>
      <c r="C1729" t="s">
        <v>41</v>
      </c>
      <c r="D1729" t="s">
        <v>13</v>
      </c>
      <c r="E1729" t="s">
        <v>847</v>
      </c>
      <c r="F1729" t="s">
        <v>35</v>
      </c>
      <c r="G1729" t="s">
        <v>177</v>
      </c>
      <c r="H1729">
        <v>12</v>
      </c>
      <c r="I1729">
        <v>90.31</v>
      </c>
      <c r="J1729">
        <v>0</v>
      </c>
      <c r="K1729">
        <v>1083.72</v>
      </c>
    </row>
    <row r="1730" spans="1:11" x14ac:dyDescent="0.35">
      <c r="A1730" t="s">
        <v>2112</v>
      </c>
      <c r="B1730" s="1">
        <v>45300</v>
      </c>
      <c r="C1730" t="s">
        <v>29</v>
      </c>
      <c r="D1730" t="s">
        <v>25</v>
      </c>
      <c r="E1730" t="s">
        <v>842</v>
      </c>
      <c r="F1730" t="s">
        <v>15</v>
      </c>
      <c r="G1730" t="s">
        <v>111</v>
      </c>
      <c r="H1730">
        <v>12</v>
      </c>
      <c r="I1730">
        <v>126.28</v>
      </c>
      <c r="J1730">
        <v>0.05</v>
      </c>
      <c r="K1730">
        <v>1439.59</v>
      </c>
    </row>
    <row r="1731" spans="1:11" x14ac:dyDescent="0.35">
      <c r="A1731" t="s">
        <v>2113</v>
      </c>
      <c r="B1731" s="1">
        <v>45378</v>
      </c>
      <c r="C1731" t="s">
        <v>24</v>
      </c>
      <c r="D1731" t="s">
        <v>42</v>
      </c>
      <c r="E1731" t="s">
        <v>85</v>
      </c>
      <c r="F1731" t="s">
        <v>44</v>
      </c>
      <c r="G1731" t="s">
        <v>45</v>
      </c>
      <c r="H1731">
        <v>4</v>
      </c>
      <c r="I1731">
        <v>81.739999999999995</v>
      </c>
      <c r="J1731">
        <v>0.15</v>
      </c>
      <c r="K1731">
        <v>277.92</v>
      </c>
    </row>
    <row r="1732" spans="1:11" x14ac:dyDescent="0.35">
      <c r="A1732" t="s">
        <v>2114</v>
      </c>
      <c r="B1732" s="1">
        <v>45510</v>
      </c>
      <c r="C1732" t="s">
        <v>90</v>
      </c>
      <c r="D1732" t="s">
        <v>42</v>
      </c>
      <c r="E1732" t="s">
        <v>418</v>
      </c>
      <c r="F1732" t="s">
        <v>35</v>
      </c>
      <c r="G1732" t="s">
        <v>36</v>
      </c>
      <c r="H1732">
        <v>8</v>
      </c>
      <c r="I1732">
        <v>125.12</v>
      </c>
      <c r="J1732">
        <v>0</v>
      </c>
      <c r="K1732">
        <v>1000.96</v>
      </c>
    </row>
    <row r="1733" spans="1:11" x14ac:dyDescent="0.35">
      <c r="A1733" t="s">
        <v>2115</v>
      </c>
      <c r="B1733" s="1">
        <v>45484</v>
      </c>
      <c r="C1733" t="s">
        <v>41</v>
      </c>
      <c r="D1733" t="s">
        <v>13</v>
      </c>
      <c r="E1733" t="s">
        <v>825</v>
      </c>
      <c r="F1733" t="s">
        <v>15</v>
      </c>
      <c r="G1733" t="s">
        <v>27</v>
      </c>
      <c r="H1733">
        <v>9</v>
      </c>
      <c r="I1733">
        <v>195.6</v>
      </c>
      <c r="J1733">
        <v>0</v>
      </c>
      <c r="K1733">
        <v>1760.4</v>
      </c>
    </row>
    <row r="1734" spans="1:11" x14ac:dyDescent="0.35">
      <c r="A1734" t="s">
        <v>2116</v>
      </c>
      <c r="B1734" s="1">
        <v>45365</v>
      </c>
      <c r="C1734" t="s">
        <v>33</v>
      </c>
      <c r="D1734" t="s">
        <v>19</v>
      </c>
      <c r="E1734" t="s">
        <v>659</v>
      </c>
      <c r="F1734" t="s">
        <v>15</v>
      </c>
      <c r="G1734" t="s">
        <v>16</v>
      </c>
      <c r="H1734">
        <v>9</v>
      </c>
      <c r="I1734">
        <v>206.42</v>
      </c>
      <c r="J1734">
        <v>0.15</v>
      </c>
      <c r="K1734">
        <v>1579.11</v>
      </c>
    </row>
    <row r="1735" spans="1:11" x14ac:dyDescent="0.35">
      <c r="A1735" t="s">
        <v>2117</v>
      </c>
      <c r="B1735" s="1">
        <v>45547</v>
      </c>
      <c r="C1735" t="s">
        <v>29</v>
      </c>
      <c r="D1735" t="s">
        <v>57</v>
      </c>
      <c r="E1735" t="s">
        <v>160</v>
      </c>
      <c r="F1735" t="s">
        <v>21</v>
      </c>
      <c r="G1735" t="s">
        <v>70</v>
      </c>
      <c r="H1735">
        <v>7</v>
      </c>
      <c r="I1735">
        <v>88.26</v>
      </c>
      <c r="J1735">
        <v>0.05</v>
      </c>
      <c r="K1735">
        <v>586.92999999999995</v>
      </c>
    </row>
    <row r="1736" spans="1:11" x14ac:dyDescent="0.35">
      <c r="A1736" t="s">
        <v>386</v>
      </c>
      <c r="B1736" s="2">
        <v>45504</v>
      </c>
      <c r="C1736" t="s">
        <v>33</v>
      </c>
      <c r="D1736" t="s">
        <v>57</v>
      </c>
      <c r="E1736" t="s">
        <v>133</v>
      </c>
      <c r="F1736" t="s">
        <v>21</v>
      </c>
      <c r="G1736" t="s">
        <v>194</v>
      </c>
      <c r="H1736">
        <v>8</v>
      </c>
      <c r="I1736">
        <v>86.07</v>
      </c>
      <c r="J1736">
        <v>0.05</v>
      </c>
      <c r="K1736">
        <v>654.13</v>
      </c>
    </row>
    <row r="1737" spans="1:11" x14ac:dyDescent="0.35">
      <c r="A1737" t="s">
        <v>2118</v>
      </c>
      <c r="B1737" s="1">
        <v>45371</v>
      </c>
      <c r="C1737" t="s">
        <v>79</v>
      </c>
      <c r="D1737" t="s">
        <v>19</v>
      </c>
      <c r="E1737" t="s">
        <v>229</v>
      </c>
      <c r="F1737" t="s">
        <v>35</v>
      </c>
      <c r="G1737" t="s">
        <v>67</v>
      </c>
      <c r="H1737">
        <v>12</v>
      </c>
      <c r="I1737">
        <v>51.18</v>
      </c>
      <c r="J1737">
        <v>0</v>
      </c>
      <c r="K1737">
        <v>614.16</v>
      </c>
    </row>
    <row r="1738" spans="1:11" x14ac:dyDescent="0.35">
      <c r="A1738" t="s">
        <v>413</v>
      </c>
      <c r="B1738" s="1">
        <v>45611</v>
      </c>
      <c r="C1738" t="s">
        <v>29</v>
      </c>
      <c r="D1738" t="s">
        <v>19</v>
      </c>
      <c r="E1738" t="s">
        <v>388</v>
      </c>
      <c r="F1738" t="s">
        <v>44</v>
      </c>
      <c r="G1738" t="s">
        <v>107</v>
      </c>
      <c r="H1738">
        <v>10</v>
      </c>
      <c r="I1738">
        <v>98.32</v>
      </c>
      <c r="J1738">
        <v>0.1</v>
      </c>
      <c r="K1738">
        <v>884.88</v>
      </c>
    </row>
    <row r="1739" spans="1:11" x14ac:dyDescent="0.35">
      <c r="A1739" t="s">
        <v>2119</v>
      </c>
      <c r="B1739" s="2">
        <v>45428</v>
      </c>
      <c r="C1739" t="s">
        <v>41</v>
      </c>
      <c r="D1739" t="s">
        <v>57</v>
      </c>
      <c r="E1739" t="s">
        <v>720</v>
      </c>
      <c r="F1739" t="s">
        <v>21</v>
      </c>
      <c r="G1739" t="s">
        <v>194</v>
      </c>
      <c r="H1739">
        <v>2</v>
      </c>
      <c r="I1739">
        <v>106.63</v>
      </c>
      <c r="J1739">
        <v>0</v>
      </c>
      <c r="K1739">
        <v>213.26</v>
      </c>
    </row>
    <row r="1740" spans="1:11" x14ac:dyDescent="0.35">
      <c r="A1740" t="s">
        <v>2120</v>
      </c>
      <c r="B1740" s="1">
        <v>45524</v>
      </c>
      <c r="C1740" t="s">
        <v>18</v>
      </c>
      <c r="D1740" t="s">
        <v>19</v>
      </c>
      <c r="E1740" t="s">
        <v>62</v>
      </c>
      <c r="F1740" t="s">
        <v>21</v>
      </c>
      <c r="G1740" t="s">
        <v>194</v>
      </c>
      <c r="H1740">
        <v>12</v>
      </c>
      <c r="I1740">
        <v>108.64</v>
      </c>
      <c r="J1740">
        <v>0.1</v>
      </c>
      <c r="K1740">
        <v>1173.31</v>
      </c>
    </row>
    <row r="1741" spans="1:11" x14ac:dyDescent="0.35">
      <c r="A1741" t="s">
        <v>2121</v>
      </c>
      <c r="B1741" s="2">
        <v>45468</v>
      </c>
      <c r="C1741" t="s">
        <v>90</v>
      </c>
      <c r="D1741" t="s">
        <v>19</v>
      </c>
      <c r="E1741" t="s">
        <v>506</v>
      </c>
      <c r="F1741" t="s">
        <v>35</v>
      </c>
      <c r="G1741" t="s">
        <v>67</v>
      </c>
      <c r="H1741">
        <v>10</v>
      </c>
      <c r="I1741">
        <v>199.2</v>
      </c>
      <c r="J1741">
        <v>0</v>
      </c>
      <c r="K1741">
        <v>1992</v>
      </c>
    </row>
    <row r="1742" spans="1:11" x14ac:dyDescent="0.35">
      <c r="A1742" t="s">
        <v>2122</v>
      </c>
      <c r="B1742" s="1">
        <v>45647</v>
      </c>
      <c r="C1742" t="s">
        <v>48</v>
      </c>
      <c r="D1742" t="s">
        <v>13</v>
      </c>
      <c r="E1742" t="s">
        <v>334</v>
      </c>
      <c r="F1742" t="s">
        <v>53</v>
      </c>
      <c r="G1742" t="s">
        <v>260</v>
      </c>
      <c r="H1742">
        <v>6</v>
      </c>
      <c r="I1742">
        <v>136.74</v>
      </c>
      <c r="J1742">
        <v>0</v>
      </c>
      <c r="K1742">
        <v>820.44</v>
      </c>
    </row>
    <row r="1743" spans="1:11" x14ac:dyDescent="0.35">
      <c r="A1743" t="s">
        <v>2123</v>
      </c>
      <c r="B1743" s="1">
        <v>45548</v>
      </c>
      <c r="C1743" t="s">
        <v>90</v>
      </c>
      <c r="D1743" t="s">
        <v>19</v>
      </c>
      <c r="E1743" t="s">
        <v>221</v>
      </c>
      <c r="F1743" t="s">
        <v>21</v>
      </c>
      <c r="G1743" t="s">
        <v>194</v>
      </c>
      <c r="H1743">
        <v>3</v>
      </c>
      <c r="I1743">
        <v>153.13</v>
      </c>
      <c r="J1743">
        <v>0.15</v>
      </c>
      <c r="K1743">
        <v>390.48</v>
      </c>
    </row>
    <row r="1744" spans="1:11" x14ac:dyDescent="0.35">
      <c r="A1744" t="s">
        <v>2124</v>
      </c>
      <c r="B1744" s="1">
        <v>45445</v>
      </c>
      <c r="C1744" t="s">
        <v>90</v>
      </c>
      <c r="D1744" t="s">
        <v>19</v>
      </c>
      <c r="E1744" t="s">
        <v>315</v>
      </c>
      <c r="F1744" t="s">
        <v>35</v>
      </c>
      <c r="G1744" t="s">
        <v>177</v>
      </c>
      <c r="H1744">
        <v>10</v>
      </c>
      <c r="I1744">
        <v>64.41</v>
      </c>
      <c r="J1744">
        <v>0.05</v>
      </c>
      <c r="K1744">
        <v>611.89</v>
      </c>
    </row>
    <row r="1745" spans="1:11" x14ac:dyDescent="0.35">
      <c r="A1745" t="s">
        <v>2125</v>
      </c>
      <c r="B1745" s="2">
        <v>45473</v>
      </c>
      <c r="C1745" t="s">
        <v>90</v>
      </c>
      <c r="D1745" t="s">
        <v>57</v>
      </c>
      <c r="E1745" t="s">
        <v>865</v>
      </c>
      <c r="F1745" t="s">
        <v>15</v>
      </c>
      <c r="G1745" t="s">
        <v>147</v>
      </c>
      <c r="H1745">
        <v>7</v>
      </c>
      <c r="I1745">
        <v>56.96</v>
      </c>
      <c r="J1745">
        <v>0.1</v>
      </c>
      <c r="K1745">
        <v>358.85</v>
      </c>
    </row>
    <row r="1746" spans="1:11" x14ac:dyDescent="0.35">
      <c r="A1746" t="s">
        <v>2126</v>
      </c>
      <c r="B1746" t="s">
        <v>2127</v>
      </c>
      <c r="C1746" t="s">
        <v>12</v>
      </c>
      <c r="D1746" t="s">
        <v>19</v>
      </c>
      <c r="E1746" t="s">
        <v>217</v>
      </c>
      <c r="F1746" t="s">
        <v>15</v>
      </c>
      <c r="G1746" t="s">
        <v>111</v>
      </c>
      <c r="H1746">
        <v>9</v>
      </c>
      <c r="I1746">
        <v>148.36000000000001</v>
      </c>
      <c r="J1746">
        <v>0</v>
      </c>
      <c r="K1746">
        <v>1335.24</v>
      </c>
    </row>
    <row r="1747" spans="1:11" x14ac:dyDescent="0.35">
      <c r="A1747" t="s">
        <v>2128</v>
      </c>
      <c r="B1747" s="1">
        <v>45440</v>
      </c>
      <c r="C1747" t="s">
        <v>56</v>
      </c>
      <c r="D1747" t="s">
        <v>25</v>
      </c>
      <c r="E1747" t="s">
        <v>547</v>
      </c>
      <c r="F1747" t="s">
        <v>53</v>
      </c>
      <c r="G1747" t="s">
        <v>59</v>
      </c>
      <c r="H1747">
        <v>11</v>
      </c>
      <c r="I1747">
        <v>164.22</v>
      </c>
      <c r="J1747">
        <v>0</v>
      </c>
      <c r="K1747">
        <v>1806.42</v>
      </c>
    </row>
    <row r="1748" spans="1:11" x14ac:dyDescent="0.35">
      <c r="A1748" t="s">
        <v>2129</v>
      </c>
      <c r="B1748" s="2">
        <v>45304</v>
      </c>
      <c r="C1748" t="s">
        <v>48</v>
      </c>
      <c r="D1748" t="s">
        <v>25</v>
      </c>
      <c r="E1748" t="s">
        <v>659</v>
      </c>
      <c r="F1748" t="s">
        <v>15</v>
      </c>
      <c r="G1748" t="s">
        <v>74</v>
      </c>
      <c r="H1748">
        <v>3</v>
      </c>
      <c r="I1748">
        <v>83.05</v>
      </c>
      <c r="J1748">
        <v>0</v>
      </c>
      <c r="K1748">
        <v>249.15</v>
      </c>
    </row>
    <row r="1749" spans="1:11" x14ac:dyDescent="0.35">
      <c r="A1749" t="s">
        <v>2130</v>
      </c>
      <c r="B1749" s="2">
        <v>45316</v>
      </c>
      <c r="C1749" t="s">
        <v>90</v>
      </c>
      <c r="D1749" t="s">
        <v>42</v>
      </c>
      <c r="E1749" t="s">
        <v>189</v>
      </c>
      <c r="F1749" t="s">
        <v>21</v>
      </c>
      <c r="G1749" t="s">
        <v>70</v>
      </c>
      <c r="H1749">
        <v>2</v>
      </c>
      <c r="I1749">
        <v>74.02</v>
      </c>
      <c r="J1749">
        <v>0.05</v>
      </c>
      <c r="K1749">
        <v>140.63999999999999</v>
      </c>
    </row>
    <row r="1750" spans="1:11" x14ac:dyDescent="0.35">
      <c r="A1750" t="s">
        <v>2131</v>
      </c>
      <c r="B1750" t="s">
        <v>245</v>
      </c>
      <c r="C1750" t="s">
        <v>48</v>
      </c>
      <c r="D1750" t="s">
        <v>13</v>
      </c>
      <c r="E1750" t="s">
        <v>663</v>
      </c>
      <c r="F1750" t="s">
        <v>53</v>
      </c>
      <c r="G1750" t="s">
        <v>125</v>
      </c>
      <c r="H1750">
        <v>2</v>
      </c>
      <c r="I1750">
        <v>197.91</v>
      </c>
      <c r="J1750">
        <v>0.05</v>
      </c>
      <c r="K1750">
        <v>376.03</v>
      </c>
    </row>
    <row r="1751" spans="1:11" x14ac:dyDescent="0.35">
      <c r="A1751" t="s">
        <v>2132</v>
      </c>
      <c r="B1751" s="1">
        <v>45382</v>
      </c>
      <c r="C1751" t="s">
        <v>79</v>
      </c>
      <c r="D1751" t="s">
        <v>25</v>
      </c>
      <c r="E1751" t="s">
        <v>711</v>
      </c>
      <c r="F1751" t="s">
        <v>15</v>
      </c>
      <c r="G1751" t="s">
        <v>27</v>
      </c>
      <c r="H1751">
        <v>10</v>
      </c>
      <c r="I1751">
        <v>207.49</v>
      </c>
      <c r="J1751">
        <v>0.05</v>
      </c>
      <c r="K1751">
        <v>1971.15</v>
      </c>
    </row>
    <row r="1752" spans="1:11" x14ac:dyDescent="0.35">
      <c r="A1752" t="s">
        <v>2133</v>
      </c>
      <c r="B1752" s="2">
        <v>45495</v>
      </c>
      <c r="C1752" t="s">
        <v>90</v>
      </c>
      <c r="D1752" t="s">
        <v>13</v>
      </c>
      <c r="E1752" t="s">
        <v>334</v>
      </c>
      <c r="F1752" t="s">
        <v>53</v>
      </c>
      <c r="G1752" t="s">
        <v>104</v>
      </c>
      <c r="H1752">
        <v>1</v>
      </c>
      <c r="I1752">
        <v>89.02</v>
      </c>
      <c r="J1752">
        <v>0.1</v>
      </c>
      <c r="K1752">
        <v>80.12</v>
      </c>
    </row>
    <row r="1753" spans="1:11" x14ac:dyDescent="0.35">
      <c r="A1753" t="s">
        <v>2134</v>
      </c>
      <c r="B1753" s="1">
        <v>45608</v>
      </c>
      <c r="C1753" t="s">
        <v>24</v>
      </c>
      <c r="D1753" t="s">
        <v>42</v>
      </c>
      <c r="E1753" t="s">
        <v>133</v>
      </c>
      <c r="F1753" t="s">
        <v>44</v>
      </c>
      <c r="G1753" t="s">
        <v>50</v>
      </c>
      <c r="H1753">
        <v>3</v>
      </c>
      <c r="I1753">
        <v>58.63</v>
      </c>
      <c r="J1753">
        <v>0.15</v>
      </c>
      <c r="K1753">
        <v>149.51</v>
      </c>
    </row>
    <row r="1754" spans="1:11" x14ac:dyDescent="0.35">
      <c r="A1754" t="s">
        <v>2135</v>
      </c>
      <c r="B1754" s="2">
        <v>45404</v>
      </c>
      <c r="C1754" t="s">
        <v>65</v>
      </c>
      <c r="D1754" t="s">
        <v>19</v>
      </c>
      <c r="E1754" t="s">
        <v>204</v>
      </c>
      <c r="F1754" t="s">
        <v>15</v>
      </c>
      <c r="G1754" t="s">
        <v>111</v>
      </c>
      <c r="H1754">
        <v>6</v>
      </c>
      <c r="I1754">
        <v>179.72</v>
      </c>
      <c r="J1754">
        <v>0.1</v>
      </c>
      <c r="K1754">
        <v>970.49</v>
      </c>
    </row>
    <row r="1755" spans="1:11" x14ac:dyDescent="0.35">
      <c r="A1755" t="s">
        <v>2136</v>
      </c>
      <c r="B1755" s="1">
        <v>45292</v>
      </c>
      <c r="C1755" t="s">
        <v>90</v>
      </c>
      <c r="D1755" t="s">
        <v>13</v>
      </c>
      <c r="E1755" t="s">
        <v>339</v>
      </c>
      <c r="F1755" t="s">
        <v>21</v>
      </c>
      <c r="G1755" t="s">
        <v>22</v>
      </c>
      <c r="H1755">
        <v>3</v>
      </c>
      <c r="I1755">
        <v>168.38</v>
      </c>
      <c r="J1755">
        <v>0.05</v>
      </c>
      <c r="K1755">
        <v>479.88</v>
      </c>
    </row>
    <row r="1756" spans="1:11" x14ac:dyDescent="0.35">
      <c r="A1756" t="s">
        <v>2137</v>
      </c>
      <c r="B1756" s="2">
        <v>45557</v>
      </c>
      <c r="C1756" t="s">
        <v>12</v>
      </c>
      <c r="D1756" t="s">
        <v>25</v>
      </c>
      <c r="E1756" t="s">
        <v>243</v>
      </c>
      <c r="F1756" t="s">
        <v>44</v>
      </c>
      <c r="G1756" t="s">
        <v>45</v>
      </c>
      <c r="H1756">
        <v>2</v>
      </c>
      <c r="I1756">
        <v>15.31</v>
      </c>
      <c r="J1756">
        <v>0.1</v>
      </c>
      <c r="K1756">
        <v>27.56</v>
      </c>
    </row>
    <row r="1757" spans="1:11" x14ac:dyDescent="0.35">
      <c r="A1757" t="s">
        <v>2138</v>
      </c>
      <c r="B1757" s="1">
        <v>45506</v>
      </c>
      <c r="C1757" t="s">
        <v>72</v>
      </c>
      <c r="D1757" t="s">
        <v>19</v>
      </c>
      <c r="E1757" t="s">
        <v>100</v>
      </c>
      <c r="F1757" t="s">
        <v>35</v>
      </c>
      <c r="G1757" t="s">
        <v>83</v>
      </c>
      <c r="H1757">
        <v>4</v>
      </c>
      <c r="I1757">
        <v>141.63999999999999</v>
      </c>
      <c r="J1757">
        <v>0</v>
      </c>
      <c r="K1757">
        <v>566.55999999999995</v>
      </c>
    </row>
    <row r="1758" spans="1:11" x14ac:dyDescent="0.35">
      <c r="A1758" t="s">
        <v>2139</v>
      </c>
      <c r="B1758" t="s">
        <v>2140</v>
      </c>
      <c r="C1758" t="s">
        <v>33</v>
      </c>
      <c r="D1758" t="s">
        <v>42</v>
      </c>
      <c r="E1758" t="s">
        <v>204</v>
      </c>
      <c r="F1758" t="s">
        <v>35</v>
      </c>
      <c r="G1758" t="s">
        <v>83</v>
      </c>
      <c r="H1758">
        <v>12</v>
      </c>
      <c r="I1758">
        <v>142.49</v>
      </c>
      <c r="J1758">
        <v>0.1</v>
      </c>
      <c r="K1758">
        <v>1538.89</v>
      </c>
    </row>
    <row r="1759" spans="1:11" x14ac:dyDescent="0.35">
      <c r="A1759" t="s">
        <v>2141</v>
      </c>
      <c r="B1759" s="2">
        <v>45611</v>
      </c>
      <c r="C1759" t="s">
        <v>90</v>
      </c>
      <c r="D1759" t="s">
        <v>19</v>
      </c>
      <c r="E1759" t="s">
        <v>14</v>
      </c>
      <c r="F1759" t="s">
        <v>35</v>
      </c>
      <c r="G1759" t="s">
        <v>67</v>
      </c>
      <c r="H1759">
        <v>12</v>
      </c>
      <c r="I1759">
        <v>14.8</v>
      </c>
      <c r="J1759">
        <v>0.15</v>
      </c>
      <c r="K1759">
        <v>150.96</v>
      </c>
    </row>
    <row r="1760" spans="1:11" x14ac:dyDescent="0.35">
      <c r="A1760" t="s">
        <v>2142</v>
      </c>
      <c r="B1760" t="s">
        <v>1161</v>
      </c>
      <c r="C1760" t="s">
        <v>18</v>
      </c>
      <c r="D1760" t="s">
        <v>57</v>
      </c>
      <c r="E1760" t="s">
        <v>810</v>
      </c>
      <c r="F1760" t="s">
        <v>44</v>
      </c>
      <c r="G1760" t="s">
        <v>50</v>
      </c>
      <c r="H1760">
        <v>8</v>
      </c>
      <c r="I1760">
        <v>123.35</v>
      </c>
      <c r="J1760">
        <v>0</v>
      </c>
      <c r="K1760">
        <v>986.8</v>
      </c>
    </row>
    <row r="1761" spans="1:11" x14ac:dyDescent="0.35">
      <c r="A1761" t="s">
        <v>2143</v>
      </c>
      <c r="B1761" s="1">
        <v>45607</v>
      </c>
      <c r="C1761" t="s">
        <v>24</v>
      </c>
      <c r="D1761" t="s">
        <v>42</v>
      </c>
      <c r="E1761" t="s">
        <v>477</v>
      </c>
      <c r="F1761" t="s">
        <v>35</v>
      </c>
      <c r="G1761" t="s">
        <v>177</v>
      </c>
      <c r="H1761">
        <v>10</v>
      </c>
      <c r="I1761">
        <v>176.23</v>
      </c>
      <c r="J1761">
        <v>0.05</v>
      </c>
      <c r="K1761">
        <v>1674.18</v>
      </c>
    </row>
    <row r="1762" spans="1:11" x14ac:dyDescent="0.35">
      <c r="A1762" t="s">
        <v>2144</v>
      </c>
      <c r="B1762" s="1">
        <v>45454</v>
      </c>
      <c r="C1762" t="s">
        <v>18</v>
      </c>
      <c r="D1762" t="s">
        <v>13</v>
      </c>
      <c r="E1762" t="s">
        <v>394</v>
      </c>
      <c r="F1762" t="s">
        <v>15</v>
      </c>
      <c r="G1762" t="s">
        <v>147</v>
      </c>
      <c r="H1762">
        <v>12</v>
      </c>
      <c r="I1762">
        <v>29.82</v>
      </c>
      <c r="J1762">
        <v>0</v>
      </c>
      <c r="K1762">
        <v>357.84</v>
      </c>
    </row>
    <row r="1763" spans="1:11" x14ac:dyDescent="0.35">
      <c r="A1763" t="s">
        <v>2145</v>
      </c>
      <c r="B1763" s="1">
        <v>45609</v>
      </c>
      <c r="C1763" t="s">
        <v>41</v>
      </c>
      <c r="D1763" t="s">
        <v>25</v>
      </c>
      <c r="E1763" t="s">
        <v>437</v>
      </c>
      <c r="F1763" t="s">
        <v>35</v>
      </c>
      <c r="G1763" t="s">
        <v>177</v>
      </c>
      <c r="H1763">
        <v>11</v>
      </c>
      <c r="I1763">
        <v>88.21</v>
      </c>
      <c r="J1763">
        <v>0</v>
      </c>
      <c r="K1763">
        <v>970.31</v>
      </c>
    </row>
    <row r="1764" spans="1:11" x14ac:dyDescent="0.35">
      <c r="A1764" t="s">
        <v>2146</v>
      </c>
      <c r="B1764" s="1">
        <v>45581</v>
      </c>
      <c r="C1764" t="s">
        <v>90</v>
      </c>
      <c r="D1764" t="s">
        <v>57</v>
      </c>
      <c r="E1764" t="s">
        <v>93</v>
      </c>
      <c r="F1764" t="s">
        <v>15</v>
      </c>
      <c r="G1764" t="s">
        <v>27</v>
      </c>
      <c r="H1764">
        <v>12</v>
      </c>
      <c r="I1764">
        <v>228.1</v>
      </c>
      <c r="J1764">
        <v>0.05</v>
      </c>
      <c r="K1764">
        <v>2600.34</v>
      </c>
    </row>
    <row r="1765" spans="1:11" x14ac:dyDescent="0.35">
      <c r="A1765" t="s">
        <v>2147</v>
      </c>
      <c r="B1765" s="1">
        <v>45439</v>
      </c>
      <c r="C1765" t="s">
        <v>56</v>
      </c>
      <c r="D1765" t="s">
        <v>25</v>
      </c>
      <c r="E1765" t="s">
        <v>238</v>
      </c>
      <c r="F1765" t="s">
        <v>44</v>
      </c>
      <c r="G1765" t="s">
        <v>86</v>
      </c>
      <c r="H1765">
        <v>6</v>
      </c>
      <c r="I1765">
        <v>59.15</v>
      </c>
      <c r="J1765">
        <v>0.1</v>
      </c>
      <c r="K1765">
        <v>319.41000000000003</v>
      </c>
    </row>
    <row r="1766" spans="1:11" x14ac:dyDescent="0.35">
      <c r="A1766" t="s">
        <v>2148</v>
      </c>
      <c r="B1766" t="s">
        <v>423</v>
      </c>
      <c r="C1766" t="s">
        <v>29</v>
      </c>
      <c r="D1766" t="s">
        <v>13</v>
      </c>
      <c r="E1766" t="s">
        <v>751</v>
      </c>
      <c r="F1766" t="s">
        <v>53</v>
      </c>
      <c r="G1766" t="s">
        <v>104</v>
      </c>
      <c r="H1766">
        <v>5</v>
      </c>
      <c r="I1766">
        <v>215.33</v>
      </c>
      <c r="J1766">
        <v>0</v>
      </c>
      <c r="K1766">
        <v>1076.6500000000001</v>
      </c>
    </row>
    <row r="1767" spans="1:11" x14ac:dyDescent="0.35">
      <c r="A1767" t="s">
        <v>2149</v>
      </c>
      <c r="B1767" t="s">
        <v>780</v>
      </c>
      <c r="C1767" t="s">
        <v>56</v>
      </c>
      <c r="D1767" t="s">
        <v>19</v>
      </c>
      <c r="E1767" t="s">
        <v>189</v>
      </c>
      <c r="F1767" t="s">
        <v>15</v>
      </c>
      <c r="G1767" t="s">
        <v>74</v>
      </c>
      <c r="H1767">
        <v>1</v>
      </c>
      <c r="I1767">
        <v>84.09</v>
      </c>
      <c r="J1767">
        <v>0</v>
      </c>
      <c r="K1767">
        <v>84.09</v>
      </c>
    </row>
    <row r="1768" spans="1:11" x14ac:dyDescent="0.35">
      <c r="A1768" t="s">
        <v>2150</v>
      </c>
      <c r="B1768" s="2">
        <v>45566</v>
      </c>
      <c r="C1768" t="s">
        <v>24</v>
      </c>
      <c r="D1768" t="s">
        <v>19</v>
      </c>
      <c r="E1768" t="s">
        <v>400</v>
      </c>
      <c r="F1768" t="s">
        <v>44</v>
      </c>
      <c r="G1768" t="s">
        <v>86</v>
      </c>
      <c r="H1768">
        <v>2</v>
      </c>
      <c r="I1768">
        <v>76.900000000000006</v>
      </c>
      <c r="J1768">
        <v>0</v>
      </c>
      <c r="K1768">
        <v>153.80000000000001</v>
      </c>
    </row>
    <row r="1769" spans="1:11" x14ac:dyDescent="0.35">
      <c r="A1769" t="s">
        <v>2151</v>
      </c>
      <c r="B1769" s="1">
        <v>45504</v>
      </c>
      <c r="C1769" t="s">
        <v>72</v>
      </c>
      <c r="D1769" t="s">
        <v>57</v>
      </c>
      <c r="F1769" t="s">
        <v>53</v>
      </c>
      <c r="G1769" t="s">
        <v>63</v>
      </c>
      <c r="H1769">
        <v>6</v>
      </c>
      <c r="I1769">
        <v>204.83</v>
      </c>
      <c r="J1769">
        <v>0.1</v>
      </c>
      <c r="K1769">
        <v>1106.08</v>
      </c>
    </row>
    <row r="1770" spans="1:11" x14ac:dyDescent="0.35">
      <c r="A1770" t="s">
        <v>2152</v>
      </c>
      <c r="B1770" s="2">
        <v>45648</v>
      </c>
      <c r="C1770" t="s">
        <v>12</v>
      </c>
      <c r="D1770" t="s">
        <v>25</v>
      </c>
      <c r="E1770" t="s">
        <v>454</v>
      </c>
      <c r="F1770" t="s">
        <v>53</v>
      </c>
      <c r="G1770" t="s">
        <v>260</v>
      </c>
      <c r="H1770">
        <v>9</v>
      </c>
      <c r="I1770">
        <v>191.8</v>
      </c>
      <c r="J1770">
        <v>0</v>
      </c>
      <c r="K1770">
        <v>1726.2</v>
      </c>
    </row>
    <row r="1771" spans="1:11" x14ac:dyDescent="0.35">
      <c r="A1771" t="s">
        <v>2153</v>
      </c>
      <c r="B1771" s="2">
        <v>45318</v>
      </c>
      <c r="C1771" t="s">
        <v>33</v>
      </c>
      <c r="D1771" t="s">
        <v>19</v>
      </c>
      <c r="E1771" t="s">
        <v>370</v>
      </c>
      <c r="F1771" t="s">
        <v>21</v>
      </c>
      <c r="G1771" t="s">
        <v>129</v>
      </c>
      <c r="H1771">
        <v>3</v>
      </c>
      <c r="I1771">
        <v>129.72</v>
      </c>
      <c r="J1771">
        <v>0.05</v>
      </c>
      <c r="K1771">
        <v>369.7</v>
      </c>
    </row>
    <row r="1772" spans="1:11" x14ac:dyDescent="0.35">
      <c r="A1772" t="s">
        <v>2154</v>
      </c>
      <c r="B1772" s="1">
        <v>45635</v>
      </c>
      <c r="C1772" t="s">
        <v>41</v>
      </c>
      <c r="D1772" t="s">
        <v>57</v>
      </c>
      <c r="E1772" t="s">
        <v>379</v>
      </c>
      <c r="F1772" t="s">
        <v>35</v>
      </c>
      <c r="G1772" t="s">
        <v>177</v>
      </c>
      <c r="H1772">
        <v>5</v>
      </c>
      <c r="I1772">
        <v>95.08</v>
      </c>
      <c r="J1772">
        <v>0</v>
      </c>
      <c r="K1772">
        <v>475.4</v>
      </c>
    </row>
    <row r="1773" spans="1:11" x14ac:dyDescent="0.35">
      <c r="A1773" t="s">
        <v>2155</v>
      </c>
      <c r="B1773" s="1">
        <v>45542</v>
      </c>
      <c r="C1773" t="s">
        <v>72</v>
      </c>
      <c r="D1773" t="s">
        <v>19</v>
      </c>
      <c r="E1773" t="s">
        <v>858</v>
      </c>
      <c r="F1773" t="s">
        <v>53</v>
      </c>
      <c r="G1773" t="s">
        <v>260</v>
      </c>
      <c r="H1773">
        <v>4</v>
      </c>
      <c r="I1773">
        <v>148.65</v>
      </c>
      <c r="J1773">
        <v>0</v>
      </c>
      <c r="K1773">
        <v>594.6</v>
      </c>
    </row>
    <row r="1774" spans="1:11" x14ac:dyDescent="0.35">
      <c r="A1774" t="s">
        <v>2156</v>
      </c>
      <c r="B1774" s="2">
        <v>45388</v>
      </c>
      <c r="C1774" t="s">
        <v>102</v>
      </c>
      <c r="D1774" t="s">
        <v>19</v>
      </c>
      <c r="E1774" t="s">
        <v>351</v>
      </c>
      <c r="F1774" t="s">
        <v>21</v>
      </c>
      <c r="G1774" t="s">
        <v>129</v>
      </c>
      <c r="H1774">
        <v>8</v>
      </c>
      <c r="I1774">
        <v>175.22</v>
      </c>
      <c r="J1774">
        <v>0.1</v>
      </c>
      <c r="K1774">
        <v>1261.58</v>
      </c>
    </row>
    <row r="1775" spans="1:11" x14ac:dyDescent="0.35">
      <c r="A1775" t="s">
        <v>2157</v>
      </c>
      <c r="B1775" s="1">
        <v>45654</v>
      </c>
      <c r="C1775" t="s">
        <v>48</v>
      </c>
      <c r="D1775" t="s">
        <v>25</v>
      </c>
      <c r="E1775" t="s">
        <v>185</v>
      </c>
      <c r="F1775" t="s">
        <v>15</v>
      </c>
      <c r="G1775" t="s">
        <v>147</v>
      </c>
      <c r="H1775">
        <v>6</v>
      </c>
      <c r="I1775">
        <v>168.06</v>
      </c>
      <c r="J1775">
        <v>0</v>
      </c>
      <c r="K1775">
        <v>1008.36</v>
      </c>
    </row>
    <row r="1776" spans="1:11" x14ac:dyDescent="0.35">
      <c r="A1776" t="s">
        <v>1113</v>
      </c>
      <c r="B1776" s="1">
        <v>45564</v>
      </c>
      <c r="C1776" t="s">
        <v>18</v>
      </c>
      <c r="D1776" t="s">
        <v>42</v>
      </c>
      <c r="E1776" t="s">
        <v>266</v>
      </c>
      <c r="F1776" t="s">
        <v>21</v>
      </c>
      <c r="G1776" t="s">
        <v>129</v>
      </c>
      <c r="H1776">
        <v>1</v>
      </c>
      <c r="I1776">
        <v>166.8</v>
      </c>
      <c r="J1776">
        <v>0.1</v>
      </c>
      <c r="K1776">
        <v>150.12</v>
      </c>
    </row>
    <row r="1777" spans="1:11" x14ac:dyDescent="0.35">
      <c r="A1777" t="s">
        <v>2158</v>
      </c>
      <c r="B1777" s="1">
        <v>45547</v>
      </c>
      <c r="C1777" t="s">
        <v>90</v>
      </c>
      <c r="D1777" t="s">
        <v>57</v>
      </c>
      <c r="E1777" t="s">
        <v>418</v>
      </c>
      <c r="F1777" t="s">
        <v>44</v>
      </c>
      <c r="G1777" t="s">
        <v>45</v>
      </c>
      <c r="H1777">
        <v>5</v>
      </c>
      <c r="I1777">
        <v>91.12</v>
      </c>
      <c r="J1777">
        <v>0.15</v>
      </c>
      <c r="K1777">
        <v>387.26</v>
      </c>
    </row>
    <row r="1778" spans="1:11" x14ac:dyDescent="0.35">
      <c r="A1778" t="s">
        <v>2159</v>
      </c>
      <c r="B1778" s="2">
        <v>45430</v>
      </c>
      <c r="C1778" t="s">
        <v>24</v>
      </c>
      <c r="D1778" t="s">
        <v>42</v>
      </c>
      <c r="E1778" t="s">
        <v>1447</v>
      </c>
      <c r="F1778" t="s">
        <v>35</v>
      </c>
      <c r="G1778" t="s">
        <v>134</v>
      </c>
      <c r="H1778">
        <v>3</v>
      </c>
      <c r="I1778">
        <v>136.66999999999999</v>
      </c>
      <c r="J1778">
        <v>0</v>
      </c>
      <c r="K1778">
        <v>410.01</v>
      </c>
    </row>
    <row r="1779" spans="1:11" x14ac:dyDescent="0.35">
      <c r="A1779" t="s">
        <v>2160</v>
      </c>
      <c r="B1779" s="1">
        <v>45312</v>
      </c>
      <c r="C1779" t="s">
        <v>38</v>
      </c>
      <c r="D1779" t="s">
        <v>57</v>
      </c>
      <c r="E1779" t="s">
        <v>20</v>
      </c>
      <c r="F1779" t="s">
        <v>15</v>
      </c>
      <c r="G1779" t="s">
        <v>16</v>
      </c>
      <c r="H1779">
        <v>9</v>
      </c>
      <c r="I1779">
        <v>30.29</v>
      </c>
      <c r="J1779">
        <v>0.15</v>
      </c>
      <c r="K1779">
        <v>231.72</v>
      </c>
    </row>
    <row r="1780" spans="1:11" x14ac:dyDescent="0.35">
      <c r="A1780" t="s">
        <v>2161</v>
      </c>
      <c r="B1780" t="s">
        <v>2162</v>
      </c>
      <c r="C1780" t="s">
        <v>90</v>
      </c>
      <c r="D1780" t="s">
        <v>57</v>
      </c>
      <c r="E1780" t="s">
        <v>189</v>
      </c>
      <c r="F1780" t="s">
        <v>21</v>
      </c>
      <c r="G1780" t="s">
        <v>194</v>
      </c>
      <c r="H1780">
        <v>9</v>
      </c>
      <c r="I1780">
        <v>137.28</v>
      </c>
      <c r="J1780">
        <v>0.1</v>
      </c>
      <c r="K1780">
        <v>1111.97</v>
      </c>
    </row>
    <row r="1781" spans="1:11" x14ac:dyDescent="0.35">
      <c r="A1781" t="s">
        <v>2163</v>
      </c>
      <c r="B1781" s="1">
        <v>45583</v>
      </c>
      <c r="C1781" t="s">
        <v>18</v>
      </c>
      <c r="D1781" t="s">
        <v>57</v>
      </c>
      <c r="E1781" t="s">
        <v>58</v>
      </c>
      <c r="F1781" t="s">
        <v>44</v>
      </c>
      <c r="G1781" t="s">
        <v>107</v>
      </c>
      <c r="H1781">
        <v>10</v>
      </c>
      <c r="I1781">
        <v>135.41</v>
      </c>
      <c r="J1781">
        <v>0.1</v>
      </c>
      <c r="K1781">
        <v>1218.69</v>
      </c>
    </row>
    <row r="1782" spans="1:11" x14ac:dyDescent="0.35">
      <c r="A1782" t="s">
        <v>2164</v>
      </c>
      <c r="B1782" s="2">
        <v>45648</v>
      </c>
      <c r="C1782" t="s">
        <v>48</v>
      </c>
      <c r="D1782" t="s">
        <v>13</v>
      </c>
      <c r="E1782" t="s">
        <v>867</v>
      </c>
      <c r="F1782" t="s">
        <v>35</v>
      </c>
      <c r="G1782" t="s">
        <v>177</v>
      </c>
      <c r="H1782">
        <v>12</v>
      </c>
      <c r="I1782">
        <v>91.9</v>
      </c>
      <c r="J1782">
        <v>0.1</v>
      </c>
      <c r="K1782">
        <v>992.52</v>
      </c>
    </row>
    <row r="1783" spans="1:11" x14ac:dyDescent="0.35">
      <c r="A1783" t="s">
        <v>2165</v>
      </c>
      <c r="B1783" s="1">
        <v>45579</v>
      </c>
      <c r="C1783" t="s">
        <v>102</v>
      </c>
      <c r="D1783" t="s">
        <v>42</v>
      </c>
      <c r="E1783" t="s">
        <v>34</v>
      </c>
      <c r="F1783" t="s">
        <v>15</v>
      </c>
      <c r="G1783" t="s">
        <v>16</v>
      </c>
      <c r="H1783">
        <v>12</v>
      </c>
      <c r="I1783">
        <v>123.42</v>
      </c>
      <c r="J1783">
        <v>0.1</v>
      </c>
      <c r="K1783">
        <v>1332.94</v>
      </c>
    </row>
    <row r="1784" spans="1:11" x14ac:dyDescent="0.35">
      <c r="A1784" t="s">
        <v>2166</v>
      </c>
      <c r="B1784" s="2">
        <v>45365</v>
      </c>
      <c r="C1784" t="s">
        <v>24</v>
      </c>
      <c r="D1784" t="s">
        <v>57</v>
      </c>
      <c r="E1784" t="s">
        <v>43</v>
      </c>
      <c r="F1784" t="s">
        <v>53</v>
      </c>
      <c r="G1784" t="s">
        <v>59</v>
      </c>
      <c r="H1784">
        <v>7</v>
      </c>
      <c r="I1784">
        <v>16.39</v>
      </c>
      <c r="J1784">
        <v>0.1</v>
      </c>
      <c r="K1784">
        <v>103.26</v>
      </c>
    </row>
    <row r="1785" spans="1:11" x14ac:dyDescent="0.35">
      <c r="A1785" t="s">
        <v>2167</v>
      </c>
      <c r="B1785" s="2">
        <v>45402</v>
      </c>
      <c r="C1785" t="s">
        <v>56</v>
      </c>
      <c r="D1785" t="s">
        <v>25</v>
      </c>
      <c r="E1785" t="s">
        <v>394</v>
      </c>
      <c r="F1785" t="s">
        <v>35</v>
      </c>
      <c r="G1785" t="s">
        <v>67</v>
      </c>
      <c r="H1785">
        <v>10</v>
      </c>
      <c r="I1785">
        <v>109.1</v>
      </c>
      <c r="J1785">
        <v>0.05</v>
      </c>
      <c r="K1785">
        <v>1036.45</v>
      </c>
    </row>
    <row r="1786" spans="1:11" x14ac:dyDescent="0.35">
      <c r="A1786" t="s">
        <v>2168</v>
      </c>
      <c r="B1786" s="1">
        <v>45602</v>
      </c>
      <c r="C1786" t="s">
        <v>90</v>
      </c>
      <c r="D1786" t="s">
        <v>42</v>
      </c>
      <c r="E1786" t="s">
        <v>526</v>
      </c>
      <c r="F1786" t="s">
        <v>21</v>
      </c>
      <c r="G1786" t="s">
        <v>194</v>
      </c>
      <c r="H1786">
        <v>4</v>
      </c>
      <c r="I1786">
        <v>28.76</v>
      </c>
      <c r="J1786">
        <v>0</v>
      </c>
      <c r="K1786">
        <v>115.04</v>
      </c>
    </row>
    <row r="1787" spans="1:11" x14ac:dyDescent="0.35">
      <c r="A1787" t="s">
        <v>2169</v>
      </c>
      <c r="B1787" s="1">
        <v>45372</v>
      </c>
      <c r="C1787" t="s">
        <v>48</v>
      </c>
      <c r="D1787" t="s">
        <v>25</v>
      </c>
      <c r="E1787" t="s">
        <v>291</v>
      </c>
      <c r="F1787" t="s">
        <v>44</v>
      </c>
      <c r="G1787" t="s">
        <v>107</v>
      </c>
      <c r="H1787">
        <v>9</v>
      </c>
      <c r="I1787">
        <v>21.61</v>
      </c>
      <c r="J1787">
        <v>0.15</v>
      </c>
      <c r="K1787">
        <v>165.32</v>
      </c>
    </row>
    <row r="1788" spans="1:11" x14ac:dyDescent="0.35">
      <c r="A1788" t="s">
        <v>2170</v>
      </c>
      <c r="B1788" s="1">
        <v>45566</v>
      </c>
      <c r="C1788" t="s">
        <v>79</v>
      </c>
      <c r="D1788" t="s">
        <v>13</v>
      </c>
      <c r="E1788" t="s">
        <v>206</v>
      </c>
      <c r="F1788" t="s">
        <v>21</v>
      </c>
      <c r="G1788" t="s">
        <v>167</v>
      </c>
      <c r="H1788">
        <v>6</v>
      </c>
      <c r="I1788">
        <v>198.45</v>
      </c>
      <c r="J1788">
        <v>0</v>
      </c>
      <c r="K1788">
        <v>1190.7</v>
      </c>
    </row>
    <row r="1789" spans="1:11" x14ac:dyDescent="0.35">
      <c r="A1789" t="s">
        <v>2171</v>
      </c>
      <c r="B1789" s="1">
        <v>45378</v>
      </c>
      <c r="C1789" t="s">
        <v>90</v>
      </c>
      <c r="D1789" t="s">
        <v>25</v>
      </c>
      <c r="E1789" t="s">
        <v>418</v>
      </c>
      <c r="F1789" t="s">
        <v>44</v>
      </c>
      <c r="G1789" t="s">
        <v>94</v>
      </c>
      <c r="H1789">
        <v>5</v>
      </c>
      <c r="I1789">
        <v>165.8</v>
      </c>
      <c r="J1789">
        <v>0.15</v>
      </c>
      <c r="K1789">
        <v>704.65</v>
      </c>
    </row>
    <row r="1790" spans="1:11" x14ac:dyDescent="0.35">
      <c r="A1790" t="s">
        <v>2172</v>
      </c>
      <c r="B1790" t="s">
        <v>2173</v>
      </c>
      <c r="C1790" t="s">
        <v>29</v>
      </c>
      <c r="D1790" t="s">
        <v>19</v>
      </c>
      <c r="E1790" t="s">
        <v>131</v>
      </c>
      <c r="F1790" t="s">
        <v>15</v>
      </c>
      <c r="G1790" t="s">
        <v>16</v>
      </c>
      <c r="H1790">
        <v>3</v>
      </c>
      <c r="I1790">
        <v>215.15</v>
      </c>
      <c r="J1790">
        <v>0</v>
      </c>
      <c r="K1790">
        <v>645.45000000000005</v>
      </c>
    </row>
    <row r="1791" spans="1:11" x14ac:dyDescent="0.35">
      <c r="A1791" t="s">
        <v>2174</v>
      </c>
      <c r="B1791" t="s">
        <v>2175</v>
      </c>
      <c r="C1791" t="s">
        <v>102</v>
      </c>
      <c r="D1791" t="s">
        <v>57</v>
      </c>
      <c r="E1791" t="s">
        <v>166</v>
      </c>
      <c r="F1791" t="s">
        <v>35</v>
      </c>
      <c r="G1791" t="s">
        <v>177</v>
      </c>
      <c r="H1791">
        <v>6</v>
      </c>
      <c r="I1791">
        <v>165.12</v>
      </c>
      <c r="J1791">
        <v>0</v>
      </c>
      <c r="K1791">
        <v>990.72</v>
      </c>
    </row>
    <row r="1792" spans="1:11" x14ac:dyDescent="0.35">
      <c r="A1792" t="s">
        <v>2176</v>
      </c>
      <c r="B1792" t="s">
        <v>1108</v>
      </c>
      <c r="C1792" t="s">
        <v>38</v>
      </c>
      <c r="D1792" t="s">
        <v>19</v>
      </c>
      <c r="E1792" t="s">
        <v>128</v>
      </c>
      <c r="F1792" t="s">
        <v>35</v>
      </c>
      <c r="G1792" t="s">
        <v>67</v>
      </c>
      <c r="H1792">
        <v>9</v>
      </c>
      <c r="I1792">
        <v>105.27</v>
      </c>
      <c r="J1792">
        <v>0.15</v>
      </c>
      <c r="K1792">
        <v>805.32</v>
      </c>
    </row>
    <row r="1793" spans="1:11" x14ac:dyDescent="0.35">
      <c r="A1793" t="s">
        <v>2177</v>
      </c>
      <c r="B1793" s="1">
        <v>45643</v>
      </c>
      <c r="C1793" t="s">
        <v>102</v>
      </c>
      <c r="D1793" t="s">
        <v>13</v>
      </c>
      <c r="E1793" t="s">
        <v>503</v>
      </c>
      <c r="F1793" t="s">
        <v>35</v>
      </c>
      <c r="G1793" t="s">
        <v>134</v>
      </c>
      <c r="H1793">
        <v>12</v>
      </c>
      <c r="I1793">
        <v>207.46</v>
      </c>
      <c r="J1793">
        <v>0.1</v>
      </c>
      <c r="K1793">
        <v>2240.5700000000002</v>
      </c>
    </row>
    <row r="1794" spans="1:11" x14ac:dyDescent="0.35">
      <c r="A1794" t="s">
        <v>1516</v>
      </c>
      <c r="B1794" s="1">
        <v>45551</v>
      </c>
      <c r="C1794" t="s">
        <v>90</v>
      </c>
      <c r="D1794" t="s">
        <v>57</v>
      </c>
      <c r="E1794" t="s">
        <v>58</v>
      </c>
      <c r="F1794" t="s">
        <v>15</v>
      </c>
      <c r="G1794" t="s">
        <v>16</v>
      </c>
      <c r="H1794">
        <v>9</v>
      </c>
      <c r="I1794">
        <v>122.1</v>
      </c>
      <c r="J1794">
        <v>0</v>
      </c>
      <c r="K1794">
        <v>1098.9000000000001</v>
      </c>
    </row>
    <row r="1795" spans="1:11" x14ac:dyDescent="0.35">
      <c r="A1795" t="s">
        <v>2178</v>
      </c>
      <c r="B1795" t="s">
        <v>2179</v>
      </c>
      <c r="C1795" t="s">
        <v>56</v>
      </c>
      <c r="D1795" t="s">
        <v>13</v>
      </c>
      <c r="E1795" t="s">
        <v>470</v>
      </c>
      <c r="F1795" t="s">
        <v>15</v>
      </c>
      <c r="G1795" t="s">
        <v>27</v>
      </c>
      <c r="H1795">
        <v>9</v>
      </c>
      <c r="I1795">
        <v>129.24</v>
      </c>
      <c r="J1795">
        <v>0</v>
      </c>
      <c r="K1795">
        <v>1163.1600000000001</v>
      </c>
    </row>
    <row r="1796" spans="1:11" x14ac:dyDescent="0.35">
      <c r="A1796" t="s">
        <v>2180</v>
      </c>
      <c r="B1796" s="1">
        <v>45380</v>
      </c>
      <c r="C1796" t="s">
        <v>102</v>
      </c>
      <c r="D1796" t="s">
        <v>13</v>
      </c>
      <c r="E1796" t="s">
        <v>989</v>
      </c>
      <c r="F1796" t="s">
        <v>21</v>
      </c>
      <c r="G1796" t="s">
        <v>194</v>
      </c>
      <c r="H1796">
        <v>3</v>
      </c>
      <c r="I1796">
        <v>80.34</v>
      </c>
      <c r="J1796">
        <v>0</v>
      </c>
      <c r="K1796">
        <v>241.02</v>
      </c>
    </row>
    <row r="1797" spans="1:11" x14ac:dyDescent="0.35">
      <c r="A1797" t="s">
        <v>2181</v>
      </c>
      <c r="B1797" s="2">
        <v>45569</v>
      </c>
      <c r="C1797" t="s">
        <v>12</v>
      </c>
      <c r="D1797" t="s">
        <v>19</v>
      </c>
      <c r="E1797" t="s">
        <v>73</v>
      </c>
      <c r="F1797" t="s">
        <v>35</v>
      </c>
      <c r="G1797" t="s">
        <v>177</v>
      </c>
      <c r="H1797">
        <v>6</v>
      </c>
      <c r="I1797">
        <v>133.18</v>
      </c>
      <c r="J1797">
        <v>0</v>
      </c>
      <c r="K1797">
        <v>799.08</v>
      </c>
    </row>
    <row r="1798" spans="1:11" x14ac:dyDescent="0.35">
      <c r="A1798" t="s">
        <v>2182</v>
      </c>
      <c r="B1798" s="2">
        <v>45354</v>
      </c>
      <c r="C1798" t="s">
        <v>102</v>
      </c>
      <c r="D1798" t="s">
        <v>19</v>
      </c>
      <c r="E1798" t="s">
        <v>88</v>
      </c>
      <c r="F1798" t="s">
        <v>35</v>
      </c>
      <c r="G1798" t="s">
        <v>134</v>
      </c>
      <c r="H1798">
        <v>7</v>
      </c>
      <c r="I1798">
        <v>224.46</v>
      </c>
      <c r="J1798">
        <v>0</v>
      </c>
      <c r="K1798">
        <v>1571.22</v>
      </c>
    </row>
    <row r="1799" spans="1:11" x14ac:dyDescent="0.35">
      <c r="A1799" t="s">
        <v>2183</v>
      </c>
      <c r="B1799" s="1">
        <v>45517</v>
      </c>
      <c r="C1799" t="s">
        <v>56</v>
      </c>
      <c r="D1799" t="s">
        <v>42</v>
      </c>
      <c r="E1799" t="s">
        <v>176</v>
      </c>
      <c r="F1799" t="s">
        <v>15</v>
      </c>
      <c r="G1799" t="s">
        <v>74</v>
      </c>
      <c r="H1799">
        <v>12</v>
      </c>
      <c r="I1799">
        <v>42.84</v>
      </c>
      <c r="J1799">
        <v>0</v>
      </c>
      <c r="K1799">
        <v>514.08000000000004</v>
      </c>
    </row>
    <row r="1800" spans="1:11" x14ac:dyDescent="0.35">
      <c r="A1800" t="s">
        <v>2184</v>
      </c>
      <c r="B1800" t="s">
        <v>538</v>
      </c>
      <c r="C1800" t="s">
        <v>79</v>
      </c>
      <c r="D1800" t="s">
        <v>57</v>
      </c>
      <c r="E1800" t="s">
        <v>304</v>
      </c>
      <c r="F1800" t="s">
        <v>53</v>
      </c>
      <c r="G1800" t="s">
        <v>260</v>
      </c>
      <c r="H1800">
        <v>1</v>
      </c>
      <c r="I1800">
        <v>147.77000000000001</v>
      </c>
      <c r="J1800">
        <v>0</v>
      </c>
      <c r="K1800">
        <v>147.77000000000001</v>
      </c>
    </row>
    <row r="1801" spans="1:11" x14ac:dyDescent="0.35">
      <c r="A1801" t="s">
        <v>2185</v>
      </c>
      <c r="B1801" s="1">
        <v>45483</v>
      </c>
      <c r="C1801" t="s">
        <v>41</v>
      </c>
      <c r="D1801" t="s">
        <v>42</v>
      </c>
      <c r="E1801" t="s">
        <v>429</v>
      </c>
      <c r="F1801" t="s">
        <v>15</v>
      </c>
      <c r="G1801" t="s">
        <v>111</v>
      </c>
      <c r="H1801">
        <v>3</v>
      </c>
      <c r="I1801">
        <v>77.08</v>
      </c>
      <c r="J1801">
        <v>0.05</v>
      </c>
      <c r="K1801">
        <v>219.68</v>
      </c>
    </row>
    <row r="1802" spans="1:11" x14ac:dyDescent="0.35">
      <c r="A1802" t="s">
        <v>2186</v>
      </c>
      <c r="B1802" t="s">
        <v>1948</v>
      </c>
      <c r="C1802" t="s">
        <v>79</v>
      </c>
      <c r="D1802" t="s">
        <v>57</v>
      </c>
      <c r="E1802" t="s">
        <v>150</v>
      </c>
      <c r="F1802" t="s">
        <v>53</v>
      </c>
      <c r="G1802" t="s">
        <v>125</v>
      </c>
      <c r="H1802">
        <v>3</v>
      </c>
      <c r="I1802">
        <v>247.53</v>
      </c>
      <c r="J1802">
        <v>0.1</v>
      </c>
      <c r="K1802">
        <v>668.33</v>
      </c>
    </row>
    <row r="1803" spans="1:11" x14ac:dyDescent="0.35">
      <c r="A1803" t="s">
        <v>2187</v>
      </c>
      <c r="B1803" t="s">
        <v>1202</v>
      </c>
      <c r="C1803" t="s">
        <v>29</v>
      </c>
      <c r="D1803" t="s">
        <v>42</v>
      </c>
      <c r="E1803" t="s">
        <v>865</v>
      </c>
      <c r="F1803" t="s">
        <v>35</v>
      </c>
      <c r="G1803" t="s">
        <v>177</v>
      </c>
      <c r="H1803">
        <v>11</v>
      </c>
      <c r="I1803">
        <v>51.59</v>
      </c>
      <c r="J1803">
        <v>0.05</v>
      </c>
      <c r="K1803">
        <v>539.12</v>
      </c>
    </row>
    <row r="1804" spans="1:11" x14ac:dyDescent="0.35">
      <c r="A1804" t="s">
        <v>2188</v>
      </c>
      <c r="B1804" s="2">
        <v>45398</v>
      </c>
      <c r="C1804" t="s">
        <v>41</v>
      </c>
      <c r="D1804" t="s">
        <v>13</v>
      </c>
      <c r="E1804" t="s">
        <v>263</v>
      </c>
      <c r="F1804" t="s">
        <v>15</v>
      </c>
      <c r="G1804" t="s">
        <v>74</v>
      </c>
      <c r="H1804">
        <v>6</v>
      </c>
      <c r="I1804">
        <v>127.71</v>
      </c>
      <c r="J1804">
        <v>0.1</v>
      </c>
      <c r="K1804">
        <v>689.63</v>
      </c>
    </row>
    <row r="1805" spans="1:11" x14ac:dyDescent="0.35">
      <c r="A1805" t="s">
        <v>2189</v>
      </c>
      <c r="B1805" s="2">
        <v>45586</v>
      </c>
      <c r="C1805" t="s">
        <v>24</v>
      </c>
      <c r="D1805" t="s">
        <v>13</v>
      </c>
      <c r="E1805" t="s">
        <v>315</v>
      </c>
      <c r="F1805" t="s">
        <v>44</v>
      </c>
      <c r="G1805" t="s">
        <v>50</v>
      </c>
      <c r="H1805">
        <v>8</v>
      </c>
      <c r="I1805">
        <v>108.64</v>
      </c>
      <c r="J1805">
        <v>0.15</v>
      </c>
      <c r="K1805">
        <v>738.75</v>
      </c>
    </row>
    <row r="1806" spans="1:11" x14ac:dyDescent="0.35">
      <c r="A1806" t="s">
        <v>2190</v>
      </c>
      <c r="B1806" s="2">
        <v>45621</v>
      </c>
      <c r="C1806" t="s">
        <v>38</v>
      </c>
      <c r="D1806" t="s">
        <v>57</v>
      </c>
      <c r="E1806" t="s">
        <v>884</v>
      </c>
      <c r="F1806" t="s">
        <v>44</v>
      </c>
      <c r="G1806" t="s">
        <v>107</v>
      </c>
      <c r="H1806">
        <v>10</v>
      </c>
      <c r="I1806">
        <v>102.43</v>
      </c>
      <c r="J1806">
        <v>0</v>
      </c>
      <c r="K1806">
        <v>1024.3</v>
      </c>
    </row>
    <row r="1807" spans="1:11" x14ac:dyDescent="0.35">
      <c r="A1807" t="s">
        <v>2191</v>
      </c>
      <c r="B1807" s="2">
        <v>45364</v>
      </c>
      <c r="C1807" t="s">
        <v>72</v>
      </c>
      <c r="D1807" t="s">
        <v>57</v>
      </c>
      <c r="E1807" t="s">
        <v>69</v>
      </c>
      <c r="F1807" t="s">
        <v>21</v>
      </c>
      <c r="G1807" t="s">
        <v>194</v>
      </c>
      <c r="H1807">
        <v>8</v>
      </c>
      <c r="I1807">
        <v>156.04</v>
      </c>
      <c r="J1807">
        <v>0.1</v>
      </c>
      <c r="K1807">
        <v>1123.49</v>
      </c>
    </row>
    <row r="1808" spans="1:11" x14ac:dyDescent="0.35">
      <c r="A1808" t="s">
        <v>2192</v>
      </c>
      <c r="B1808" s="1">
        <v>45444</v>
      </c>
      <c r="C1808" t="s">
        <v>12</v>
      </c>
      <c r="D1808" t="s">
        <v>57</v>
      </c>
      <c r="E1808" t="s">
        <v>113</v>
      </c>
      <c r="F1808" t="s">
        <v>44</v>
      </c>
      <c r="G1808" t="s">
        <v>50</v>
      </c>
      <c r="H1808">
        <v>1</v>
      </c>
      <c r="I1808">
        <v>56.13</v>
      </c>
      <c r="J1808">
        <v>0</v>
      </c>
      <c r="K1808">
        <v>56.13</v>
      </c>
    </row>
    <row r="1809" spans="1:11" x14ac:dyDescent="0.35">
      <c r="A1809" t="s">
        <v>2193</v>
      </c>
      <c r="B1809" t="s">
        <v>2194</v>
      </c>
      <c r="C1809" t="s">
        <v>29</v>
      </c>
      <c r="D1809" t="s">
        <v>42</v>
      </c>
      <c r="E1809" t="s">
        <v>526</v>
      </c>
      <c r="F1809" t="s">
        <v>35</v>
      </c>
      <c r="G1809" t="s">
        <v>36</v>
      </c>
      <c r="H1809">
        <v>1</v>
      </c>
      <c r="I1809">
        <v>83.45</v>
      </c>
      <c r="J1809">
        <v>0.1</v>
      </c>
      <c r="K1809">
        <v>75.11</v>
      </c>
    </row>
    <row r="1810" spans="1:11" x14ac:dyDescent="0.35">
      <c r="A1810" t="s">
        <v>2195</v>
      </c>
      <c r="B1810" t="s">
        <v>1221</v>
      </c>
      <c r="C1810" t="s">
        <v>90</v>
      </c>
      <c r="D1810" t="s">
        <v>19</v>
      </c>
      <c r="E1810" t="s">
        <v>257</v>
      </c>
      <c r="F1810" t="s">
        <v>44</v>
      </c>
      <c r="G1810" t="s">
        <v>86</v>
      </c>
      <c r="H1810">
        <v>8</v>
      </c>
      <c r="I1810">
        <v>182.77</v>
      </c>
      <c r="J1810">
        <v>0</v>
      </c>
      <c r="K1810">
        <v>1462.16</v>
      </c>
    </row>
    <row r="1811" spans="1:11" x14ac:dyDescent="0.35">
      <c r="A1811" t="s">
        <v>2196</v>
      </c>
      <c r="B1811" s="1">
        <v>45546</v>
      </c>
      <c r="C1811" t="s">
        <v>90</v>
      </c>
      <c r="D1811" t="s">
        <v>25</v>
      </c>
      <c r="E1811" t="s">
        <v>470</v>
      </c>
      <c r="F1811" t="s">
        <v>44</v>
      </c>
      <c r="G1811" t="s">
        <v>50</v>
      </c>
      <c r="H1811">
        <v>12</v>
      </c>
      <c r="I1811">
        <v>111.56</v>
      </c>
      <c r="J1811">
        <v>0</v>
      </c>
      <c r="K1811">
        <v>1338.72</v>
      </c>
    </row>
    <row r="1812" spans="1:11" x14ac:dyDescent="0.35">
      <c r="A1812" t="s">
        <v>2197</v>
      </c>
      <c r="B1812" t="s">
        <v>645</v>
      </c>
      <c r="C1812" t="s">
        <v>65</v>
      </c>
      <c r="D1812" t="s">
        <v>42</v>
      </c>
      <c r="E1812" t="s">
        <v>506</v>
      </c>
      <c r="F1812" t="s">
        <v>44</v>
      </c>
      <c r="G1812" t="s">
        <v>86</v>
      </c>
      <c r="H1812">
        <v>1</v>
      </c>
      <c r="I1812">
        <v>74.36</v>
      </c>
      <c r="J1812">
        <v>0</v>
      </c>
      <c r="K1812">
        <v>74.36</v>
      </c>
    </row>
    <row r="1813" spans="1:11" x14ac:dyDescent="0.35">
      <c r="A1813" t="s">
        <v>2198</v>
      </c>
      <c r="B1813" t="s">
        <v>1730</v>
      </c>
      <c r="C1813" t="s">
        <v>90</v>
      </c>
      <c r="D1813" t="s">
        <v>13</v>
      </c>
      <c r="E1813" t="s">
        <v>542</v>
      </c>
      <c r="F1813" t="s">
        <v>53</v>
      </c>
      <c r="G1813" t="s">
        <v>63</v>
      </c>
      <c r="H1813">
        <v>4</v>
      </c>
      <c r="I1813">
        <v>84.32</v>
      </c>
      <c r="J1813">
        <v>0.05</v>
      </c>
      <c r="K1813">
        <v>320.42</v>
      </c>
    </row>
    <row r="1814" spans="1:11" x14ac:dyDescent="0.35">
      <c r="A1814" t="s">
        <v>2199</v>
      </c>
      <c r="B1814" t="s">
        <v>1734</v>
      </c>
      <c r="C1814" t="s">
        <v>33</v>
      </c>
      <c r="D1814" t="s">
        <v>57</v>
      </c>
      <c r="E1814" t="s">
        <v>437</v>
      </c>
      <c r="F1814" t="s">
        <v>35</v>
      </c>
      <c r="G1814" t="s">
        <v>67</v>
      </c>
      <c r="H1814">
        <v>1</v>
      </c>
      <c r="I1814">
        <v>183.06</v>
      </c>
      <c r="J1814">
        <v>0.1</v>
      </c>
      <c r="K1814">
        <v>164.75</v>
      </c>
    </row>
    <row r="1815" spans="1:11" x14ac:dyDescent="0.35">
      <c r="A1815" t="s">
        <v>2200</v>
      </c>
      <c r="B1815" s="1">
        <v>45614</v>
      </c>
      <c r="C1815" t="s">
        <v>12</v>
      </c>
      <c r="D1815" t="s">
        <v>25</v>
      </c>
      <c r="E1815" t="s">
        <v>480</v>
      </c>
      <c r="F1815" t="s">
        <v>15</v>
      </c>
      <c r="G1815" t="s">
        <v>27</v>
      </c>
      <c r="H1815">
        <v>2</v>
      </c>
      <c r="I1815">
        <v>142.46</v>
      </c>
      <c r="J1815">
        <v>0.15</v>
      </c>
      <c r="K1815">
        <v>242.18</v>
      </c>
    </row>
    <row r="1816" spans="1:11" x14ac:dyDescent="0.35">
      <c r="A1816" t="s">
        <v>2201</v>
      </c>
      <c r="B1816" s="1">
        <v>45468</v>
      </c>
      <c r="C1816" t="s">
        <v>102</v>
      </c>
      <c r="E1816" t="s">
        <v>185</v>
      </c>
      <c r="F1816" t="s">
        <v>21</v>
      </c>
      <c r="G1816" t="s">
        <v>194</v>
      </c>
      <c r="H1816">
        <v>2</v>
      </c>
      <c r="I1816">
        <v>162.35</v>
      </c>
      <c r="J1816">
        <v>0</v>
      </c>
      <c r="K1816">
        <v>324.7</v>
      </c>
    </row>
    <row r="1817" spans="1:11" x14ac:dyDescent="0.35">
      <c r="A1817" t="s">
        <v>2202</v>
      </c>
      <c r="B1817" s="1">
        <v>45294</v>
      </c>
      <c r="C1817" t="s">
        <v>12</v>
      </c>
      <c r="D1817" t="s">
        <v>42</v>
      </c>
      <c r="E1817" t="s">
        <v>590</v>
      </c>
      <c r="F1817" t="s">
        <v>35</v>
      </c>
      <c r="G1817" t="s">
        <v>83</v>
      </c>
      <c r="H1817">
        <v>7</v>
      </c>
      <c r="I1817">
        <v>140.54</v>
      </c>
      <c r="J1817">
        <v>0.1</v>
      </c>
      <c r="K1817">
        <v>885.4</v>
      </c>
    </row>
    <row r="1818" spans="1:11" x14ac:dyDescent="0.35">
      <c r="A1818" t="s">
        <v>2203</v>
      </c>
      <c r="B1818" t="s">
        <v>705</v>
      </c>
      <c r="C1818" t="s">
        <v>56</v>
      </c>
      <c r="D1818" t="s">
        <v>57</v>
      </c>
      <c r="E1818" t="s">
        <v>454</v>
      </c>
      <c r="F1818" t="s">
        <v>15</v>
      </c>
      <c r="G1818" t="s">
        <v>74</v>
      </c>
      <c r="H1818">
        <v>3</v>
      </c>
      <c r="I1818">
        <v>183.16</v>
      </c>
      <c r="J1818">
        <v>0</v>
      </c>
      <c r="K1818">
        <v>549.48</v>
      </c>
    </row>
    <row r="1819" spans="1:11" x14ac:dyDescent="0.35">
      <c r="A1819" t="s">
        <v>2204</v>
      </c>
      <c r="B1819" s="1">
        <v>45294</v>
      </c>
      <c r="C1819" t="s">
        <v>33</v>
      </c>
      <c r="D1819" t="s">
        <v>13</v>
      </c>
      <c r="E1819" t="s">
        <v>193</v>
      </c>
      <c r="F1819" t="s">
        <v>53</v>
      </c>
      <c r="G1819" t="s">
        <v>59</v>
      </c>
      <c r="H1819">
        <v>1</v>
      </c>
      <c r="I1819">
        <v>88.28</v>
      </c>
      <c r="J1819">
        <v>0.1</v>
      </c>
      <c r="K1819">
        <v>79.45</v>
      </c>
    </row>
    <row r="1820" spans="1:11" x14ac:dyDescent="0.35">
      <c r="A1820" t="s">
        <v>2205</v>
      </c>
      <c r="B1820" s="2">
        <v>45373</v>
      </c>
      <c r="C1820" t="s">
        <v>79</v>
      </c>
      <c r="D1820" t="s">
        <v>25</v>
      </c>
      <c r="E1820" t="s">
        <v>77</v>
      </c>
      <c r="F1820" t="s">
        <v>35</v>
      </c>
      <c r="G1820" t="s">
        <v>67</v>
      </c>
      <c r="H1820">
        <v>6</v>
      </c>
      <c r="I1820">
        <v>99.04</v>
      </c>
      <c r="J1820">
        <v>0</v>
      </c>
      <c r="K1820">
        <v>594.24</v>
      </c>
    </row>
    <row r="1821" spans="1:11" x14ac:dyDescent="0.35">
      <c r="A1821" t="s">
        <v>2206</v>
      </c>
      <c r="B1821" s="2">
        <v>45473</v>
      </c>
      <c r="C1821" t="s">
        <v>79</v>
      </c>
      <c r="D1821" t="s">
        <v>25</v>
      </c>
      <c r="E1821" t="s">
        <v>263</v>
      </c>
      <c r="F1821" t="s">
        <v>44</v>
      </c>
      <c r="G1821" t="s">
        <v>50</v>
      </c>
      <c r="H1821">
        <v>9</v>
      </c>
      <c r="I1821">
        <v>189.15</v>
      </c>
      <c r="J1821">
        <v>0.05</v>
      </c>
      <c r="K1821">
        <v>1617.23</v>
      </c>
    </row>
    <row r="1822" spans="1:11" x14ac:dyDescent="0.35">
      <c r="A1822" t="s">
        <v>2207</v>
      </c>
      <c r="B1822" s="1">
        <v>45571</v>
      </c>
      <c r="C1822" t="s">
        <v>41</v>
      </c>
      <c r="D1822" t="s">
        <v>19</v>
      </c>
      <c r="E1822" t="s">
        <v>180</v>
      </c>
      <c r="F1822" t="s">
        <v>21</v>
      </c>
      <c r="G1822" t="s">
        <v>70</v>
      </c>
      <c r="H1822">
        <v>4</v>
      </c>
      <c r="I1822">
        <v>166.25</v>
      </c>
      <c r="J1822">
        <v>0</v>
      </c>
      <c r="K1822">
        <v>665</v>
      </c>
    </row>
    <row r="1823" spans="1:11" x14ac:dyDescent="0.35">
      <c r="A1823" t="s">
        <v>2208</v>
      </c>
      <c r="B1823" s="1">
        <v>45490</v>
      </c>
      <c r="C1823" t="s">
        <v>102</v>
      </c>
      <c r="D1823" t="s">
        <v>19</v>
      </c>
      <c r="E1823" t="s">
        <v>343</v>
      </c>
      <c r="F1823" t="s">
        <v>35</v>
      </c>
      <c r="G1823" t="s">
        <v>36</v>
      </c>
      <c r="H1823">
        <v>7</v>
      </c>
      <c r="I1823">
        <v>56.07</v>
      </c>
      <c r="J1823">
        <v>0.1</v>
      </c>
      <c r="K1823">
        <v>353.24</v>
      </c>
    </row>
    <row r="1824" spans="1:11" x14ac:dyDescent="0.35">
      <c r="A1824" t="s">
        <v>2209</v>
      </c>
      <c r="B1824" s="1">
        <v>45546</v>
      </c>
      <c r="C1824" t="s">
        <v>72</v>
      </c>
      <c r="D1824" t="s">
        <v>25</v>
      </c>
      <c r="E1824" t="s">
        <v>366</v>
      </c>
      <c r="F1824" t="s">
        <v>44</v>
      </c>
      <c r="G1824" t="s">
        <v>45</v>
      </c>
      <c r="H1824">
        <v>4</v>
      </c>
      <c r="I1824">
        <v>195.21</v>
      </c>
      <c r="J1824">
        <v>0.05</v>
      </c>
      <c r="K1824">
        <v>741.8</v>
      </c>
    </row>
    <row r="1825" spans="1:11" x14ac:dyDescent="0.35">
      <c r="A1825" t="s">
        <v>2210</v>
      </c>
      <c r="B1825" t="s">
        <v>909</v>
      </c>
      <c r="C1825" t="s">
        <v>65</v>
      </c>
      <c r="D1825" t="s">
        <v>13</v>
      </c>
      <c r="E1825" t="s">
        <v>110</v>
      </c>
      <c r="F1825" t="s">
        <v>44</v>
      </c>
      <c r="G1825" t="s">
        <v>86</v>
      </c>
      <c r="H1825">
        <v>2</v>
      </c>
      <c r="I1825">
        <v>94.48</v>
      </c>
      <c r="J1825">
        <v>0</v>
      </c>
      <c r="K1825">
        <v>188.96</v>
      </c>
    </row>
    <row r="1826" spans="1:11" x14ac:dyDescent="0.35">
      <c r="A1826" t="s">
        <v>2211</v>
      </c>
      <c r="B1826" s="1">
        <v>45398</v>
      </c>
      <c r="C1826" t="s">
        <v>65</v>
      </c>
      <c r="D1826" t="s">
        <v>42</v>
      </c>
      <c r="E1826" t="s">
        <v>246</v>
      </c>
      <c r="F1826" t="s">
        <v>21</v>
      </c>
      <c r="G1826" t="s">
        <v>70</v>
      </c>
      <c r="H1826">
        <v>1</v>
      </c>
      <c r="I1826">
        <v>79.28</v>
      </c>
      <c r="J1826">
        <v>0</v>
      </c>
      <c r="K1826">
        <v>79.28</v>
      </c>
    </row>
    <row r="1827" spans="1:11" x14ac:dyDescent="0.35">
      <c r="A1827" t="s">
        <v>2212</v>
      </c>
      <c r="B1827" s="1">
        <v>45577</v>
      </c>
      <c r="C1827" t="s">
        <v>29</v>
      </c>
      <c r="D1827" t="s">
        <v>25</v>
      </c>
      <c r="E1827" t="s">
        <v>117</v>
      </c>
      <c r="F1827" t="s">
        <v>15</v>
      </c>
      <c r="G1827" t="s">
        <v>74</v>
      </c>
      <c r="H1827">
        <v>3</v>
      </c>
      <c r="I1827">
        <v>103.54</v>
      </c>
      <c r="J1827">
        <v>0</v>
      </c>
      <c r="K1827">
        <v>310.62</v>
      </c>
    </row>
    <row r="1828" spans="1:11" x14ac:dyDescent="0.35">
      <c r="A1828" t="s">
        <v>2213</v>
      </c>
      <c r="B1828" t="s">
        <v>557</v>
      </c>
      <c r="C1828" t="s">
        <v>56</v>
      </c>
      <c r="D1828" t="s">
        <v>25</v>
      </c>
      <c r="E1828" t="s">
        <v>586</v>
      </c>
      <c r="F1828" t="s">
        <v>35</v>
      </c>
      <c r="G1828" t="s">
        <v>67</v>
      </c>
      <c r="H1828">
        <v>11</v>
      </c>
      <c r="I1828">
        <v>118.58</v>
      </c>
      <c r="J1828">
        <v>0.05</v>
      </c>
      <c r="K1828">
        <v>1239.1600000000001</v>
      </c>
    </row>
    <row r="1829" spans="1:11" x14ac:dyDescent="0.35">
      <c r="A1829" t="s">
        <v>359</v>
      </c>
      <c r="B1829" s="2">
        <v>45341</v>
      </c>
      <c r="C1829" t="s">
        <v>18</v>
      </c>
      <c r="D1829" t="s">
        <v>25</v>
      </c>
      <c r="E1829" t="s">
        <v>360</v>
      </c>
      <c r="F1829" t="s">
        <v>44</v>
      </c>
      <c r="G1829" t="s">
        <v>45</v>
      </c>
      <c r="H1829">
        <v>7</v>
      </c>
      <c r="I1829">
        <v>48.16</v>
      </c>
      <c r="J1829">
        <v>0</v>
      </c>
      <c r="K1829">
        <v>337.12</v>
      </c>
    </row>
    <row r="1830" spans="1:11" x14ac:dyDescent="0.35">
      <c r="A1830" t="s">
        <v>2214</v>
      </c>
      <c r="B1830" s="2">
        <v>45339</v>
      </c>
      <c r="C1830" t="s">
        <v>41</v>
      </c>
      <c r="D1830" t="s">
        <v>13</v>
      </c>
      <c r="E1830" t="s">
        <v>881</v>
      </c>
      <c r="F1830" t="s">
        <v>21</v>
      </c>
      <c r="G1830" t="s">
        <v>167</v>
      </c>
      <c r="H1830">
        <v>2</v>
      </c>
      <c r="I1830">
        <v>247.11</v>
      </c>
      <c r="J1830">
        <v>0.05</v>
      </c>
      <c r="K1830">
        <v>469.51</v>
      </c>
    </row>
    <row r="1831" spans="1:11" x14ac:dyDescent="0.35">
      <c r="A1831" t="s">
        <v>2215</v>
      </c>
      <c r="B1831" s="2">
        <v>45462</v>
      </c>
      <c r="C1831" t="s">
        <v>90</v>
      </c>
      <c r="D1831" t="s">
        <v>13</v>
      </c>
      <c r="E1831" t="s">
        <v>390</v>
      </c>
      <c r="F1831" t="s">
        <v>44</v>
      </c>
      <c r="G1831" t="s">
        <v>86</v>
      </c>
      <c r="H1831">
        <v>3</v>
      </c>
      <c r="I1831">
        <v>132.24</v>
      </c>
      <c r="J1831">
        <v>0.1</v>
      </c>
      <c r="K1831">
        <v>357.05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F6755-C8C9-4713-93A8-C401911F59C5}">
  <dimension ref="A1:P1810"/>
  <sheetViews>
    <sheetView workbookViewId="0">
      <pane ySplit="1" topLeftCell="A2" activePane="bottomLeft" state="frozen"/>
      <selection pane="bottomLeft" activeCell="C12" sqref="C12"/>
    </sheetView>
  </sheetViews>
  <sheetFormatPr defaultRowHeight="14.5" x14ac:dyDescent="0.35"/>
  <cols>
    <col min="1" max="1" width="9.26953125" customWidth="1"/>
    <col min="2" max="2" width="11.7265625" customWidth="1"/>
    <col min="3" max="3" width="8.54296875" customWidth="1"/>
    <col min="4" max="4" width="11" customWidth="1"/>
    <col min="5" max="5" width="16.7265625" bestFit="1" customWidth="1"/>
    <col min="6" max="6" width="13.7265625" bestFit="1" customWidth="1"/>
    <col min="7" max="7" width="16.36328125" bestFit="1" customWidth="1"/>
    <col min="8" max="8" width="10" customWidth="1"/>
    <col min="9" max="9" width="11" customWidth="1"/>
    <col min="10" max="10" width="12.7265625" bestFit="1" customWidth="1"/>
    <col min="12" max="12" width="10.453125" customWidth="1"/>
    <col min="14" max="14" width="15.1796875" customWidth="1"/>
    <col min="15" max="15" width="15.81640625" customWidth="1"/>
    <col min="16" max="16" width="17.453125" customWidth="1"/>
  </cols>
  <sheetData>
    <row r="1" spans="1:16" x14ac:dyDescent="0.35">
      <c r="A1" t="s">
        <v>0</v>
      </c>
      <c r="B1" t="s">
        <v>1</v>
      </c>
      <c r="C1" t="s">
        <v>2</v>
      </c>
      <c r="D1" t="s">
        <v>3</v>
      </c>
      <c r="E1" t="s">
        <v>4</v>
      </c>
      <c r="F1" t="s">
        <v>5</v>
      </c>
      <c r="G1" t="s">
        <v>6</v>
      </c>
      <c r="H1" t="s">
        <v>7</v>
      </c>
      <c r="I1" t="s">
        <v>8</v>
      </c>
      <c r="J1" t="s">
        <v>9</v>
      </c>
      <c r="K1" t="s">
        <v>10</v>
      </c>
      <c r="L1" t="s">
        <v>2222</v>
      </c>
      <c r="M1" t="s">
        <v>2218</v>
      </c>
      <c r="N1" t="s">
        <v>2219</v>
      </c>
      <c r="O1" t="s">
        <v>2220</v>
      </c>
      <c r="P1" t="s">
        <v>2221</v>
      </c>
    </row>
    <row r="2" spans="1:16" x14ac:dyDescent="0.35">
      <c r="A2" t="s">
        <v>11</v>
      </c>
      <c r="B2" s="3">
        <v>45329</v>
      </c>
      <c r="C2" t="s">
        <v>18</v>
      </c>
      <c r="D2" t="s">
        <v>13</v>
      </c>
      <c r="E2" t="s">
        <v>14</v>
      </c>
      <c r="F2" t="s">
        <v>15</v>
      </c>
      <c r="G2" t="s">
        <v>16</v>
      </c>
      <c r="H2">
        <v>7</v>
      </c>
      <c r="I2">
        <v>195.39</v>
      </c>
      <c r="J2">
        <v>0.05</v>
      </c>
      <c r="K2">
        <v>1299.3399999999999</v>
      </c>
      <c r="M2" t="str">
        <f>TEXT(B2,"mmm")</f>
        <v>Feb</v>
      </c>
      <c r="N2">
        <f>MONTH(B2)</f>
        <v>2</v>
      </c>
      <c r="O2">
        <f>H2*I2*(1-J2)</f>
        <v>1299.3434999999999</v>
      </c>
      <c r="P2" t="str">
        <f>IF(ROUND(K2,2)=ROUND(O2,2),"OK","MISMATCH")</f>
        <v>OK</v>
      </c>
    </row>
    <row r="3" spans="1:16" x14ac:dyDescent="0.35">
      <c r="A3" t="s">
        <v>17</v>
      </c>
      <c r="B3" s="3">
        <v>45425</v>
      </c>
      <c r="C3" t="s">
        <v>24</v>
      </c>
      <c r="D3" t="s">
        <v>19</v>
      </c>
      <c r="E3" t="s">
        <v>20</v>
      </c>
      <c r="F3" t="s">
        <v>21</v>
      </c>
      <c r="G3" t="s">
        <v>22</v>
      </c>
      <c r="H3">
        <v>5</v>
      </c>
      <c r="I3">
        <v>142.69999999999999</v>
      </c>
      <c r="J3">
        <v>0.05</v>
      </c>
      <c r="K3">
        <v>677.82</v>
      </c>
      <c r="M3" t="str">
        <f t="shared" ref="M3:M66" si="0">TEXT(B3,"mmm")</f>
        <v>May</v>
      </c>
      <c r="N3">
        <f t="shared" ref="N3:N66" si="1">MONTH(B3)</f>
        <v>5</v>
      </c>
      <c r="O3">
        <f t="shared" ref="O3:O66" si="2">H3*I3*(1-J3)</f>
        <v>677.82499999999993</v>
      </c>
      <c r="P3" t="str">
        <f t="shared" ref="P3:P66" si="3">IF(ROUND(K3,2)=ROUND(O3,2),"OK","MISMATCH")</f>
        <v>MISMATCH</v>
      </c>
    </row>
    <row r="4" spans="1:16" x14ac:dyDescent="0.35">
      <c r="A4" t="s">
        <v>23</v>
      </c>
      <c r="B4" s="3">
        <v>45445</v>
      </c>
      <c r="C4" t="s">
        <v>65</v>
      </c>
      <c r="D4" t="s">
        <v>25</v>
      </c>
      <c r="E4" t="s">
        <v>26</v>
      </c>
      <c r="F4" t="s">
        <v>15</v>
      </c>
      <c r="G4" t="s">
        <v>27</v>
      </c>
      <c r="H4">
        <v>2</v>
      </c>
      <c r="I4">
        <v>229.61</v>
      </c>
      <c r="J4">
        <v>0.15</v>
      </c>
      <c r="K4">
        <v>390.34</v>
      </c>
      <c r="M4" t="str">
        <f t="shared" si="0"/>
        <v>Jun</v>
      </c>
      <c r="N4">
        <f t="shared" si="1"/>
        <v>6</v>
      </c>
      <c r="O4">
        <f t="shared" si="2"/>
        <v>390.33699999999999</v>
      </c>
      <c r="P4" t="str">
        <f t="shared" si="3"/>
        <v>OK</v>
      </c>
    </row>
    <row r="5" spans="1:16" x14ac:dyDescent="0.35">
      <c r="A5" t="s">
        <v>28</v>
      </c>
      <c r="B5" s="3">
        <v>45547</v>
      </c>
      <c r="C5" t="s">
        <v>33</v>
      </c>
      <c r="D5" t="s">
        <v>19</v>
      </c>
      <c r="E5" t="s">
        <v>30</v>
      </c>
      <c r="F5" t="s">
        <v>15</v>
      </c>
      <c r="G5" t="s">
        <v>16</v>
      </c>
      <c r="H5">
        <v>6</v>
      </c>
      <c r="I5">
        <v>192.04</v>
      </c>
      <c r="J5">
        <v>0.1</v>
      </c>
      <c r="K5">
        <v>1037.02</v>
      </c>
      <c r="M5" t="str">
        <f t="shared" si="0"/>
        <v>Sep</v>
      </c>
      <c r="N5">
        <f t="shared" si="1"/>
        <v>9</v>
      </c>
      <c r="O5">
        <f t="shared" si="2"/>
        <v>1037.0160000000001</v>
      </c>
      <c r="P5" t="str">
        <f t="shared" si="3"/>
        <v>OK</v>
      </c>
    </row>
    <row r="6" spans="1:16" x14ac:dyDescent="0.35">
      <c r="A6" t="s">
        <v>31</v>
      </c>
      <c r="B6" s="3">
        <v>45640</v>
      </c>
      <c r="C6" t="s">
        <v>33</v>
      </c>
      <c r="D6" t="s">
        <v>13</v>
      </c>
      <c r="E6" t="s">
        <v>34</v>
      </c>
      <c r="F6" t="s">
        <v>35</v>
      </c>
      <c r="G6" t="s">
        <v>36</v>
      </c>
      <c r="H6">
        <v>3</v>
      </c>
      <c r="I6">
        <v>193.36</v>
      </c>
      <c r="J6">
        <v>0.1</v>
      </c>
      <c r="K6">
        <v>522.07000000000005</v>
      </c>
      <c r="M6" t="str">
        <f t="shared" si="0"/>
        <v>Dec</v>
      </c>
      <c r="N6">
        <f t="shared" si="1"/>
        <v>12</v>
      </c>
      <c r="O6">
        <f t="shared" si="2"/>
        <v>522.072</v>
      </c>
      <c r="P6" t="str">
        <f t="shared" si="3"/>
        <v>OK</v>
      </c>
    </row>
    <row r="7" spans="1:16" x14ac:dyDescent="0.35">
      <c r="A7" t="s">
        <v>37</v>
      </c>
      <c r="B7" s="3">
        <v>45595</v>
      </c>
      <c r="C7" t="s">
        <v>41</v>
      </c>
      <c r="D7" t="s">
        <v>19</v>
      </c>
      <c r="E7" t="s">
        <v>39</v>
      </c>
      <c r="F7" t="s">
        <v>21</v>
      </c>
      <c r="G7" t="s">
        <v>22</v>
      </c>
      <c r="H7">
        <v>2</v>
      </c>
      <c r="I7">
        <v>214.03</v>
      </c>
      <c r="J7">
        <v>0</v>
      </c>
      <c r="K7">
        <v>428.06</v>
      </c>
      <c r="M7" t="str">
        <f t="shared" si="0"/>
        <v>Oct</v>
      </c>
      <c r="N7">
        <f t="shared" si="1"/>
        <v>10</v>
      </c>
      <c r="O7">
        <f t="shared" si="2"/>
        <v>428.06</v>
      </c>
      <c r="P7" t="str">
        <f t="shared" si="3"/>
        <v>OK</v>
      </c>
    </row>
    <row r="8" spans="1:16" x14ac:dyDescent="0.35">
      <c r="A8" t="s">
        <v>40</v>
      </c>
      <c r="B8" s="3">
        <v>45322</v>
      </c>
      <c r="C8" t="s">
        <v>33</v>
      </c>
      <c r="D8" t="s">
        <v>42</v>
      </c>
      <c r="E8" t="s">
        <v>43</v>
      </c>
      <c r="F8" t="s">
        <v>44</v>
      </c>
      <c r="G8" t="s">
        <v>45</v>
      </c>
      <c r="H8">
        <v>12</v>
      </c>
      <c r="I8">
        <v>203.86</v>
      </c>
      <c r="J8">
        <v>0</v>
      </c>
      <c r="K8">
        <v>2446.3200000000002</v>
      </c>
      <c r="M8" t="str">
        <f t="shared" si="0"/>
        <v>Jan</v>
      </c>
      <c r="N8">
        <f t="shared" si="1"/>
        <v>1</v>
      </c>
      <c r="O8">
        <f t="shared" si="2"/>
        <v>2446.3200000000002</v>
      </c>
      <c r="P8" t="str">
        <f t="shared" si="3"/>
        <v>OK</v>
      </c>
    </row>
    <row r="9" spans="1:16" x14ac:dyDescent="0.35">
      <c r="A9" t="s">
        <v>46</v>
      </c>
      <c r="B9" s="3">
        <v>45396</v>
      </c>
      <c r="C9" t="s">
        <v>24</v>
      </c>
      <c r="D9" t="s">
        <v>25</v>
      </c>
      <c r="E9" t="s">
        <v>49</v>
      </c>
      <c r="F9" t="s">
        <v>44</v>
      </c>
      <c r="G9" t="s">
        <v>50</v>
      </c>
      <c r="H9">
        <v>3</v>
      </c>
      <c r="I9">
        <v>96.46</v>
      </c>
      <c r="J9">
        <v>0</v>
      </c>
      <c r="K9">
        <v>289.38</v>
      </c>
      <c r="M9" t="str">
        <f t="shared" si="0"/>
        <v>Apr</v>
      </c>
      <c r="N9">
        <f t="shared" si="1"/>
        <v>4</v>
      </c>
      <c r="O9">
        <f t="shared" si="2"/>
        <v>289.38</v>
      </c>
      <c r="P9" t="str">
        <f t="shared" si="3"/>
        <v>OK</v>
      </c>
    </row>
    <row r="10" spans="1:16" x14ac:dyDescent="0.35">
      <c r="A10" t="s">
        <v>51</v>
      </c>
      <c r="B10" s="3">
        <v>45568</v>
      </c>
      <c r="C10" t="s">
        <v>24</v>
      </c>
      <c r="D10" t="s">
        <v>19</v>
      </c>
      <c r="E10" t="s">
        <v>52</v>
      </c>
      <c r="F10" t="s">
        <v>53</v>
      </c>
      <c r="G10" t="s">
        <v>54</v>
      </c>
      <c r="H10">
        <v>11</v>
      </c>
      <c r="I10">
        <v>234.58</v>
      </c>
      <c r="J10">
        <v>0</v>
      </c>
      <c r="K10">
        <v>2580.38</v>
      </c>
      <c r="M10" t="str">
        <f t="shared" si="0"/>
        <v>Oct</v>
      </c>
      <c r="N10">
        <f t="shared" si="1"/>
        <v>10</v>
      </c>
      <c r="O10">
        <f t="shared" si="2"/>
        <v>2580.38</v>
      </c>
      <c r="P10" t="str">
        <f t="shared" si="3"/>
        <v>OK</v>
      </c>
    </row>
    <row r="11" spans="1:16" x14ac:dyDescent="0.35">
      <c r="A11" t="s">
        <v>55</v>
      </c>
      <c r="B11" s="3">
        <v>45471</v>
      </c>
      <c r="C11" t="s">
        <v>33</v>
      </c>
      <c r="D11" t="s">
        <v>57</v>
      </c>
      <c r="E11" t="s">
        <v>58</v>
      </c>
      <c r="F11" t="s">
        <v>53</v>
      </c>
      <c r="G11" t="s">
        <v>59</v>
      </c>
      <c r="H11">
        <v>12</v>
      </c>
      <c r="I11">
        <v>197.82</v>
      </c>
      <c r="J11">
        <v>0</v>
      </c>
      <c r="K11">
        <v>2373.84</v>
      </c>
      <c r="M11" t="str">
        <f t="shared" si="0"/>
        <v>Jun</v>
      </c>
      <c r="N11">
        <f t="shared" si="1"/>
        <v>6</v>
      </c>
      <c r="O11">
        <f t="shared" si="2"/>
        <v>2373.84</v>
      </c>
      <c r="P11" t="str">
        <f t="shared" si="3"/>
        <v>OK</v>
      </c>
    </row>
    <row r="12" spans="1:16" x14ac:dyDescent="0.35">
      <c r="A12" t="s">
        <v>60</v>
      </c>
      <c r="B12" s="3">
        <v>45466</v>
      </c>
      <c r="C12" t="s">
        <v>65</v>
      </c>
      <c r="D12" t="s">
        <v>57</v>
      </c>
      <c r="E12" t="s">
        <v>62</v>
      </c>
      <c r="F12" t="s">
        <v>53</v>
      </c>
      <c r="G12" t="s">
        <v>63</v>
      </c>
      <c r="H12">
        <v>3</v>
      </c>
      <c r="I12">
        <v>114.53</v>
      </c>
      <c r="J12">
        <v>0.15</v>
      </c>
      <c r="K12">
        <v>292.05</v>
      </c>
      <c r="M12" t="str">
        <f t="shared" si="0"/>
        <v>Jun</v>
      </c>
      <c r="N12">
        <f t="shared" si="1"/>
        <v>6</v>
      </c>
      <c r="O12">
        <f t="shared" si="2"/>
        <v>292.05150000000003</v>
      </c>
      <c r="P12" t="str">
        <f t="shared" si="3"/>
        <v>OK</v>
      </c>
    </row>
    <row r="13" spans="1:16" x14ac:dyDescent="0.35">
      <c r="A13" t="s">
        <v>64</v>
      </c>
      <c r="B13" s="3">
        <v>45563</v>
      </c>
      <c r="C13" t="s">
        <v>33</v>
      </c>
      <c r="D13" t="s">
        <v>42</v>
      </c>
      <c r="E13" t="s">
        <v>66</v>
      </c>
      <c r="F13" t="s">
        <v>35</v>
      </c>
      <c r="G13" t="s">
        <v>67</v>
      </c>
      <c r="H13">
        <v>3</v>
      </c>
      <c r="I13">
        <v>106.21</v>
      </c>
      <c r="J13">
        <v>0</v>
      </c>
      <c r="K13">
        <v>318.63</v>
      </c>
      <c r="M13" t="str">
        <f t="shared" si="0"/>
        <v>Sep</v>
      </c>
      <c r="N13">
        <f t="shared" si="1"/>
        <v>9</v>
      </c>
      <c r="O13">
        <f t="shared" si="2"/>
        <v>318.63</v>
      </c>
      <c r="P13" t="str">
        <f t="shared" si="3"/>
        <v>OK</v>
      </c>
    </row>
    <row r="14" spans="1:16" x14ac:dyDescent="0.35">
      <c r="A14" t="s">
        <v>68</v>
      </c>
      <c r="B14" s="3">
        <v>45651</v>
      </c>
      <c r="C14" t="s">
        <v>65</v>
      </c>
      <c r="D14" t="s">
        <v>57</v>
      </c>
      <c r="E14" t="s">
        <v>69</v>
      </c>
      <c r="F14" t="s">
        <v>21</v>
      </c>
      <c r="G14" t="s">
        <v>70</v>
      </c>
      <c r="H14">
        <v>6</v>
      </c>
      <c r="I14">
        <v>51.11</v>
      </c>
      <c r="J14">
        <v>0</v>
      </c>
      <c r="K14">
        <v>306.66000000000003</v>
      </c>
      <c r="M14" t="str">
        <f t="shared" si="0"/>
        <v>Dec</v>
      </c>
      <c r="N14">
        <f t="shared" si="1"/>
        <v>12</v>
      </c>
      <c r="O14">
        <f t="shared" si="2"/>
        <v>306.65999999999997</v>
      </c>
      <c r="P14" t="str">
        <f t="shared" si="3"/>
        <v>OK</v>
      </c>
    </row>
    <row r="15" spans="1:16" x14ac:dyDescent="0.35">
      <c r="A15" t="s">
        <v>71</v>
      </c>
      <c r="B15" s="3">
        <v>45459</v>
      </c>
      <c r="C15" t="s">
        <v>65</v>
      </c>
      <c r="D15" t="s">
        <v>25</v>
      </c>
      <c r="E15" t="s">
        <v>73</v>
      </c>
      <c r="F15" t="s">
        <v>15</v>
      </c>
      <c r="G15" t="s">
        <v>74</v>
      </c>
      <c r="H15">
        <v>3</v>
      </c>
      <c r="I15">
        <v>99.91</v>
      </c>
      <c r="J15">
        <v>0</v>
      </c>
      <c r="K15">
        <v>299.73</v>
      </c>
      <c r="M15" t="str">
        <f t="shared" si="0"/>
        <v>Jun</v>
      </c>
      <c r="N15">
        <f t="shared" si="1"/>
        <v>6</v>
      </c>
      <c r="O15">
        <f t="shared" si="2"/>
        <v>299.73</v>
      </c>
      <c r="P15" t="str">
        <f t="shared" si="3"/>
        <v>OK</v>
      </c>
    </row>
    <row r="16" spans="1:16" x14ac:dyDescent="0.35">
      <c r="A16" t="s">
        <v>75</v>
      </c>
      <c r="B16" s="3">
        <v>45586</v>
      </c>
      <c r="C16" t="s">
        <v>18</v>
      </c>
      <c r="D16" t="s">
        <v>25</v>
      </c>
      <c r="E16" t="s">
        <v>77</v>
      </c>
      <c r="F16" t="s">
        <v>53</v>
      </c>
      <c r="G16" t="s">
        <v>59</v>
      </c>
      <c r="H16">
        <v>5</v>
      </c>
      <c r="I16">
        <v>244.95</v>
      </c>
      <c r="J16">
        <v>0</v>
      </c>
      <c r="K16">
        <v>1224.75</v>
      </c>
      <c r="M16" t="str">
        <f t="shared" si="0"/>
        <v>Oct</v>
      </c>
      <c r="N16">
        <f t="shared" si="1"/>
        <v>10</v>
      </c>
      <c r="O16">
        <f t="shared" si="2"/>
        <v>1224.75</v>
      </c>
      <c r="P16" t="str">
        <f t="shared" si="3"/>
        <v>OK</v>
      </c>
    </row>
    <row r="17" spans="1:16" x14ac:dyDescent="0.35">
      <c r="A17" t="s">
        <v>78</v>
      </c>
      <c r="B17" s="3">
        <v>45581</v>
      </c>
      <c r="C17" t="s">
        <v>24</v>
      </c>
      <c r="D17" t="s">
        <v>19</v>
      </c>
      <c r="E17" t="s">
        <v>80</v>
      </c>
      <c r="F17" t="s">
        <v>15</v>
      </c>
      <c r="G17" t="s">
        <v>16</v>
      </c>
      <c r="H17">
        <v>3</v>
      </c>
      <c r="I17">
        <v>100.15</v>
      </c>
      <c r="J17">
        <v>0</v>
      </c>
      <c r="K17">
        <v>300.45</v>
      </c>
      <c r="M17" t="str">
        <f t="shared" si="0"/>
        <v>Oct</v>
      </c>
      <c r="N17">
        <f t="shared" si="1"/>
        <v>10</v>
      </c>
      <c r="O17">
        <f t="shared" si="2"/>
        <v>300.45000000000005</v>
      </c>
      <c r="P17" t="str">
        <f t="shared" si="3"/>
        <v>OK</v>
      </c>
    </row>
    <row r="18" spans="1:16" x14ac:dyDescent="0.35">
      <c r="A18" t="s">
        <v>81</v>
      </c>
      <c r="B18" s="3">
        <v>45592</v>
      </c>
      <c r="C18" t="s">
        <v>24</v>
      </c>
      <c r="D18" t="s">
        <v>13</v>
      </c>
      <c r="E18" t="s">
        <v>82</v>
      </c>
      <c r="F18" t="s">
        <v>35</v>
      </c>
      <c r="G18" t="s">
        <v>83</v>
      </c>
      <c r="H18">
        <v>7</v>
      </c>
      <c r="I18">
        <v>133.22</v>
      </c>
      <c r="J18">
        <v>0.05</v>
      </c>
      <c r="K18">
        <v>885.91</v>
      </c>
      <c r="M18" t="str">
        <f t="shared" si="0"/>
        <v>Oct</v>
      </c>
      <c r="N18">
        <f t="shared" si="1"/>
        <v>10</v>
      </c>
      <c r="O18">
        <f t="shared" si="2"/>
        <v>885.9129999999999</v>
      </c>
      <c r="P18" t="str">
        <f t="shared" si="3"/>
        <v>OK</v>
      </c>
    </row>
    <row r="19" spans="1:16" x14ac:dyDescent="0.35">
      <c r="A19" t="s">
        <v>84</v>
      </c>
      <c r="B19" s="3">
        <v>45623</v>
      </c>
      <c r="C19" t="s">
        <v>65</v>
      </c>
      <c r="D19" t="s">
        <v>13</v>
      </c>
      <c r="E19" t="s">
        <v>85</v>
      </c>
      <c r="F19" t="s">
        <v>44</v>
      </c>
      <c r="G19" t="s">
        <v>86</v>
      </c>
      <c r="H19">
        <v>4</v>
      </c>
      <c r="I19">
        <v>142.38999999999999</v>
      </c>
      <c r="J19">
        <v>0</v>
      </c>
      <c r="K19">
        <v>569.55999999999995</v>
      </c>
      <c r="M19" t="str">
        <f t="shared" si="0"/>
        <v>Nov</v>
      </c>
      <c r="N19">
        <f t="shared" si="1"/>
        <v>11</v>
      </c>
      <c r="O19">
        <f t="shared" si="2"/>
        <v>569.55999999999995</v>
      </c>
      <c r="P19" t="str">
        <f t="shared" si="3"/>
        <v>OK</v>
      </c>
    </row>
    <row r="20" spans="1:16" x14ac:dyDescent="0.35">
      <c r="A20" t="s">
        <v>87</v>
      </c>
      <c r="B20" s="3">
        <v>45502</v>
      </c>
      <c r="C20" t="s">
        <v>41</v>
      </c>
      <c r="D20" t="s">
        <v>57</v>
      </c>
      <c r="E20" t="s">
        <v>88</v>
      </c>
      <c r="F20" t="s">
        <v>35</v>
      </c>
      <c r="G20" t="s">
        <v>83</v>
      </c>
      <c r="H20">
        <v>3</v>
      </c>
      <c r="I20">
        <v>239.09</v>
      </c>
      <c r="J20">
        <v>0</v>
      </c>
      <c r="K20">
        <v>717.27</v>
      </c>
      <c r="M20" t="str">
        <f t="shared" si="0"/>
        <v>Jul</v>
      </c>
      <c r="N20">
        <f t="shared" si="1"/>
        <v>7</v>
      </c>
      <c r="O20">
        <f t="shared" si="2"/>
        <v>717.27</v>
      </c>
      <c r="P20" t="str">
        <f t="shared" si="3"/>
        <v>OK</v>
      </c>
    </row>
    <row r="21" spans="1:16" x14ac:dyDescent="0.35">
      <c r="A21" t="s">
        <v>89</v>
      </c>
      <c r="B21" s="3">
        <v>45651</v>
      </c>
      <c r="C21" t="s">
        <v>65</v>
      </c>
      <c r="D21" t="s">
        <v>42</v>
      </c>
      <c r="E21" t="s">
        <v>2217</v>
      </c>
      <c r="F21" t="s">
        <v>53</v>
      </c>
      <c r="G21" t="s">
        <v>54</v>
      </c>
      <c r="H21">
        <v>2</v>
      </c>
      <c r="I21">
        <v>139.63999999999999</v>
      </c>
      <c r="J21">
        <v>0.05</v>
      </c>
      <c r="K21">
        <v>265.32</v>
      </c>
      <c r="M21" t="str">
        <f t="shared" si="0"/>
        <v>Dec</v>
      </c>
      <c r="N21">
        <f t="shared" si="1"/>
        <v>12</v>
      </c>
      <c r="O21">
        <f t="shared" si="2"/>
        <v>265.31599999999997</v>
      </c>
      <c r="P21" t="str">
        <f t="shared" si="3"/>
        <v>OK</v>
      </c>
    </row>
    <row r="22" spans="1:16" x14ac:dyDescent="0.35">
      <c r="A22" t="s">
        <v>91</v>
      </c>
      <c r="B22" s="3">
        <v>45563</v>
      </c>
      <c r="C22" t="s">
        <v>41</v>
      </c>
      <c r="D22" t="s">
        <v>57</v>
      </c>
      <c r="E22" t="s">
        <v>93</v>
      </c>
      <c r="F22" t="s">
        <v>44</v>
      </c>
      <c r="G22" t="s">
        <v>94</v>
      </c>
      <c r="H22">
        <v>8</v>
      </c>
      <c r="I22">
        <v>14.93</v>
      </c>
      <c r="J22">
        <v>0</v>
      </c>
      <c r="K22">
        <v>119.44</v>
      </c>
      <c r="M22" t="str">
        <f t="shared" si="0"/>
        <v>Sep</v>
      </c>
      <c r="N22">
        <f t="shared" si="1"/>
        <v>9</v>
      </c>
      <c r="O22">
        <f t="shared" si="2"/>
        <v>119.44</v>
      </c>
      <c r="P22" t="str">
        <f t="shared" si="3"/>
        <v>OK</v>
      </c>
    </row>
    <row r="23" spans="1:16" x14ac:dyDescent="0.35">
      <c r="A23" t="s">
        <v>95</v>
      </c>
      <c r="B23" s="3">
        <v>45506</v>
      </c>
      <c r="C23" t="s">
        <v>65</v>
      </c>
      <c r="D23" t="s">
        <v>25</v>
      </c>
      <c r="E23" t="s">
        <v>96</v>
      </c>
      <c r="F23" t="s">
        <v>53</v>
      </c>
      <c r="G23" t="s">
        <v>63</v>
      </c>
      <c r="H23">
        <v>6</v>
      </c>
      <c r="I23">
        <v>49.86</v>
      </c>
      <c r="J23">
        <v>0.05</v>
      </c>
      <c r="K23">
        <v>284.2</v>
      </c>
      <c r="M23" t="str">
        <f t="shared" si="0"/>
        <v>Aug</v>
      </c>
      <c r="N23">
        <f t="shared" si="1"/>
        <v>8</v>
      </c>
      <c r="O23">
        <f t="shared" si="2"/>
        <v>284.20199999999994</v>
      </c>
      <c r="P23" t="str">
        <f t="shared" si="3"/>
        <v>OK</v>
      </c>
    </row>
    <row r="24" spans="1:16" x14ac:dyDescent="0.35">
      <c r="A24" t="s">
        <v>97</v>
      </c>
      <c r="B24" s="3">
        <v>45519</v>
      </c>
      <c r="C24" t="s">
        <v>41</v>
      </c>
      <c r="D24" t="s">
        <v>25</v>
      </c>
      <c r="E24" t="s">
        <v>58</v>
      </c>
      <c r="F24" t="s">
        <v>53</v>
      </c>
      <c r="G24" t="s">
        <v>59</v>
      </c>
      <c r="H24">
        <v>10</v>
      </c>
      <c r="I24">
        <v>202.7</v>
      </c>
      <c r="J24">
        <v>0</v>
      </c>
      <c r="K24">
        <v>2027</v>
      </c>
      <c r="M24" t="str">
        <f t="shared" si="0"/>
        <v>Aug</v>
      </c>
      <c r="N24">
        <f t="shared" si="1"/>
        <v>8</v>
      </c>
      <c r="O24">
        <f t="shared" si="2"/>
        <v>2027</v>
      </c>
      <c r="P24" t="str">
        <f t="shared" si="3"/>
        <v>OK</v>
      </c>
    </row>
    <row r="25" spans="1:16" x14ac:dyDescent="0.35">
      <c r="A25" t="s">
        <v>98</v>
      </c>
      <c r="B25" s="3">
        <v>45468</v>
      </c>
      <c r="C25" t="s">
        <v>18</v>
      </c>
      <c r="D25" t="s">
        <v>13</v>
      </c>
      <c r="E25" t="s">
        <v>100</v>
      </c>
      <c r="F25" t="s">
        <v>44</v>
      </c>
      <c r="G25" t="s">
        <v>45</v>
      </c>
      <c r="H25">
        <v>11</v>
      </c>
      <c r="I25">
        <v>106.1</v>
      </c>
      <c r="J25">
        <v>0.1</v>
      </c>
      <c r="K25">
        <v>1050.3900000000001</v>
      </c>
      <c r="M25" t="str">
        <f t="shared" si="0"/>
        <v>Jun</v>
      </c>
      <c r="N25">
        <f t="shared" si="1"/>
        <v>6</v>
      </c>
      <c r="O25">
        <f t="shared" si="2"/>
        <v>1050.3899999999999</v>
      </c>
      <c r="P25" t="str">
        <f t="shared" si="3"/>
        <v>OK</v>
      </c>
    </row>
    <row r="26" spans="1:16" x14ac:dyDescent="0.35">
      <c r="A26" t="s">
        <v>101</v>
      </c>
      <c r="B26" s="3">
        <v>45605</v>
      </c>
      <c r="C26" t="s">
        <v>65</v>
      </c>
      <c r="D26" t="s">
        <v>42</v>
      </c>
      <c r="E26" t="s">
        <v>103</v>
      </c>
      <c r="F26" t="s">
        <v>53</v>
      </c>
      <c r="G26" t="s">
        <v>104</v>
      </c>
      <c r="H26">
        <v>8</v>
      </c>
      <c r="I26">
        <v>132.56</v>
      </c>
      <c r="J26">
        <v>0.05</v>
      </c>
      <c r="K26">
        <v>1007.46</v>
      </c>
      <c r="M26" t="str">
        <f t="shared" si="0"/>
        <v>Nov</v>
      </c>
      <c r="N26">
        <f t="shared" si="1"/>
        <v>11</v>
      </c>
      <c r="O26">
        <f t="shared" si="2"/>
        <v>1007.456</v>
      </c>
      <c r="P26" t="str">
        <f t="shared" si="3"/>
        <v>OK</v>
      </c>
    </row>
    <row r="27" spans="1:16" x14ac:dyDescent="0.35">
      <c r="A27" t="s">
        <v>105</v>
      </c>
      <c r="B27" s="3">
        <v>45582</v>
      </c>
      <c r="C27" t="s">
        <v>65</v>
      </c>
      <c r="D27" t="s">
        <v>25</v>
      </c>
      <c r="E27" t="s">
        <v>106</v>
      </c>
      <c r="F27" t="s">
        <v>44</v>
      </c>
      <c r="G27" t="s">
        <v>107</v>
      </c>
      <c r="H27">
        <v>3</v>
      </c>
      <c r="I27">
        <v>111.57</v>
      </c>
      <c r="J27">
        <v>0</v>
      </c>
      <c r="K27">
        <v>334.71</v>
      </c>
      <c r="M27" t="str">
        <f t="shared" si="0"/>
        <v>Oct</v>
      </c>
      <c r="N27">
        <f t="shared" si="1"/>
        <v>10</v>
      </c>
      <c r="O27">
        <f t="shared" si="2"/>
        <v>334.71</v>
      </c>
      <c r="P27" t="str">
        <f t="shared" si="3"/>
        <v>OK</v>
      </c>
    </row>
    <row r="28" spans="1:16" x14ac:dyDescent="0.35">
      <c r="A28" t="s">
        <v>108</v>
      </c>
      <c r="B28" s="3">
        <v>45569</v>
      </c>
      <c r="C28" t="s">
        <v>18</v>
      </c>
      <c r="D28" t="s">
        <v>13</v>
      </c>
      <c r="E28" t="s">
        <v>66</v>
      </c>
      <c r="F28" t="s">
        <v>44</v>
      </c>
      <c r="G28" t="s">
        <v>45</v>
      </c>
      <c r="H28">
        <v>5</v>
      </c>
      <c r="I28">
        <v>139.59</v>
      </c>
      <c r="J28">
        <v>0</v>
      </c>
      <c r="K28">
        <v>697.95</v>
      </c>
      <c r="M28" t="str">
        <f t="shared" si="0"/>
        <v>Oct</v>
      </c>
      <c r="N28">
        <f t="shared" si="1"/>
        <v>10</v>
      </c>
      <c r="O28">
        <f t="shared" si="2"/>
        <v>697.95</v>
      </c>
      <c r="P28" t="str">
        <f t="shared" si="3"/>
        <v>OK</v>
      </c>
    </row>
    <row r="29" spans="1:16" x14ac:dyDescent="0.35">
      <c r="A29" t="s">
        <v>109</v>
      </c>
      <c r="B29" s="3">
        <v>45448</v>
      </c>
      <c r="C29" t="s">
        <v>18</v>
      </c>
      <c r="D29" t="s">
        <v>42</v>
      </c>
      <c r="E29" t="s">
        <v>110</v>
      </c>
      <c r="F29" t="s">
        <v>15</v>
      </c>
      <c r="G29" t="s">
        <v>111</v>
      </c>
      <c r="H29">
        <v>5</v>
      </c>
      <c r="I29">
        <v>248.11</v>
      </c>
      <c r="J29">
        <v>0.15</v>
      </c>
      <c r="K29">
        <v>1054.47</v>
      </c>
      <c r="M29" t="str">
        <f t="shared" si="0"/>
        <v>Jun</v>
      </c>
      <c r="N29">
        <f t="shared" si="1"/>
        <v>6</v>
      </c>
      <c r="O29">
        <f t="shared" si="2"/>
        <v>1054.4675000000002</v>
      </c>
      <c r="P29" t="str">
        <f t="shared" si="3"/>
        <v>OK</v>
      </c>
    </row>
    <row r="30" spans="1:16" x14ac:dyDescent="0.35">
      <c r="A30" t="s">
        <v>112</v>
      </c>
      <c r="B30" s="3">
        <v>45542</v>
      </c>
      <c r="C30" t="s">
        <v>24</v>
      </c>
      <c r="D30" t="s">
        <v>25</v>
      </c>
      <c r="E30" t="s">
        <v>113</v>
      </c>
      <c r="F30" t="s">
        <v>53</v>
      </c>
      <c r="G30" t="s">
        <v>54</v>
      </c>
      <c r="H30">
        <v>10</v>
      </c>
      <c r="I30">
        <v>132.13</v>
      </c>
      <c r="J30">
        <v>0.1</v>
      </c>
      <c r="K30">
        <v>1189.17</v>
      </c>
      <c r="M30" t="str">
        <f t="shared" si="0"/>
        <v>Sep</v>
      </c>
      <c r="N30">
        <f t="shared" si="1"/>
        <v>9</v>
      </c>
      <c r="O30">
        <f t="shared" si="2"/>
        <v>1189.17</v>
      </c>
      <c r="P30" t="str">
        <f t="shared" si="3"/>
        <v>OK</v>
      </c>
    </row>
    <row r="31" spans="1:16" x14ac:dyDescent="0.35">
      <c r="A31" t="s">
        <v>114</v>
      </c>
      <c r="B31" s="3">
        <v>45416</v>
      </c>
      <c r="C31" t="s">
        <v>41</v>
      </c>
      <c r="D31" t="s">
        <v>57</v>
      </c>
      <c r="E31" t="s">
        <v>115</v>
      </c>
      <c r="F31" t="s">
        <v>21</v>
      </c>
      <c r="G31" t="s">
        <v>22</v>
      </c>
      <c r="H31">
        <v>2</v>
      </c>
      <c r="I31">
        <v>185.09</v>
      </c>
      <c r="J31">
        <v>0.05</v>
      </c>
      <c r="K31">
        <v>351.67</v>
      </c>
      <c r="M31" t="str">
        <f t="shared" si="0"/>
        <v>May</v>
      </c>
      <c r="N31">
        <f t="shared" si="1"/>
        <v>5</v>
      </c>
      <c r="O31">
        <f t="shared" si="2"/>
        <v>351.67099999999999</v>
      </c>
      <c r="P31" t="str">
        <f t="shared" si="3"/>
        <v>OK</v>
      </c>
    </row>
    <row r="32" spans="1:16" x14ac:dyDescent="0.35">
      <c r="A32" t="s">
        <v>116</v>
      </c>
      <c r="B32" s="3">
        <v>45502</v>
      </c>
      <c r="C32" t="s">
        <v>33</v>
      </c>
      <c r="D32" t="s">
        <v>19</v>
      </c>
      <c r="E32" t="s">
        <v>117</v>
      </c>
      <c r="F32" t="s">
        <v>44</v>
      </c>
      <c r="G32" t="s">
        <v>50</v>
      </c>
      <c r="H32">
        <v>1</v>
      </c>
      <c r="I32">
        <v>13.2</v>
      </c>
      <c r="J32">
        <v>0.1</v>
      </c>
      <c r="K32">
        <v>11.88</v>
      </c>
      <c r="M32" t="str">
        <f t="shared" si="0"/>
        <v>Jul</v>
      </c>
      <c r="N32">
        <f t="shared" si="1"/>
        <v>7</v>
      </c>
      <c r="O32">
        <f t="shared" si="2"/>
        <v>11.879999999999999</v>
      </c>
      <c r="P32" t="str">
        <f t="shared" si="3"/>
        <v>OK</v>
      </c>
    </row>
    <row r="33" spans="1:16" x14ac:dyDescent="0.35">
      <c r="A33" t="s">
        <v>118</v>
      </c>
      <c r="B33" s="3">
        <v>45384</v>
      </c>
      <c r="C33" t="s">
        <v>33</v>
      </c>
      <c r="D33" t="s">
        <v>19</v>
      </c>
      <c r="E33" t="s">
        <v>115</v>
      </c>
      <c r="F33" t="s">
        <v>35</v>
      </c>
      <c r="G33" t="s">
        <v>83</v>
      </c>
      <c r="H33">
        <v>11</v>
      </c>
      <c r="I33">
        <v>124.46</v>
      </c>
      <c r="J33">
        <v>0</v>
      </c>
      <c r="K33">
        <v>1369.06</v>
      </c>
      <c r="M33" t="str">
        <f t="shared" si="0"/>
        <v>Apr</v>
      </c>
      <c r="N33">
        <f t="shared" si="1"/>
        <v>4</v>
      </c>
      <c r="O33">
        <f t="shared" si="2"/>
        <v>1369.06</v>
      </c>
      <c r="P33" t="str">
        <f t="shared" si="3"/>
        <v>OK</v>
      </c>
    </row>
    <row r="34" spans="1:16" x14ac:dyDescent="0.35">
      <c r="A34" t="s">
        <v>119</v>
      </c>
      <c r="B34" s="3">
        <v>45468</v>
      </c>
      <c r="C34" t="s">
        <v>24</v>
      </c>
      <c r="D34" t="s">
        <v>42</v>
      </c>
      <c r="E34" t="s">
        <v>120</v>
      </c>
      <c r="F34" t="s">
        <v>15</v>
      </c>
      <c r="G34" t="s">
        <v>27</v>
      </c>
      <c r="H34">
        <v>10</v>
      </c>
      <c r="I34">
        <v>159.03</v>
      </c>
      <c r="J34">
        <v>0.05</v>
      </c>
      <c r="K34">
        <v>1510.78</v>
      </c>
      <c r="M34" t="str">
        <f t="shared" si="0"/>
        <v>Jun</v>
      </c>
      <c r="N34">
        <f t="shared" si="1"/>
        <v>6</v>
      </c>
      <c r="O34">
        <f t="shared" si="2"/>
        <v>1510.7849999999999</v>
      </c>
      <c r="P34" t="str">
        <f t="shared" si="3"/>
        <v>MISMATCH</v>
      </c>
    </row>
    <row r="35" spans="1:16" x14ac:dyDescent="0.35">
      <c r="A35" t="s">
        <v>121</v>
      </c>
      <c r="B35" s="3">
        <v>45483</v>
      </c>
      <c r="C35" t="s">
        <v>33</v>
      </c>
      <c r="D35" t="s">
        <v>19</v>
      </c>
      <c r="E35" t="s">
        <v>122</v>
      </c>
      <c r="F35" t="s">
        <v>21</v>
      </c>
      <c r="G35" t="s">
        <v>22</v>
      </c>
      <c r="H35">
        <v>7</v>
      </c>
      <c r="I35">
        <v>133.16</v>
      </c>
      <c r="J35">
        <v>0</v>
      </c>
      <c r="K35">
        <v>932.12</v>
      </c>
      <c r="M35" t="str">
        <f t="shared" si="0"/>
        <v>Jul</v>
      </c>
      <c r="N35">
        <f t="shared" si="1"/>
        <v>7</v>
      </c>
      <c r="O35">
        <f t="shared" si="2"/>
        <v>932.12</v>
      </c>
      <c r="P35" t="str">
        <f t="shared" si="3"/>
        <v>OK</v>
      </c>
    </row>
    <row r="36" spans="1:16" x14ac:dyDescent="0.35">
      <c r="A36" t="s">
        <v>123</v>
      </c>
      <c r="B36" s="3">
        <v>45335</v>
      </c>
      <c r="C36" t="s">
        <v>18</v>
      </c>
      <c r="D36" t="s">
        <v>13</v>
      </c>
      <c r="E36" t="s">
        <v>124</v>
      </c>
      <c r="F36" t="s">
        <v>53</v>
      </c>
      <c r="G36" t="s">
        <v>125</v>
      </c>
      <c r="H36">
        <v>4</v>
      </c>
      <c r="I36">
        <v>186.2</v>
      </c>
      <c r="J36">
        <v>0.1</v>
      </c>
      <c r="K36">
        <v>670.32</v>
      </c>
      <c r="M36" t="str">
        <f t="shared" si="0"/>
        <v>Feb</v>
      </c>
      <c r="N36">
        <f t="shared" si="1"/>
        <v>2</v>
      </c>
      <c r="O36">
        <f t="shared" si="2"/>
        <v>670.31999999999994</v>
      </c>
      <c r="P36" t="str">
        <f t="shared" si="3"/>
        <v>OK</v>
      </c>
    </row>
    <row r="37" spans="1:16" x14ac:dyDescent="0.35">
      <c r="A37" t="s">
        <v>126</v>
      </c>
      <c r="B37" s="3">
        <v>45456</v>
      </c>
      <c r="C37" t="s">
        <v>65</v>
      </c>
      <c r="D37" t="s">
        <v>42</v>
      </c>
      <c r="E37" t="s">
        <v>128</v>
      </c>
      <c r="F37" t="s">
        <v>21</v>
      </c>
      <c r="G37" t="s">
        <v>129</v>
      </c>
      <c r="H37">
        <v>4</v>
      </c>
      <c r="I37">
        <v>121.63</v>
      </c>
      <c r="J37">
        <v>0.15</v>
      </c>
      <c r="K37">
        <v>413.54</v>
      </c>
      <c r="M37" t="str">
        <f t="shared" si="0"/>
        <v>Jun</v>
      </c>
      <c r="N37">
        <f t="shared" si="1"/>
        <v>6</v>
      </c>
      <c r="O37">
        <f t="shared" si="2"/>
        <v>413.54199999999997</v>
      </c>
      <c r="P37" t="str">
        <f t="shared" si="3"/>
        <v>OK</v>
      </c>
    </row>
    <row r="38" spans="1:16" x14ac:dyDescent="0.35">
      <c r="A38" t="s">
        <v>130</v>
      </c>
      <c r="B38" s="3">
        <v>45464</v>
      </c>
      <c r="C38" t="s">
        <v>33</v>
      </c>
      <c r="D38" t="s">
        <v>57</v>
      </c>
      <c r="E38" t="s">
        <v>131</v>
      </c>
      <c r="F38" t="s">
        <v>44</v>
      </c>
      <c r="G38" t="s">
        <v>86</v>
      </c>
      <c r="H38">
        <v>1</v>
      </c>
      <c r="I38">
        <v>108.52</v>
      </c>
      <c r="J38">
        <v>0</v>
      </c>
      <c r="K38">
        <v>108.52</v>
      </c>
      <c r="M38" t="str">
        <f t="shared" si="0"/>
        <v>Jun</v>
      </c>
      <c r="N38">
        <f t="shared" si="1"/>
        <v>6</v>
      </c>
      <c r="O38">
        <f t="shared" si="2"/>
        <v>108.52</v>
      </c>
      <c r="P38" t="str">
        <f t="shared" si="3"/>
        <v>OK</v>
      </c>
    </row>
    <row r="39" spans="1:16" x14ac:dyDescent="0.35">
      <c r="A39" t="s">
        <v>132</v>
      </c>
      <c r="B39" s="3">
        <v>45399</v>
      </c>
      <c r="C39" t="s">
        <v>24</v>
      </c>
      <c r="D39" t="s">
        <v>42</v>
      </c>
      <c r="E39" t="s">
        <v>133</v>
      </c>
      <c r="F39" t="s">
        <v>35</v>
      </c>
      <c r="G39" t="s">
        <v>134</v>
      </c>
      <c r="H39">
        <v>11</v>
      </c>
      <c r="I39">
        <v>28.8</v>
      </c>
      <c r="J39">
        <v>0.15</v>
      </c>
      <c r="K39">
        <v>269.27999999999997</v>
      </c>
      <c r="M39" t="str">
        <f t="shared" si="0"/>
        <v>Apr</v>
      </c>
      <c r="N39">
        <f t="shared" si="1"/>
        <v>4</v>
      </c>
      <c r="O39">
        <f t="shared" si="2"/>
        <v>269.28000000000003</v>
      </c>
      <c r="P39" t="str">
        <f t="shared" si="3"/>
        <v>OK</v>
      </c>
    </row>
    <row r="40" spans="1:16" x14ac:dyDescent="0.35">
      <c r="A40" t="s">
        <v>135</v>
      </c>
      <c r="B40" s="3">
        <v>45312</v>
      </c>
      <c r="C40" t="s">
        <v>65</v>
      </c>
      <c r="D40" t="s">
        <v>19</v>
      </c>
      <c r="E40" t="s">
        <v>137</v>
      </c>
      <c r="F40" t="s">
        <v>44</v>
      </c>
      <c r="G40" t="s">
        <v>94</v>
      </c>
      <c r="H40">
        <v>9</v>
      </c>
      <c r="I40">
        <v>191.98</v>
      </c>
      <c r="J40">
        <v>0</v>
      </c>
      <c r="K40">
        <v>1727.82</v>
      </c>
      <c r="M40" t="str">
        <f t="shared" si="0"/>
        <v>Jan</v>
      </c>
      <c r="N40">
        <f t="shared" si="1"/>
        <v>1</v>
      </c>
      <c r="O40">
        <f t="shared" si="2"/>
        <v>1727.82</v>
      </c>
      <c r="P40" t="str">
        <f t="shared" si="3"/>
        <v>OK</v>
      </c>
    </row>
    <row r="41" spans="1:16" x14ac:dyDescent="0.35">
      <c r="A41" t="s">
        <v>138</v>
      </c>
      <c r="B41" s="3">
        <v>45330</v>
      </c>
      <c r="C41" t="s">
        <v>65</v>
      </c>
      <c r="D41" t="s">
        <v>25</v>
      </c>
      <c r="E41" t="s">
        <v>139</v>
      </c>
      <c r="F41" t="s">
        <v>44</v>
      </c>
      <c r="G41" t="s">
        <v>50</v>
      </c>
      <c r="H41">
        <v>11</v>
      </c>
      <c r="I41">
        <v>226.67</v>
      </c>
      <c r="J41">
        <v>0</v>
      </c>
      <c r="K41">
        <v>2493.37</v>
      </c>
      <c r="M41" t="str">
        <f t="shared" si="0"/>
        <v>Feb</v>
      </c>
      <c r="N41">
        <f t="shared" si="1"/>
        <v>2</v>
      </c>
      <c r="O41">
        <f t="shared" si="2"/>
        <v>2493.37</v>
      </c>
      <c r="P41" t="str">
        <f t="shared" si="3"/>
        <v>OK</v>
      </c>
    </row>
    <row r="42" spans="1:16" x14ac:dyDescent="0.35">
      <c r="A42" t="s">
        <v>140</v>
      </c>
      <c r="B42" s="3">
        <v>45437</v>
      </c>
      <c r="C42" t="s">
        <v>24</v>
      </c>
      <c r="D42" t="s">
        <v>42</v>
      </c>
      <c r="E42" t="s">
        <v>142</v>
      </c>
      <c r="F42" t="s">
        <v>53</v>
      </c>
      <c r="G42" t="s">
        <v>63</v>
      </c>
      <c r="H42">
        <v>7</v>
      </c>
      <c r="I42">
        <v>211.2</v>
      </c>
      <c r="J42">
        <v>0</v>
      </c>
      <c r="K42">
        <v>1478.4</v>
      </c>
      <c r="M42" t="str">
        <f t="shared" si="0"/>
        <v>May</v>
      </c>
      <c r="N42">
        <f t="shared" si="1"/>
        <v>5</v>
      </c>
      <c r="O42">
        <f t="shared" si="2"/>
        <v>1478.3999999999999</v>
      </c>
      <c r="P42" t="str">
        <f t="shared" si="3"/>
        <v>OK</v>
      </c>
    </row>
    <row r="43" spans="1:16" x14ac:dyDescent="0.35">
      <c r="A43" t="s">
        <v>143</v>
      </c>
      <c r="B43" s="3">
        <v>45384</v>
      </c>
      <c r="C43" t="s">
        <v>33</v>
      </c>
      <c r="D43" t="s">
        <v>25</v>
      </c>
      <c r="E43" t="s">
        <v>144</v>
      </c>
      <c r="F43" t="s">
        <v>15</v>
      </c>
      <c r="G43" t="s">
        <v>111</v>
      </c>
      <c r="H43">
        <v>9</v>
      </c>
      <c r="I43">
        <v>106.9</v>
      </c>
      <c r="J43">
        <v>0.05</v>
      </c>
      <c r="K43">
        <v>914</v>
      </c>
      <c r="M43" t="str">
        <f t="shared" si="0"/>
        <v>Apr</v>
      </c>
      <c r="N43">
        <f t="shared" si="1"/>
        <v>4</v>
      </c>
      <c r="O43">
        <f t="shared" si="2"/>
        <v>913.995</v>
      </c>
      <c r="P43" t="str">
        <f t="shared" si="3"/>
        <v>OK</v>
      </c>
    </row>
    <row r="44" spans="1:16" x14ac:dyDescent="0.35">
      <c r="A44" t="s">
        <v>145</v>
      </c>
      <c r="B44" s="3">
        <v>45635</v>
      </c>
      <c r="C44" t="s">
        <v>18</v>
      </c>
      <c r="D44" t="s">
        <v>42</v>
      </c>
      <c r="E44" t="s">
        <v>146</v>
      </c>
      <c r="F44" t="s">
        <v>15</v>
      </c>
      <c r="G44" t="s">
        <v>147</v>
      </c>
      <c r="H44">
        <v>3</v>
      </c>
      <c r="I44">
        <v>71.8</v>
      </c>
      <c r="J44">
        <v>0</v>
      </c>
      <c r="K44">
        <v>215.4</v>
      </c>
      <c r="M44" t="str">
        <f t="shared" si="0"/>
        <v>Dec</v>
      </c>
      <c r="N44">
        <f t="shared" si="1"/>
        <v>12</v>
      </c>
      <c r="O44">
        <f t="shared" si="2"/>
        <v>215.39999999999998</v>
      </c>
      <c r="P44" t="str">
        <f t="shared" si="3"/>
        <v>OK</v>
      </c>
    </row>
    <row r="45" spans="1:16" x14ac:dyDescent="0.35">
      <c r="A45" t="s">
        <v>148</v>
      </c>
      <c r="B45" s="3">
        <v>45558</v>
      </c>
      <c r="C45" t="s">
        <v>65</v>
      </c>
      <c r="D45" t="s">
        <v>57</v>
      </c>
      <c r="E45" t="s">
        <v>150</v>
      </c>
      <c r="F45" t="s">
        <v>21</v>
      </c>
      <c r="G45" t="s">
        <v>22</v>
      </c>
      <c r="H45">
        <v>2</v>
      </c>
      <c r="I45">
        <v>94.23</v>
      </c>
      <c r="J45">
        <v>0.15</v>
      </c>
      <c r="K45">
        <v>160.19</v>
      </c>
      <c r="M45" t="str">
        <f t="shared" si="0"/>
        <v>Sep</v>
      </c>
      <c r="N45">
        <f t="shared" si="1"/>
        <v>9</v>
      </c>
      <c r="O45">
        <f t="shared" si="2"/>
        <v>160.191</v>
      </c>
      <c r="P45" t="str">
        <f t="shared" si="3"/>
        <v>OK</v>
      </c>
    </row>
    <row r="46" spans="1:16" x14ac:dyDescent="0.35">
      <c r="A46" t="s">
        <v>151</v>
      </c>
      <c r="B46" s="3">
        <v>45543</v>
      </c>
      <c r="C46" t="s">
        <v>18</v>
      </c>
      <c r="D46" t="s">
        <v>57</v>
      </c>
      <c r="E46" t="s">
        <v>152</v>
      </c>
      <c r="F46" t="s">
        <v>44</v>
      </c>
      <c r="G46" t="s">
        <v>94</v>
      </c>
      <c r="H46">
        <v>7</v>
      </c>
      <c r="I46">
        <v>182.42</v>
      </c>
      <c r="J46">
        <v>0</v>
      </c>
      <c r="K46">
        <v>1276.94</v>
      </c>
      <c r="M46" t="str">
        <f t="shared" si="0"/>
        <v>Sep</v>
      </c>
      <c r="N46">
        <f t="shared" si="1"/>
        <v>9</v>
      </c>
      <c r="O46">
        <f t="shared" si="2"/>
        <v>1276.9399999999998</v>
      </c>
      <c r="P46" t="str">
        <f t="shared" si="3"/>
        <v>OK</v>
      </c>
    </row>
    <row r="47" spans="1:16" x14ac:dyDescent="0.35">
      <c r="A47" t="s">
        <v>153</v>
      </c>
      <c r="B47" s="3">
        <v>45535</v>
      </c>
      <c r="C47" t="s">
        <v>65</v>
      </c>
      <c r="D47" t="s">
        <v>2216</v>
      </c>
      <c r="E47" t="s">
        <v>155</v>
      </c>
      <c r="F47" t="s">
        <v>15</v>
      </c>
      <c r="G47" t="s">
        <v>27</v>
      </c>
      <c r="H47">
        <v>3</v>
      </c>
      <c r="I47">
        <v>241.01</v>
      </c>
      <c r="J47">
        <v>0</v>
      </c>
      <c r="K47">
        <v>723.03</v>
      </c>
      <c r="M47" t="str">
        <f t="shared" si="0"/>
        <v>Aug</v>
      </c>
      <c r="N47">
        <f t="shared" si="1"/>
        <v>8</v>
      </c>
      <c r="O47">
        <f t="shared" si="2"/>
        <v>723.03</v>
      </c>
      <c r="P47" t="str">
        <f t="shared" si="3"/>
        <v>OK</v>
      </c>
    </row>
    <row r="48" spans="1:16" x14ac:dyDescent="0.35">
      <c r="A48" t="s">
        <v>156</v>
      </c>
      <c r="B48" s="3">
        <v>45400</v>
      </c>
      <c r="C48" t="s">
        <v>65</v>
      </c>
      <c r="D48" t="s">
        <v>57</v>
      </c>
      <c r="E48" t="s">
        <v>142</v>
      </c>
      <c r="F48" t="s">
        <v>15</v>
      </c>
      <c r="G48" t="s">
        <v>27</v>
      </c>
      <c r="H48">
        <v>9</v>
      </c>
      <c r="I48">
        <v>97.04</v>
      </c>
      <c r="J48">
        <v>0</v>
      </c>
      <c r="K48">
        <v>873.36</v>
      </c>
      <c r="M48" t="str">
        <f t="shared" si="0"/>
        <v>Apr</v>
      </c>
      <c r="N48">
        <f t="shared" si="1"/>
        <v>4</v>
      </c>
      <c r="O48">
        <f t="shared" si="2"/>
        <v>873.36</v>
      </c>
      <c r="P48" t="str">
        <f t="shared" si="3"/>
        <v>OK</v>
      </c>
    </row>
    <row r="49" spans="1:16" x14ac:dyDescent="0.35">
      <c r="A49" t="s">
        <v>157</v>
      </c>
      <c r="B49" s="3">
        <v>45292</v>
      </c>
      <c r="C49" t="s">
        <v>24</v>
      </c>
      <c r="D49" t="s">
        <v>25</v>
      </c>
      <c r="E49" t="s">
        <v>158</v>
      </c>
      <c r="F49" t="s">
        <v>53</v>
      </c>
      <c r="G49" t="s">
        <v>54</v>
      </c>
      <c r="H49">
        <v>6</v>
      </c>
      <c r="I49">
        <v>132.9</v>
      </c>
      <c r="J49">
        <v>0</v>
      </c>
      <c r="K49">
        <v>797.4</v>
      </c>
      <c r="M49" t="str">
        <f t="shared" si="0"/>
        <v>Jan</v>
      </c>
      <c r="N49">
        <f t="shared" si="1"/>
        <v>1</v>
      </c>
      <c r="O49">
        <f t="shared" si="2"/>
        <v>797.40000000000009</v>
      </c>
      <c r="P49" t="str">
        <f t="shared" si="3"/>
        <v>OK</v>
      </c>
    </row>
    <row r="50" spans="1:16" x14ac:dyDescent="0.35">
      <c r="A50" t="s">
        <v>159</v>
      </c>
      <c r="B50" s="3">
        <v>45352</v>
      </c>
      <c r="C50" t="s">
        <v>65</v>
      </c>
      <c r="D50" t="s">
        <v>25</v>
      </c>
      <c r="E50" t="s">
        <v>160</v>
      </c>
      <c r="F50" t="s">
        <v>21</v>
      </c>
      <c r="G50" t="s">
        <v>70</v>
      </c>
      <c r="H50">
        <v>7</v>
      </c>
      <c r="I50">
        <v>204.04</v>
      </c>
      <c r="J50">
        <v>0</v>
      </c>
      <c r="K50">
        <v>1428.28</v>
      </c>
      <c r="M50" t="str">
        <f t="shared" si="0"/>
        <v>Mar</v>
      </c>
      <c r="N50">
        <f t="shared" si="1"/>
        <v>3</v>
      </c>
      <c r="O50">
        <f t="shared" si="2"/>
        <v>1428.28</v>
      </c>
      <c r="P50" t="str">
        <f t="shared" si="3"/>
        <v>OK</v>
      </c>
    </row>
    <row r="51" spans="1:16" x14ac:dyDescent="0.35">
      <c r="A51" t="s">
        <v>161</v>
      </c>
      <c r="B51" s="3">
        <v>45592</v>
      </c>
      <c r="C51" t="s">
        <v>33</v>
      </c>
      <c r="D51" t="s">
        <v>57</v>
      </c>
      <c r="E51" t="s">
        <v>34</v>
      </c>
      <c r="F51" t="s">
        <v>53</v>
      </c>
      <c r="G51" t="s">
        <v>59</v>
      </c>
      <c r="H51">
        <v>10</v>
      </c>
      <c r="I51">
        <v>92.65</v>
      </c>
      <c r="J51">
        <v>0.15</v>
      </c>
      <c r="K51">
        <v>787.52</v>
      </c>
      <c r="M51" t="str">
        <f t="shared" si="0"/>
        <v>Oct</v>
      </c>
      <c r="N51">
        <f t="shared" si="1"/>
        <v>10</v>
      </c>
      <c r="O51">
        <f t="shared" si="2"/>
        <v>787.52499999999998</v>
      </c>
      <c r="P51" t="str">
        <f t="shared" si="3"/>
        <v>MISMATCH</v>
      </c>
    </row>
    <row r="52" spans="1:16" x14ac:dyDescent="0.35">
      <c r="A52" t="s">
        <v>163</v>
      </c>
      <c r="B52" s="3">
        <v>45511</v>
      </c>
      <c r="C52" t="s">
        <v>24</v>
      </c>
      <c r="D52" t="s">
        <v>19</v>
      </c>
      <c r="E52" t="s">
        <v>164</v>
      </c>
      <c r="F52" t="s">
        <v>21</v>
      </c>
      <c r="G52" t="s">
        <v>22</v>
      </c>
      <c r="H52">
        <v>5</v>
      </c>
      <c r="I52">
        <v>133.34</v>
      </c>
      <c r="J52">
        <v>0.15</v>
      </c>
      <c r="K52">
        <v>566.70000000000005</v>
      </c>
      <c r="M52" t="str">
        <f t="shared" si="0"/>
        <v>Aug</v>
      </c>
      <c r="N52">
        <f t="shared" si="1"/>
        <v>8</v>
      </c>
      <c r="O52">
        <f t="shared" si="2"/>
        <v>566.69500000000005</v>
      </c>
      <c r="P52" t="str">
        <f t="shared" si="3"/>
        <v>OK</v>
      </c>
    </row>
    <row r="53" spans="1:16" x14ac:dyDescent="0.35">
      <c r="A53" t="s">
        <v>165</v>
      </c>
      <c r="B53" s="3">
        <v>45441</v>
      </c>
      <c r="C53" t="s">
        <v>41</v>
      </c>
      <c r="D53" t="s">
        <v>13</v>
      </c>
      <c r="E53" t="s">
        <v>166</v>
      </c>
      <c r="F53" t="s">
        <v>21</v>
      </c>
      <c r="G53" t="s">
        <v>167</v>
      </c>
      <c r="H53">
        <v>11</v>
      </c>
      <c r="I53">
        <v>60.18</v>
      </c>
      <c r="J53">
        <v>0</v>
      </c>
      <c r="K53">
        <v>661.98</v>
      </c>
      <c r="M53" t="str">
        <f t="shared" si="0"/>
        <v>May</v>
      </c>
      <c r="N53">
        <f t="shared" si="1"/>
        <v>5</v>
      </c>
      <c r="O53">
        <f t="shared" si="2"/>
        <v>661.98</v>
      </c>
      <c r="P53" t="str">
        <f t="shared" si="3"/>
        <v>OK</v>
      </c>
    </row>
    <row r="54" spans="1:16" x14ac:dyDescent="0.35">
      <c r="A54" t="s">
        <v>168</v>
      </c>
      <c r="B54" s="3">
        <v>45565</v>
      </c>
      <c r="C54" t="s">
        <v>33</v>
      </c>
      <c r="D54" t="s">
        <v>19</v>
      </c>
      <c r="E54" t="s">
        <v>69</v>
      </c>
      <c r="F54" t="s">
        <v>53</v>
      </c>
      <c r="G54" t="s">
        <v>104</v>
      </c>
      <c r="H54">
        <v>9</v>
      </c>
      <c r="I54">
        <v>135.51</v>
      </c>
      <c r="J54">
        <v>0</v>
      </c>
      <c r="K54">
        <v>1219.5899999999999</v>
      </c>
      <c r="M54" t="str">
        <f t="shared" si="0"/>
        <v>Sep</v>
      </c>
      <c r="N54">
        <f t="shared" si="1"/>
        <v>9</v>
      </c>
      <c r="O54">
        <f t="shared" si="2"/>
        <v>1219.5899999999999</v>
      </c>
      <c r="P54" t="str">
        <f t="shared" si="3"/>
        <v>OK</v>
      </c>
    </row>
    <row r="55" spans="1:16" x14ac:dyDescent="0.35">
      <c r="A55" t="s">
        <v>169</v>
      </c>
      <c r="B55" s="3">
        <v>45495</v>
      </c>
      <c r="C55" t="s">
        <v>18</v>
      </c>
      <c r="D55" t="s">
        <v>13</v>
      </c>
      <c r="E55" t="s">
        <v>34</v>
      </c>
      <c r="F55" t="s">
        <v>21</v>
      </c>
      <c r="G55" t="s">
        <v>22</v>
      </c>
      <c r="H55">
        <v>8</v>
      </c>
      <c r="I55">
        <v>28.41</v>
      </c>
      <c r="J55">
        <v>0.1</v>
      </c>
      <c r="K55">
        <v>204.55</v>
      </c>
      <c r="M55" t="str">
        <f t="shared" si="0"/>
        <v>Jul</v>
      </c>
      <c r="N55">
        <f t="shared" si="1"/>
        <v>7</v>
      </c>
      <c r="O55">
        <f t="shared" si="2"/>
        <v>204.55199999999999</v>
      </c>
      <c r="P55" t="str">
        <f t="shared" si="3"/>
        <v>OK</v>
      </c>
    </row>
    <row r="56" spans="1:16" x14ac:dyDescent="0.35">
      <c r="A56" t="s">
        <v>170</v>
      </c>
      <c r="B56" s="3">
        <v>45395</v>
      </c>
      <c r="C56" t="s">
        <v>24</v>
      </c>
      <c r="D56" t="s">
        <v>13</v>
      </c>
      <c r="E56" t="s">
        <v>171</v>
      </c>
      <c r="F56" t="s">
        <v>35</v>
      </c>
      <c r="G56" t="s">
        <v>36</v>
      </c>
      <c r="H56">
        <v>7</v>
      </c>
      <c r="I56">
        <v>144.51</v>
      </c>
      <c r="J56">
        <v>0</v>
      </c>
      <c r="K56">
        <v>1011.57</v>
      </c>
      <c r="M56" t="str">
        <f t="shared" si="0"/>
        <v>Apr</v>
      </c>
      <c r="N56">
        <f t="shared" si="1"/>
        <v>4</v>
      </c>
      <c r="O56">
        <f t="shared" si="2"/>
        <v>1011.5699999999999</v>
      </c>
      <c r="P56" t="str">
        <f t="shared" si="3"/>
        <v>OK</v>
      </c>
    </row>
    <row r="57" spans="1:16" x14ac:dyDescent="0.35">
      <c r="A57" t="s">
        <v>172</v>
      </c>
      <c r="B57" s="3">
        <v>45644</v>
      </c>
      <c r="C57" t="s">
        <v>41</v>
      </c>
      <c r="D57" t="s">
        <v>19</v>
      </c>
      <c r="E57" t="s">
        <v>164</v>
      </c>
      <c r="F57" t="s">
        <v>21</v>
      </c>
      <c r="G57" t="s">
        <v>22</v>
      </c>
      <c r="H57">
        <v>4</v>
      </c>
      <c r="I57">
        <v>180.62</v>
      </c>
      <c r="J57">
        <v>0.05</v>
      </c>
      <c r="K57">
        <v>686.36</v>
      </c>
      <c r="M57" t="str">
        <f t="shared" si="0"/>
        <v>Dec</v>
      </c>
      <c r="N57">
        <f t="shared" si="1"/>
        <v>12</v>
      </c>
      <c r="O57">
        <f t="shared" si="2"/>
        <v>686.35599999999999</v>
      </c>
      <c r="P57" t="str">
        <f t="shared" si="3"/>
        <v>OK</v>
      </c>
    </row>
    <row r="58" spans="1:16" x14ac:dyDescent="0.35">
      <c r="A58" t="s">
        <v>173</v>
      </c>
      <c r="B58" s="3">
        <v>45475</v>
      </c>
      <c r="C58" t="s">
        <v>65</v>
      </c>
      <c r="D58" t="s">
        <v>57</v>
      </c>
      <c r="E58" t="s">
        <v>142</v>
      </c>
      <c r="F58" t="s">
        <v>44</v>
      </c>
      <c r="G58" t="s">
        <v>86</v>
      </c>
      <c r="H58">
        <v>11</v>
      </c>
      <c r="I58">
        <v>76.010000000000005</v>
      </c>
      <c r="J58">
        <v>0</v>
      </c>
      <c r="K58">
        <v>836.11</v>
      </c>
      <c r="M58" t="str">
        <f t="shared" si="0"/>
        <v>Jul</v>
      </c>
      <c r="N58">
        <f t="shared" si="1"/>
        <v>7</v>
      </c>
      <c r="O58">
        <f t="shared" si="2"/>
        <v>836.11</v>
      </c>
      <c r="P58" t="str">
        <f t="shared" si="3"/>
        <v>OK</v>
      </c>
    </row>
    <row r="59" spans="1:16" x14ac:dyDescent="0.35">
      <c r="A59" t="s">
        <v>175</v>
      </c>
      <c r="B59" s="3">
        <v>45417</v>
      </c>
      <c r="C59" t="s">
        <v>65</v>
      </c>
      <c r="D59" t="s">
        <v>19</v>
      </c>
      <c r="E59" t="s">
        <v>176</v>
      </c>
      <c r="F59" t="s">
        <v>35</v>
      </c>
      <c r="G59" t="s">
        <v>177</v>
      </c>
      <c r="H59">
        <v>8</v>
      </c>
      <c r="I59">
        <v>73.34</v>
      </c>
      <c r="J59">
        <v>0</v>
      </c>
      <c r="K59">
        <v>586.72</v>
      </c>
      <c r="M59" t="str">
        <f t="shared" si="0"/>
        <v>May</v>
      </c>
      <c r="N59">
        <f t="shared" si="1"/>
        <v>5</v>
      </c>
      <c r="O59">
        <f t="shared" si="2"/>
        <v>586.72</v>
      </c>
      <c r="P59" t="str">
        <f t="shared" si="3"/>
        <v>OK</v>
      </c>
    </row>
    <row r="60" spans="1:16" x14ac:dyDescent="0.35">
      <c r="A60" t="s">
        <v>178</v>
      </c>
      <c r="B60" s="3">
        <v>45636</v>
      </c>
      <c r="C60" t="s">
        <v>33</v>
      </c>
      <c r="D60" t="s">
        <v>25</v>
      </c>
      <c r="E60" t="s">
        <v>117</v>
      </c>
      <c r="F60" t="s">
        <v>53</v>
      </c>
      <c r="G60" t="s">
        <v>59</v>
      </c>
      <c r="H60">
        <v>7</v>
      </c>
      <c r="I60">
        <v>114.22</v>
      </c>
      <c r="J60">
        <v>0.05</v>
      </c>
      <c r="K60">
        <v>759.56</v>
      </c>
      <c r="M60" t="str">
        <f t="shared" si="0"/>
        <v>Dec</v>
      </c>
      <c r="N60">
        <f t="shared" si="1"/>
        <v>12</v>
      </c>
      <c r="O60">
        <f t="shared" si="2"/>
        <v>759.56299999999987</v>
      </c>
      <c r="P60" t="str">
        <f t="shared" si="3"/>
        <v>OK</v>
      </c>
    </row>
    <row r="61" spans="1:16" x14ac:dyDescent="0.35">
      <c r="A61" t="s">
        <v>179</v>
      </c>
      <c r="B61" s="3">
        <v>45294</v>
      </c>
      <c r="C61" t="s">
        <v>18</v>
      </c>
      <c r="D61" t="s">
        <v>57</v>
      </c>
      <c r="E61" t="s">
        <v>180</v>
      </c>
      <c r="F61" t="s">
        <v>35</v>
      </c>
      <c r="G61" t="s">
        <v>134</v>
      </c>
      <c r="H61">
        <v>5</v>
      </c>
      <c r="I61">
        <v>113.96</v>
      </c>
      <c r="J61">
        <v>0</v>
      </c>
      <c r="K61">
        <v>569.79999999999995</v>
      </c>
      <c r="M61" t="str">
        <f t="shared" si="0"/>
        <v>Jan</v>
      </c>
      <c r="N61">
        <f t="shared" si="1"/>
        <v>1</v>
      </c>
      <c r="O61">
        <f t="shared" si="2"/>
        <v>569.79999999999995</v>
      </c>
      <c r="P61" t="str">
        <f t="shared" si="3"/>
        <v>OK</v>
      </c>
    </row>
    <row r="62" spans="1:16" x14ac:dyDescent="0.35">
      <c r="A62" t="s">
        <v>181</v>
      </c>
      <c r="B62" s="3">
        <v>45388</v>
      </c>
      <c r="C62" t="s">
        <v>33</v>
      </c>
      <c r="D62" t="s">
        <v>13</v>
      </c>
      <c r="E62" t="s">
        <v>164</v>
      </c>
      <c r="F62" t="s">
        <v>35</v>
      </c>
      <c r="G62" t="s">
        <v>83</v>
      </c>
      <c r="H62">
        <v>3</v>
      </c>
      <c r="I62">
        <v>175.63</v>
      </c>
      <c r="J62">
        <v>0.1</v>
      </c>
      <c r="K62">
        <v>474.2</v>
      </c>
      <c r="M62" t="str">
        <f t="shared" si="0"/>
        <v>Apr</v>
      </c>
      <c r="N62">
        <f t="shared" si="1"/>
        <v>4</v>
      </c>
      <c r="O62">
        <f t="shared" si="2"/>
        <v>474.20100000000002</v>
      </c>
      <c r="P62" t="str">
        <f t="shared" si="3"/>
        <v>OK</v>
      </c>
    </row>
    <row r="63" spans="1:16" x14ac:dyDescent="0.35">
      <c r="A63" t="s">
        <v>182</v>
      </c>
      <c r="B63" s="3">
        <v>45388</v>
      </c>
      <c r="C63" t="s">
        <v>24</v>
      </c>
      <c r="D63" t="s">
        <v>19</v>
      </c>
      <c r="E63" t="s">
        <v>183</v>
      </c>
      <c r="F63" t="s">
        <v>15</v>
      </c>
      <c r="G63" t="s">
        <v>111</v>
      </c>
      <c r="H63">
        <v>1</v>
      </c>
      <c r="I63">
        <v>178.74</v>
      </c>
      <c r="J63">
        <v>0.1</v>
      </c>
      <c r="K63">
        <v>160.87</v>
      </c>
      <c r="M63" t="str">
        <f t="shared" si="0"/>
        <v>Apr</v>
      </c>
      <c r="N63">
        <f t="shared" si="1"/>
        <v>4</v>
      </c>
      <c r="O63">
        <f t="shared" si="2"/>
        <v>160.86600000000001</v>
      </c>
      <c r="P63" t="str">
        <f t="shared" si="3"/>
        <v>OK</v>
      </c>
    </row>
    <row r="64" spans="1:16" x14ac:dyDescent="0.35">
      <c r="A64" t="s">
        <v>184</v>
      </c>
      <c r="B64" s="3">
        <v>45608</v>
      </c>
      <c r="C64" t="s">
        <v>33</v>
      </c>
      <c r="D64" t="s">
        <v>57</v>
      </c>
      <c r="E64" t="s">
        <v>185</v>
      </c>
      <c r="F64" t="s">
        <v>35</v>
      </c>
      <c r="G64" t="s">
        <v>134</v>
      </c>
      <c r="H64">
        <v>1</v>
      </c>
      <c r="I64">
        <v>113.3</v>
      </c>
      <c r="J64">
        <v>0.15</v>
      </c>
      <c r="K64">
        <v>96.3</v>
      </c>
      <c r="M64" t="str">
        <f t="shared" si="0"/>
        <v>Nov</v>
      </c>
      <c r="N64">
        <f t="shared" si="1"/>
        <v>11</v>
      </c>
      <c r="O64">
        <f t="shared" si="2"/>
        <v>96.304999999999993</v>
      </c>
      <c r="P64" t="str">
        <f t="shared" si="3"/>
        <v>MISMATCH</v>
      </c>
    </row>
    <row r="65" spans="1:16" x14ac:dyDescent="0.35">
      <c r="A65" t="s">
        <v>186</v>
      </c>
      <c r="B65" s="3">
        <v>45373</v>
      </c>
      <c r="C65" t="s">
        <v>18</v>
      </c>
      <c r="D65" t="s">
        <v>42</v>
      </c>
      <c r="E65" t="s">
        <v>137</v>
      </c>
      <c r="F65" t="s">
        <v>35</v>
      </c>
      <c r="G65" t="s">
        <v>83</v>
      </c>
      <c r="H65">
        <v>1</v>
      </c>
      <c r="I65">
        <v>242.43</v>
      </c>
      <c r="J65">
        <v>0</v>
      </c>
      <c r="K65">
        <v>242.43</v>
      </c>
      <c r="M65" t="str">
        <f t="shared" si="0"/>
        <v>Mar</v>
      </c>
      <c r="N65">
        <f t="shared" si="1"/>
        <v>3</v>
      </c>
      <c r="O65">
        <f t="shared" si="2"/>
        <v>242.43</v>
      </c>
      <c r="P65" t="str">
        <f t="shared" si="3"/>
        <v>OK</v>
      </c>
    </row>
    <row r="66" spans="1:16" x14ac:dyDescent="0.35">
      <c r="A66" t="s">
        <v>187</v>
      </c>
      <c r="B66" s="3">
        <v>45582</v>
      </c>
      <c r="C66" t="s">
        <v>24</v>
      </c>
      <c r="D66" t="s">
        <v>13</v>
      </c>
      <c r="E66" t="s">
        <v>77</v>
      </c>
      <c r="F66" t="s">
        <v>21</v>
      </c>
      <c r="G66" t="s">
        <v>22</v>
      </c>
      <c r="H66">
        <v>5</v>
      </c>
      <c r="I66">
        <v>89.23</v>
      </c>
      <c r="J66">
        <v>0.15</v>
      </c>
      <c r="K66">
        <v>379.23</v>
      </c>
      <c r="M66" t="str">
        <f t="shared" si="0"/>
        <v>Oct</v>
      </c>
      <c r="N66">
        <f t="shared" si="1"/>
        <v>10</v>
      </c>
      <c r="O66">
        <f t="shared" si="2"/>
        <v>379.22750000000002</v>
      </c>
      <c r="P66" t="str">
        <f t="shared" si="3"/>
        <v>OK</v>
      </c>
    </row>
    <row r="67" spans="1:16" x14ac:dyDescent="0.35">
      <c r="A67" t="s">
        <v>188</v>
      </c>
      <c r="B67" s="3">
        <v>45301</v>
      </c>
      <c r="C67" t="s">
        <v>33</v>
      </c>
      <c r="D67" t="s">
        <v>13</v>
      </c>
      <c r="E67" t="s">
        <v>189</v>
      </c>
      <c r="F67" t="s">
        <v>21</v>
      </c>
      <c r="G67" t="s">
        <v>129</v>
      </c>
      <c r="H67">
        <v>2</v>
      </c>
      <c r="I67">
        <v>244.06</v>
      </c>
      <c r="J67">
        <v>0.15</v>
      </c>
      <c r="K67">
        <v>414.9</v>
      </c>
      <c r="M67" t="str">
        <f t="shared" ref="M67:M130" si="4">TEXT(B67,"mmm")</f>
        <v>Jan</v>
      </c>
      <c r="N67">
        <f t="shared" ref="N67:N130" si="5">MONTH(B67)</f>
        <v>1</v>
      </c>
      <c r="O67">
        <f t="shared" ref="O67:O130" si="6">H67*I67*(1-J67)</f>
        <v>414.90199999999999</v>
      </c>
      <c r="P67" t="str">
        <f t="shared" ref="P67:P130" si="7">IF(ROUND(K67,2)=ROUND(O67,2),"OK","MISMATCH")</f>
        <v>OK</v>
      </c>
    </row>
    <row r="68" spans="1:16" x14ac:dyDescent="0.35">
      <c r="A68" t="s">
        <v>190</v>
      </c>
      <c r="B68" s="3">
        <v>45626</v>
      </c>
      <c r="C68" t="s">
        <v>65</v>
      </c>
      <c r="D68" t="s">
        <v>13</v>
      </c>
      <c r="E68" t="s">
        <v>176</v>
      </c>
      <c r="F68" t="s">
        <v>15</v>
      </c>
      <c r="G68" t="s">
        <v>16</v>
      </c>
      <c r="H68">
        <v>1</v>
      </c>
      <c r="I68">
        <v>105.25</v>
      </c>
      <c r="J68">
        <v>0.05</v>
      </c>
      <c r="K68">
        <v>99.99</v>
      </c>
      <c r="M68" t="str">
        <f t="shared" si="4"/>
        <v>Nov</v>
      </c>
      <c r="N68">
        <f t="shared" si="5"/>
        <v>11</v>
      </c>
      <c r="O68">
        <f t="shared" si="6"/>
        <v>99.987499999999997</v>
      </c>
      <c r="P68" t="str">
        <f t="shared" si="7"/>
        <v>OK</v>
      </c>
    </row>
    <row r="69" spans="1:16" x14ac:dyDescent="0.35">
      <c r="A69" t="s">
        <v>191</v>
      </c>
      <c r="B69" s="3">
        <v>45549</v>
      </c>
      <c r="C69" t="s">
        <v>65</v>
      </c>
      <c r="D69" t="s">
        <v>57</v>
      </c>
      <c r="E69" t="s">
        <v>193</v>
      </c>
      <c r="F69" t="s">
        <v>21</v>
      </c>
      <c r="G69" t="s">
        <v>194</v>
      </c>
      <c r="H69">
        <v>5</v>
      </c>
      <c r="I69">
        <v>231.58</v>
      </c>
      <c r="J69">
        <v>0</v>
      </c>
      <c r="K69">
        <v>1157.9000000000001</v>
      </c>
      <c r="M69" t="str">
        <f t="shared" si="4"/>
        <v>Sep</v>
      </c>
      <c r="N69">
        <f t="shared" si="5"/>
        <v>9</v>
      </c>
      <c r="O69">
        <f t="shared" si="6"/>
        <v>1157.9000000000001</v>
      </c>
      <c r="P69" t="str">
        <f t="shared" si="7"/>
        <v>OK</v>
      </c>
    </row>
    <row r="70" spans="1:16" x14ac:dyDescent="0.35">
      <c r="A70" t="s">
        <v>195</v>
      </c>
      <c r="B70" s="3">
        <v>45594</v>
      </c>
      <c r="C70" t="s">
        <v>18</v>
      </c>
      <c r="D70" t="s">
        <v>42</v>
      </c>
      <c r="E70" t="s">
        <v>197</v>
      </c>
      <c r="F70" t="s">
        <v>44</v>
      </c>
      <c r="G70" t="s">
        <v>86</v>
      </c>
      <c r="H70">
        <v>9</v>
      </c>
      <c r="I70">
        <v>227.04</v>
      </c>
      <c r="J70">
        <v>0</v>
      </c>
      <c r="K70">
        <v>2043.36</v>
      </c>
      <c r="M70" t="str">
        <f t="shared" si="4"/>
        <v>Oct</v>
      </c>
      <c r="N70">
        <f t="shared" si="5"/>
        <v>10</v>
      </c>
      <c r="O70">
        <f t="shared" si="6"/>
        <v>2043.36</v>
      </c>
      <c r="P70" t="str">
        <f t="shared" si="7"/>
        <v>OK</v>
      </c>
    </row>
    <row r="71" spans="1:16" x14ac:dyDescent="0.35">
      <c r="A71" t="s">
        <v>198</v>
      </c>
      <c r="B71" s="3">
        <v>45427</v>
      </c>
      <c r="C71" t="s">
        <v>18</v>
      </c>
      <c r="D71" t="s">
        <v>13</v>
      </c>
      <c r="E71" t="s">
        <v>199</v>
      </c>
      <c r="F71" t="s">
        <v>44</v>
      </c>
      <c r="G71" t="s">
        <v>86</v>
      </c>
      <c r="H71">
        <v>6</v>
      </c>
      <c r="I71">
        <v>192.14</v>
      </c>
      <c r="J71">
        <v>0</v>
      </c>
      <c r="K71">
        <v>1152.8399999999999</v>
      </c>
      <c r="M71" t="str">
        <f t="shared" si="4"/>
        <v>May</v>
      </c>
      <c r="N71">
        <f t="shared" si="5"/>
        <v>5</v>
      </c>
      <c r="O71">
        <f t="shared" si="6"/>
        <v>1152.8399999999999</v>
      </c>
      <c r="P71" t="str">
        <f t="shared" si="7"/>
        <v>OK</v>
      </c>
    </row>
    <row r="72" spans="1:16" x14ac:dyDescent="0.35">
      <c r="A72" t="s">
        <v>200</v>
      </c>
      <c r="B72" s="3">
        <v>45534</v>
      </c>
      <c r="C72" t="s">
        <v>24</v>
      </c>
      <c r="D72" t="s">
        <v>42</v>
      </c>
      <c r="E72" t="s">
        <v>201</v>
      </c>
      <c r="F72" t="s">
        <v>44</v>
      </c>
      <c r="G72" t="s">
        <v>94</v>
      </c>
      <c r="H72">
        <v>9</v>
      </c>
      <c r="I72">
        <v>73.33</v>
      </c>
      <c r="J72">
        <v>0.15</v>
      </c>
      <c r="K72">
        <v>560.97</v>
      </c>
      <c r="M72" t="str">
        <f t="shared" si="4"/>
        <v>Aug</v>
      </c>
      <c r="N72">
        <f t="shared" si="5"/>
        <v>8</v>
      </c>
      <c r="O72">
        <f t="shared" si="6"/>
        <v>560.97450000000003</v>
      </c>
      <c r="P72" t="str">
        <f t="shared" si="7"/>
        <v>OK</v>
      </c>
    </row>
    <row r="73" spans="1:16" x14ac:dyDescent="0.35">
      <c r="A73" t="s">
        <v>202</v>
      </c>
      <c r="B73" s="3">
        <v>45404</v>
      </c>
      <c r="C73" t="s">
        <v>24</v>
      </c>
      <c r="D73" t="s">
        <v>57</v>
      </c>
      <c r="E73" t="s">
        <v>166</v>
      </c>
      <c r="F73" t="s">
        <v>44</v>
      </c>
      <c r="G73" t="s">
        <v>50</v>
      </c>
      <c r="H73">
        <v>3</v>
      </c>
      <c r="I73">
        <v>126.32</v>
      </c>
      <c r="J73">
        <v>0</v>
      </c>
      <c r="K73">
        <v>378.96</v>
      </c>
      <c r="M73" t="str">
        <f t="shared" si="4"/>
        <v>Apr</v>
      </c>
      <c r="N73">
        <f t="shared" si="5"/>
        <v>4</v>
      </c>
      <c r="O73">
        <f t="shared" si="6"/>
        <v>378.96</v>
      </c>
      <c r="P73" t="str">
        <f t="shared" si="7"/>
        <v>OK</v>
      </c>
    </row>
    <row r="74" spans="1:16" x14ac:dyDescent="0.35">
      <c r="A74" t="s">
        <v>203</v>
      </c>
      <c r="B74" s="3">
        <v>45490</v>
      </c>
      <c r="C74" t="s">
        <v>65</v>
      </c>
      <c r="D74" t="s">
        <v>42</v>
      </c>
      <c r="E74" t="s">
        <v>204</v>
      </c>
      <c r="F74" t="s">
        <v>15</v>
      </c>
      <c r="G74" t="s">
        <v>111</v>
      </c>
      <c r="H74">
        <v>10</v>
      </c>
      <c r="I74">
        <v>70.78</v>
      </c>
      <c r="J74">
        <v>0.05</v>
      </c>
      <c r="K74">
        <v>672.41</v>
      </c>
      <c r="M74" t="str">
        <f t="shared" si="4"/>
        <v>Jul</v>
      </c>
      <c r="N74">
        <f t="shared" si="5"/>
        <v>7</v>
      </c>
      <c r="O74">
        <f t="shared" si="6"/>
        <v>672.41</v>
      </c>
      <c r="P74" t="str">
        <f t="shared" si="7"/>
        <v>OK</v>
      </c>
    </row>
    <row r="75" spans="1:16" x14ac:dyDescent="0.35">
      <c r="A75" t="s">
        <v>205</v>
      </c>
      <c r="B75" s="3">
        <v>45571</v>
      </c>
      <c r="C75" t="s">
        <v>65</v>
      </c>
      <c r="D75" t="s">
        <v>13</v>
      </c>
      <c r="E75" t="s">
        <v>206</v>
      </c>
      <c r="F75" t="s">
        <v>35</v>
      </c>
      <c r="G75" t="s">
        <v>177</v>
      </c>
      <c r="H75">
        <v>5</v>
      </c>
      <c r="I75">
        <v>115.07</v>
      </c>
      <c r="J75">
        <v>0.15</v>
      </c>
      <c r="K75">
        <v>489.05</v>
      </c>
      <c r="M75" t="str">
        <f t="shared" si="4"/>
        <v>Oct</v>
      </c>
      <c r="N75">
        <f t="shared" si="5"/>
        <v>10</v>
      </c>
      <c r="O75">
        <f t="shared" si="6"/>
        <v>489.0474999999999</v>
      </c>
      <c r="P75" t="str">
        <f t="shared" si="7"/>
        <v>OK</v>
      </c>
    </row>
    <row r="76" spans="1:16" x14ac:dyDescent="0.35">
      <c r="A76" t="s">
        <v>207</v>
      </c>
      <c r="B76" s="3">
        <v>45371</v>
      </c>
      <c r="C76" t="s">
        <v>18</v>
      </c>
      <c r="D76" t="s">
        <v>57</v>
      </c>
      <c r="E76" t="s">
        <v>201</v>
      </c>
      <c r="F76" t="s">
        <v>15</v>
      </c>
      <c r="G76" t="s">
        <v>111</v>
      </c>
      <c r="H76">
        <v>1</v>
      </c>
      <c r="I76">
        <v>213.99</v>
      </c>
      <c r="J76">
        <v>0</v>
      </c>
      <c r="K76">
        <v>213.99</v>
      </c>
      <c r="M76" t="str">
        <f t="shared" si="4"/>
        <v>Mar</v>
      </c>
      <c r="N76">
        <f t="shared" si="5"/>
        <v>3</v>
      </c>
      <c r="O76">
        <f t="shared" si="6"/>
        <v>213.99</v>
      </c>
      <c r="P76" t="str">
        <f t="shared" si="7"/>
        <v>OK</v>
      </c>
    </row>
    <row r="77" spans="1:16" x14ac:dyDescent="0.35">
      <c r="A77" t="s">
        <v>208</v>
      </c>
      <c r="B77" s="3">
        <v>45559</v>
      </c>
      <c r="C77" t="s">
        <v>33</v>
      </c>
      <c r="D77" t="s">
        <v>57</v>
      </c>
      <c r="E77" t="s">
        <v>176</v>
      </c>
      <c r="F77" t="s">
        <v>53</v>
      </c>
      <c r="G77" t="s">
        <v>59</v>
      </c>
      <c r="H77">
        <v>5</v>
      </c>
      <c r="I77">
        <v>33.85</v>
      </c>
      <c r="J77">
        <v>0</v>
      </c>
      <c r="K77">
        <v>169.25</v>
      </c>
      <c r="M77" t="str">
        <f t="shared" si="4"/>
        <v>Sep</v>
      </c>
      <c r="N77">
        <f t="shared" si="5"/>
        <v>9</v>
      </c>
      <c r="O77">
        <f t="shared" si="6"/>
        <v>169.25</v>
      </c>
      <c r="P77" t="str">
        <f t="shared" si="7"/>
        <v>OK</v>
      </c>
    </row>
    <row r="78" spans="1:16" x14ac:dyDescent="0.35">
      <c r="A78" t="s">
        <v>210</v>
      </c>
      <c r="B78" s="3">
        <v>45485</v>
      </c>
      <c r="C78" t="s">
        <v>24</v>
      </c>
      <c r="D78" t="s">
        <v>13</v>
      </c>
      <c r="E78" t="s">
        <v>139</v>
      </c>
      <c r="F78" t="s">
        <v>21</v>
      </c>
      <c r="G78" t="s">
        <v>167</v>
      </c>
      <c r="H78">
        <v>7</v>
      </c>
      <c r="I78">
        <v>175.55</v>
      </c>
      <c r="J78">
        <v>0</v>
      </c>
      <c r="K78">
        <v>1228.8499999999999</v>
      </c>
      <c r="M78" t="str">
        <f t="shared" si="4"/>
        <v>Jul</v>
      </c>
      <c r="N78">
        <f t="shared" si="5"/>
        <v>7</v>
      </c>
      <c r="O78">
        <f t="shared" si="6"/>
        <v>1228.8500000000001</v>
      </c>
      <c r="P78" t="str">
        <f t="shared" si="7"/>
        <v>OK</v>
      </c>
    </row>
    <row r="79" spans="1:16" x14ac:dyDescent="0.35">
      <c r="A79" t="s">
        <v>211</v>
      </c>
      <c r="B79" s="3">
        <v>45563</v>
      </c>
      <c r="C79" t="s">
        <v>65</v>
      </c>
      <c r="D79" t="s">
        <v>19</v>
      </c>
      <c r="E79" t="s">
        <v>212</v>
      </c>
      <c r="F79" t="s">
        <v>53</v>
      </c>
      <c r="G79" t="s">
        <v>63</v>
      </c>
      <c r="H79">
        <v>5</v>
      </c>
      <c r="I79">
        <v>77.66</v>
      </c>
      <c r="J79">
        <v>0.15</v>
      </c>
      <c r="K79">
        <v>330.05</v>
      </c>
      <c r="M79" t="str">
        <f t="shared" si="4"/>
        <v>Sep</v>
      </c>
      <c r="N79">
        <f t="shared" si="5"/>
        <v>9</v>
      </c>
      <c r="O79">
        <f t="shared" si="6"/>
        <v>330.05499999999995</v>
      </c>
      <c r="P79" t="str">
        <f t="shared" si="7"/>
        <v>MISMATCH</v>
      </c>
    </row>
    <row r="80" spans="1:16" x14ac:dyDescent="0.35">
      <c r="A80" t="s">
        <v>213</v>
      </c>
      <c r="B80" s="3">
        <v>45411</v>
      </c>
      <c r="C80" t="s">
        <v>33</v>
      </c>
      <c r="D80" t="s">
        <v>13</v>
      </c>
      <c r="E80" t="s">
        <v>93</v>
      </c>
      <c r="F80" t="s">
        <v>21</v>
      </c>
      <c r="G80" t="s">
        <v>167</v>
      </c>
      <c r="H80">
        <v>2</v>
      </c>
      <c r="I80">
        <v>166.59</v>
      </c>
      <c r="J80">
        <v>0.05</v>
      </c>
      <c r="K80">
        <v>316.52</v>
      </c>
      <c r="M80" t="str">
        <f t="shared" si="4"/>
        <v>Apr</v>
      </c>
      <c r="N80">
        <f t="shared" si="5"/>
        <v>4</v>
      </c>
      <c r="O80">
        <f t="shared" si="6"/>
        <v>316.52100000000002</v>
      </c>
      <c r="P80" t="str">
        <f t="shared" si="7"/>
        <v>OK</v>
      </c>
    </row>
    <row r="81" spans="1:16" x14ac:dyDescent="0.35">
      <c r="A81" t="s">
        <v>214</v>
      </c>
      <c r="B81" s="3">
        <v>45418</v>
      </c>
      <c r="C81" t="s">
        <v>65</v>
      </c>
      <c r="D81" t="s">
        <v>19</v>
      </c>
      <c r="E81" t="s">
        <v>164</v>
      </c>
      <c r="F81" t="s">
        <v>44</v>
      </c>
      <c r="G81" t="s">
        <v>107</v>
      </c>
      <c r="H81">
        <v>7</v>
      </c>
      <c r="I81">
        <v>21.39</v>
      </c>
      <c r="J81">
        <v>0.05</v>
      </c>
      <c r="K81">
        <v>142.24</v>
      </c>
      <c r="M81" t="str">
        <f t="shared" si="4"/>
        <v>May</v>
      </c>
      <c r="N81">
        <f t="shared" si="5"/>
        <v>5</v>
      </c>
      <c r="O81">
        <f t="shared" si="6"/>
        <v>142.24350000000001</v>
      </c>
      <c r="P81" t="str">
        <f t="shared" si="7"/>
        <v>OK</v>
      </c>
    </row>
    <row r="82" spans="1:16" x14ac:dyDescent="0.35">
      <c r="A82" t="s">
        <v>215</v>
      </c>
      <c r="B82" s="3">
        <v>45629</v>
      </c>
      <c r="C82" t="s">
        <v>41</v>
      </c>
      <c r="D82" t="s">
        <v>42</v>
      </c>
      <c r="E82" t="s">
        <v>185</v>
      </c>
      <c r="F82" t="s">
        <v>53</v>
      </c>
      <c r="G82" t="s">
        <v>104</v>
      </c>
      <c r="H82">
        <v>8</v>
      </c>
      <c r="I82">
        <v>141.56</v>
      </c>
      <c r="J82">
        <v>0</v>
      </c>
      <c r="K82">
        <v>1132.48</v>
      </c>
      <c r="M82" t="str">
        <f t="shared" si="4"/>
        <v>Dec</v>
      </c>
      <c r="N82">
        <f t="shared" si="5"/>
        <v>12</v>
      </c>
      <c r="O82">
        <f t="shared" si="6"/>
        <v>1132.48</v>
      </c>
      <c r="P82" t="str">
        <f t="shared" si="7"/>
        <v>OK</v>
      </c>
    </row>
    <row r="83" spans="1:16" x14ac:dyDescent="0.35">
      <c r="A83" t="s">
        <v>216</v>
      </c>
      <c r="B83" s="3">
        <v>45604</v>
      </c>
      <c r="C83" t="s">
        <v>65</v>
      </c>
      <c r="D83" t="s">
        <v>42</v>
      </c>
      <c r="E83" t="s">
        <v>217</v>
      </c>
      <c r="F83" t="s">
        <v>21</v>
      </c>
      <c r="G83" t="s">
        <v>194</v>
      </c>
      <c r="H83">
        <v>10</v>
      </c>
      <c r="I83">
        <v>24.34</v>
      </c>
      <c r="J83">
        <v>0</v>
      </c>
      <c r="K83">
        <v>243.4</v>
      </c>
      <c r="M83" t="str">
        <f t="shared" si="4"/>
        <v>Nov</v>
      </c>
      <c r="N83">
        <f t="shared" si="5"/>
        <v>11</v>
      </c>
      <c r="O83">
        <f t="shared" si="6"/>
        <v>243.4</v>
      </c>
      <c r="P83" t="str">
        <f t="shared" si="7"/>
        <v>OK</v>
      </c>
    </row>
    <row r="84" spans="1:16" x14ac:dyDescent="0.35">
      <c r="A84" t="s">
        <v>218</v>
      </c>
      <c r="B84" s="3">
        <v>45516</v>
      </c>
      <c r="C84" t="s">
        <v>65</v>
      </c>
      <c r="D84" t="s">
        <v>13</v>
      </c>
      <c r="E84" t="s">
        <v>219</v>
      </c>
      <c r="F84" t="s">
        <v>21</v>
      </c>
      <c r="G84" t="s">
        <v>167</v>
      </c>
      <c r="H84">
        <v>3</v>
      </c>
      <c r="I84">
        <v>62.04</v>
      </c>
      <c r="J84">
        <v>0</v>
      </c>
      <c r="K84">
        <v>186.12</v>
      </c>
      <c r="M84" t="str">
        <f t="shared" si="4"/>
        <v>Aug</v>
      </c>
      <c r="N84">
        <f t="shared" si="5"/>
        <v>8</v>
      </c>
      <c r="O84">
        <f t="shared" si="6"/>
        <v>186.12</v>
      </c>
      <c r="P84" t="str">
        <f t="shared" si="7"/>
        <v>OK</v>
      </c>
    </row>
    <row r="85" spans="1:16" x14ac:dyDescent="0.35">
      <c r="A85" t="s">
        <v>220</v>
      </c>
      <c r="B85" s="3">
        <v>45464</v>
      </c>
      <c r="C85" t="s">
        <v>24</v>
      </c>
      <c r="D85" t="s">
        <v>13</v>
      </c>
      <c r="E85" t="s">
        <v>221</v>
      </c>
      <c r="F85" t="s">
        <v>35</v>
      </c>
      <c r="G85" t="s">
        <v>134</v>
      </c>
      <c r="H85">
        <v>2</v>
      </c>
      <c r="I85">
        <v>27.72</v>
      </c>
      <c r="J85">
        <v>0</v>
      </c>
      <c r="K85">
        <v>55.44</v>
      </c>
      <c r="M85" t="str">
        <f t="shared" si="4"/>
        <v>Jun</v>
      </c>
      <c r="N85">
        <f t="shared" si="5"/>
        <v>6</v>
      </c>
      <c r="O85">
        <f t="shared" si="6"/>
        <v>55.44</v>
      </c>
      <c r="P85" t="str">
        <f t="shared" si="7"/>
        <v>OK</v>
      </c>
    </row>
    <row r="86" spans="1:16" x14ac:dyDescent="0.35">
      <c r="A86" t="s">
        <v>202</v>
      </c>
      <c r="B86" s="3">
        <v>45404</v>
      </c>
      <c r="C86" t="s">
        <v>33</v>
      </c>
      <c r="D86" t="s">
        <v>57</v>
      </c>
      <c r="E86" t="s">
        <v>166</v>
      </c>
      <c r="F86" t="s">
        <v>44</v>
      </c>
      <c r="G86" t="s">
        <v>50</v>
      </c>
      <c r="H86">
        <v>3</v>
      </c>
      <c r="I86">
        <v>126.32</v>
      </c>
      <c r="J86">
        <v>0</v>
      </c>
      <c r="K86">
        <v>378.96</v>
      </c>
      <c r="M86" t="str">
        <f t="shared" si="4"/>
        <v>Apr</v>
      </c>
      <c r="N86">
        <f t="shared" si="5"/>
        <v>4</v>
      </c>
      <c r="O86">
        <f t="shared" si="6"/>
        <v>378.96</v>
      </c>
      <c r="P86" t="str">
        <f t="shared" si="7"/>
        <v>OK</v>
      </c>
    </row>
    <row r="87" spans="1:16" x14ac:dyDescent="0.35">
      <c r="A87" t="s">
        <v>222</v>
      </c>
      <c r="B87" s="3">
        <v>45385</v>
      </c>
      <c r="C87" t="s">
        <v>33</v>
      </c>
      <c r="D87" t="s">
        <v>13</v>
      </c>
      <c r="E87" t="s">
        <v>223</v>
      </c>
      <c r="F87" t="s">
        <v>15</v>
      </c>
      <c r="G87" t="s">
        <v>111</v>
      </c>
      <c r="H87">
        <v>5</v>
      </c>
      <c r="I87">
        <v>128.35</v>
      </c>
      <c r="J87">
        <v>0</v>
      </c>
      <c r="K87">
        <v>641.75</v>
      </c>
      <c r="M87" t="str">
        <f t="shared" si="4"/>
        <v>Apr</v>
      </c>
      <c r="N87">
        <f t="shared" si="5"/>
        <v>4</v>
      </c>
      <c r="O87">
        <f t="shared" si="6"/>
        <v>641.75</v>
      </c>
      <c r="P87" t="str">
        <f t="shared" si="7"/>
        <v>OK</v>
      </c>
    </row>
    <row r="88" spans="1:16" x14ac:dyDescent="0.35">
      <c r="A88" t="s">
        <v>224</v>
      </c>
      <c r="B88" s="3">
        <v>45630</v>
      </c>
      <c r="C88" t="s">
        <v>33</v>
      </c>
      <c r="D88" t="s">
        <v>25</v>
      </c>
      <c r="E88" t="s">
        <v>225</v>
      </c>
      <c r="F88" t="s">
        <v>21</v>
      </c>
      <c r="G88" t="s">
        <v>22</v>
      </c>
      <c r="H88">
        <v>10</v>
      </c>
      <c r="I88">
        <v>125.18</v>
      </c>
      <c r="J88">
        <v>0.1</v>
      </c>
      <c r="K88">
        <v>1126.6199999999999</v>
      </c>
      <c r="M88" t="str">
        <f t="shared" si="4"/>
        <v>Dec</v>
      </c>
      <c r="N88">
        <f t="shared" si="5"/>
        <v>12</v>
      </c>
      <c r="O88">
        <f t="shared" si="6"/>
        <v>1126.6200000000001</v>
      </c>
      <c r="P88" t="str">
        <f t="shared" si="7"/>
        <v>OK</v>
      </c>
    </row>
    <row r="89" spans="1:16" x14ac:dyDescent="0.35">
      <c r="A89" t="s">
        <v>226</v>
      </c>
      <c r="B89" s="3">
        <v>45598</v>
      </c>
      <c r="C89" t="s">
        <v>33</v>
      </c>
      <c r="D89" t="s">
        <v>42</v>
      </c>
      <c r="E89" t="s">
        <v>20</v>
      </c>
      <c r="F89" t="s">
        <v>21</v>
      </c>
      <c r="G89" t="s">
        <v>22</v>
      </c>
      <c r="H89">
        <v>5</v>
      </c>
      <c r="I89">
        <v>138.13999999999999</v>
      </c>
      <c r="J89">
        <v>0</v>
      </c>
      <c r="K89">
        <v>690.7</v>
      </c>
      <c r="M89" t="str">
        <f t="shared" si="4"/>
        <v>Nov</v>
      </c>
      <c r="N89">
        <f t="shared" si="5"/>
        <v>11</v>
      </c>
      <c r="O89">
        <f t="shared" si="6"/>
        <v>690.69999999999993</v>
      </c>
      <c r="P89" t="str">
        <f t="shared" si="7"/>
        <v>OK</v>
      </c>
    </row>
    <row r="90" spans="1:16" x14ac:dyDescent="0.35">
      <c r="A90" t="s">
        <v>227</v>
      </c>
      <c r="B90" s="3">
        <v>45462</v>
      </c>
      <c r="C90" t="s">
        <v>24</v>
      </c>
      <c r="D90" t="s">
        <v>19</v>
      </c>
      <c r="E90" t="s">
        <v>229</v>
      </c>
      <c r="F90" t="s">
        <v>15</v>
      </c>
      <c r="G90" t="s">
        <v>16</v>
      </c>
      <c r="H90">
        <v>12</v>
      </c>
      <c r="I90">
        <v>171.03</v>
      </c>
      <c r="J90">
        <v>0</v>
      </c>
      <c r="K90">
        <v>2052.36</v>
      </c>
      <c r="M90" t="str">
        <f t="shared" si="4"/>
        <v>Jun</v>
      </c>
      <c r="N90">
        <f t="shared" si="5"/>
        <v>6</v>
      </c>
      <c r="O90">
        <f t="shared" si="6"/>
        <v>2052.36</v>
      </c>
      <c r="P90" t="str">
        <f t="shared" si="7"/>
        <v>OK</v>
      </c>
    </row>
    <row r="91" spans="1:16" x14ac:dyDescent="0.35">
      <c r="A91" t="s">
        <v>230</v>
      </c>
      <c r="B91" s="3">
        <v>45358</v>
      </c>
      <c r="C91" t="s">
        <v>18</v>
      </c>
      <c r="D91" t="s">
        <v>42</v>
      </c>
      <c r="E91" t="s">
        <v>231</v>
      </c>
      <c r="F91" t="s">
        <v>15</v>
      </c>
      <c r="G91" t="s">
        <v>74</v>
      </c>
      <c r="H91">
        <v>9</v>
      </c>
      <c r="I91">
        <v>181.95</v>
      </c>
      <c r="J91">
        <v>0.05</v>
      </c>
      <c r="K91">
        <v>1555.67</v>
      </c>
      <c r="M91" t="str">
        <f t="shared" si="4"/>
        <v>Mar</v>
      </c>
      <c r="N91">
        <f t="shared" si="5"/>
        <v>3</v>
      </c>
      <c r="O91">
        <f t="shared" si="6"/>
        <v>1555.6724999999999</v>
      </c>
      <c r="P91" t="str">
        <f t="shared" si="7"/>
        <v>OK</v>
      </c>
    </row>
    <row r="92" spans="1:16" x14ac:dyDescent="0.35">
      <c r="A92" t="s">
        <v>232</v>
      </c>
      <c r="B92" s="3">
        <v>45649</v>
      </c>
      <c r="C92" t="s">
        <v>18</v>
      </c>
      <c r="D92" t="s">
        <v>42</v>
      </c>
      <c r="E92" t="s">
        <v>233</v>
      </c>
      <c r="F92" t="s">
        <v>53</v>
      </c>
      <c r="G92" t="s">
        <v>54</v>
      </c>
      <c r="H92">
        <v>5</v>
      </c>
      <c r="I92">
        <v>10.1</v>
      </c>
      <c r="J92">
        <v>0.15</v>
      </c>
      <c r="K92">
        <v>42.92</v>
      </c>
      <c r="M92" t="str">
        <f t="shared" si="4"/>
        <v>Dec</v>
      </c>
      <c r="N92">
        <f t="shared" si="5"/>
        <v>12</v>
      </c>
      <c r="O92">
        <f t="shared" si="6"/>
        <v>42.924999999999997</v>
      </c>
      <c r="P92" t="str">
        <f t="shared" si="7"/>
        <v>MISMATCH</v>
      </c>
    </row>
    <row r="93" spans="1:16" x14ac:dyDescent="0.35">
      <c r="A93" t="s">
        <v>234</v>
      </c>
      <c r="B93" s="3">
        <v>45470</v>
      </c>
      <c r="C93" t="s">
        <v>33</v>
      </c>
      <c r="D93" t="s">
        <v>42</v>
      </c>
      <c r="E93" t="s">
        <v>34</v>
      </c>
      <c r="F93" t="s">
        <v>21</v>
      </c>
      <c r="G93" t="s">
        <v>194</v>
      </c>
      <c r="H93">
        <v>7</v>
      </c>
      <c r="I93">
        <v>106.65</v>
      </c>
      <c r="J93">
        <v>0.1</v>
      </c>
      <c r="K93">
        <v>671.9</v>
      </c>
      <c r="M93" t="str">
        <f t="shared" si="4"/>
        <v>Jun</v>
      </c>
      <c r="N93">
        <f t="shared" si="5"/>
        <v>6</v>
      </c>
      <c r="O93">
        <f t="shared" si="6"/>
        <v>671.8950000000001</v>
      </c>
      <c r="P93" t="str">
        <f t="shared" si="7"/>
        <v>OK</v>
      </c>
    </row>
    <row r="94" spans="1:16" x14ac:dyDescent="0.35">
      <c r="A94" t="s">
        <v>235</v>
      </c>
      <c r="B94" s="3">
        <v>45490</v>
      </c>
      <c r="C94" t="s">
        <v>65</v>
      </c>
      <c r="D94" t="s">
        <v>42</v>
      </c>
      <c r="E94" t="s">
        <v>206</v>
      </c>
      <c r="F94" t="s">
        <v>15</v>
      </c>
      <c r="G94" t="s">
        <v>27</v>
      </c>
      <c r="H94">
        <v>6</v>
      </c>
      <c r="I94">
        <v>225.56</v>
      </c>
      <c r="J94">
        <v>0.1</v>
      </c>
      <c r="K94">
        <v>1218.02</v>
      </c>
      <c r="M94" t="str">
        <f t="shared" si="4"/>
        <v>Jul</v>
      </c>
      <c r="N94">
        <f t="shared" si="5"/>
        <v>7</v>
      </c>
      <c r="O94">
        <f t="shared" si="6"/>
        <v>1218.0240000000001</v>
      </c>
      <c r="P94" t="str">
        <f t="shared" si="7"/>
        <v>OK</v>
      </c>
    </row>
    <row r="95" spans="1:16" x14ac:dyDescent="0.35">
      <c r="A95" t="s">
        <v>237</v>
      </c>
      <c r="B95" s="3">
        <v>45363</v>
      </c>
      <c r="C95" t="s">
        <v>18</v>
      </c>
      <c r="D95" t="s">
        <v>42</v>
      </c>
      <c r="E95" t="s">
        <v>238</v>
      </c>
      <c r="F95" t="s">
        <v>44</v>
      </c>
      <c r="G95" t="s">
        <v>50</v>
      </c>
      <c r="H95">
        <v>12</v>
      </c>
      <c r="I95">
        <v>120.2</v>
      </c>
      <c r="J95">
        <v>0</v>
      </c>
      <c r="K95">
        <v>1442.4</v>
      </c>
      <c r="M95" t="str">
        <f t="shared" si="4"/>
        <v>Mar</v>
      </c>
      <c r="N95">
        <f t="shared" si="5"/>
        <v>3</v>
      </c>
      <c r="O95">
        <f t="shared" si="6"/>
        <v>1442.4</v>
      </c>
      <c r="P95" t="str">
        <f t="shared" si="7"/>
        <v>OK</v>
      </c>
    </row>
    <row r="96" spans="1:16" x14ac:dyDescent="0.35">
      <c r="A96" t="s">
        <v>239</v>
      </c>
      <c r="B96" s="3">
        <v>45441</v>
      </c>
      <c r="C96" t="s">
        <v>65</v>
      </c>
      <c r="D96" t="s">
        <v>42</v>
      </c>
      <c r="E96" t="s">
        <v>241</v>
      </c>
      <c r="F96" t="s">
        <v>21</v>
      </c>
      <c r="G96" t="s">
        <v>70</v>
      </c>
      <c r="H96">
        <v>12</v>
      </c>
      <c r="I96">
        <v>56.39</v>
      </c>
      <c r="J96">
        <v>0</v>
      </c>
      <c r="K96">
        <v>676.68</v>
      </c>
      <c r="M96" t="str">
        <f t="shared" si="4"/>
        <v>May</v>
      </c>
      <c r="N96">
        <f t="shared" si="5"/>
        <v>5</v>
      </c>
      <c r="O96">
        <f t="shared" si="6"/>
        <v>676.68000000000006</v>
      </c>
      <c r="P96" t="str">
        <f t="shared" si="7"/>
        <v>OK</v>
      </c>
    </row>
    <row r="97" spans="1:16" x14ac:dyDescent="0.35">
      <c r="A97" t="s">
        <v>242</v>
      </c>
      <c r="B97" s="3">
        <v>45577</v>
      </c>
      <c r="C97" t="s">
        <v>41</v>
      </c>
      <c r="D97" t="s">
        <v>13</v>
      </c>
      <c r="E97" t="s">
        <v>243</v>
      </c>
      <c r="F97" t="s">
        <v>21</v>
      </c>
      <c r="G97" t="s">
        <v>129</v>
      </c>
      <c r="H97">
        <v>3</v>
      </c>
      <c r="I97">
        <v>70</v>
      </c>
      <c r="J97">
        <v>0.05</v>
      </c>
      <c r="K97">
        <v>199.5</v>
      </c>
      <c r="M97" t="str">
        <f t="shared" si="4"/>
        <v>Oct</v>
      </c>
      <c r="N97">
        <f t="shared" si="5"/>
        <v>10</v>
      </c>
      <c r="O97">
        <f t="shared" si="6"/>
        <v>199.5</v>
      </c>
      <c r="P97" t="str">
        <f t="shared" si="7"/>
        <v>OK</v>
      </c>
    </row>
    <row r="98" spans="1:16" x14ac:dyDescent="0.35">
      <c r="A98" t="s">
        <v>244</v>
      </c>
      <c r="B98" s="3">
        <v>45428</v>
      </c>
      <c r="C98" t="s">
        <v>18</v>
      </c>
      <c r="D98" t="s">
        <v>13</v>
      </c>
      <c r="E98" t="s">
        <v>246</v>
      </c>
      <c r="F98" t="s">
        <v>35</v>
      </c>
      <c r="G98" t="s">
        <v>36</v>
      </c>
      <c r="H98">
        <v>3</v>
      </c>
      <c r="I98">
        <v>22.5</v>
      </c>
      <c r="J98">
        <v>0</v>
      </c>
      <c r="K98">
        <v>67.5</v>
      </c>
      <c r="M98" t="str">
        <f t="shared" si="4"/>
        <v>May</v>
      </c>
      <c r="N98">
        <f t="shared" si="5"/>
        <v>5</v>
      </c>
      <c r="O98">
        <f t="shared" si="6"/>
        <v>67.5</v>
      </c>
      <c r="P98" t="str">
        <f t="shared" si="7"/>
        <v>OK</v>
      </c>
    </row>
    <row r="99" spans="1:16" x14ac:dyDescent="0.35">
      <c r="A99" t="s">
        <v>247</v>
      </c>
      <c r="B99" s="3">
        <v>45363</v>
      </c>
      <c r="C99" t="s">
        <v>24</v>
      </c>
      <c r="D99" t="s">
        <v>25</v>
      </c>
      <c r="E99" t="s">
        <v>248</v>
      </c>
      <c r="F99" t="s">
        <v>15</v>
      </c>
      <c r="G99" t="s">
        <v>111</v>
      </c>
      <c r="H99">
        <v>11</v>
      </c>
      <c r="I99">
        <v>51.54</v>
      </c>
      <c r="J99">
        <v>0</v>
      </c>
      <c r="K99">
        <v>566.94000000000005</v>
      </c>
      <c r="M99" t="str">
        <f t="shared" si="4"/>
        <v>Mar</v>
      </c>
      <c r="N99">
        <f t="shared" si="5"/>
        <v>3</v>
      </c>
      <c r="O99">
        <f t="shared" si="6"/>
        <v>566.93999999999994</v>
      </c>
      <c r="P99" t="str">
        <f t="shared" si="7"/>
        <v>OK</v>
      </c>
    </row>
    <row r="100" spans="1:16" x14ac:dyDescent="0.35">
      <c r="A100" t="s">
        <v>249</v>
      </c>
      <c r="B100" s="3">
        <v>45315</v>
      </c>
      <c r="C100" t="s">
        <v>41</v>
      </c>
      <c r="D100" t="s">
        <v>42</v>
      </c>
      <c r="E100" t="s">
        <v>250</v>
      </c>
      <c r="F100" t="s">
        <v>44</v>
      </c>
      <c r="G100" t="s">
        <v>45</v>
      </c>
      <c r="H100">
        <v>5</v>
      </c>
      <c r="I100">
        <v>82.07</v>
      </c>
      <c r="J100">
        <v>0</v>
      </c>
      <c r="K100">
        <v>410.35</v>
      </c>
      <c r="M100" t="str">
        <f t="shared" si="4"/>
        <v>Jan</v>
      </c>
      <c r="N100">
        <f t="shared" si="5"/>
        <v>1</v>
      </c>
      <c r="O100">
        <f t="shared" si="6"/>
        <v>410.34999999999997</v>
      </c>
      <c r="P100" t="str">
        <f t="shared" si="7"/>
        <v>OK</v>
      </c>
    </row>
    <row r="101" spans="1:16" x14ac:dyDescent="0.35">
      <c r="A101" t="s">
        <v>251</v>
      </c>
      <c r="B101" s="3">
        <v>45655</v>
      </c>
      <c r="C101" t="s">
        <v>65</v>
      </c>
      <c r="D101" t="s">
        <v>25</v>
      </c>
      <c r="E101" t="s">
        <v>66</v>
      </c>
      <c r="F101" t="s">
        <v>53</v>
      </c>
      <c r="G101" t="s">
        <v>125</v>
      </c>
      <c r="H101">
        <v>1</v>
      </c>
      <c r="I101">
        <v>95.46</v>
      </c>
      <c r="J101">
        <v>0.15</v>
      </c>
      <c r="K101">
        <v>81.14</v>
      </c>
      <c r="M101" t="str">
        <f t="shared" si="4"/>
        <v>Dec</v>
      </c>
      <c r="N101">
        <f t="shared" si="5"/>
        <v>12</v>
      </c>
      <c r="O101">
        <f t="shared" si="6"/>
        <v>81.140999999999991</v>
      </c>
      <c r="P101" t="str">
        <f t="shared" si="7"/>
        <v>OK</v>
      </c>
    </row>
    <row r="102" spans="1:16" x14ac:dyDescent="0.35">
      <c r="A102" t="s">
        <v>252</v>
      </c>
      <c r="B102" s="3">
        <v>45508</v>
      </c>
      <c r="C102" t="s">
        <v>24</v>
      </c>
      <c r="D102" t="s">
        <v>57</v>
      </c>
      <c r="E102" t="s">
        <v>250</v>
      </c>
      <c r="F102" t="s">
        <v>44</v>
      </c>
      <c r="G102" t="s">
        <v>86</v>
      </c>
      <c r="H102">
        <v>8</v>
      </c>
      <c r="I102">
        <v>224.78</v>
      </c>
      <c r="J102">
        <v>0</v>
      </c>
      <c r="K102">
        <v>1798.24</v>
      </c>
      <c r="M102" t="str">
        <f t="shared" si="4"/>
        <v>Aug</v>
      </c>
      <c r="N102">
        <f t="shared" si="5"/>
        <v>8</v>
      </c>
      <c r="O102">
        <f t="shared" si="6"/>
        <v>1798.24</v>
      </c>
      <c r="P102" t="str">
        <f t="shared" si="7"/>
        <v>OK</v>
      </c>
    </row>
    <row r="103" spans="1:16" x14ac:dyDescent="0.35">
      <c r="A103" t="s">
        <v>253</v>
      </c>
      <c r="B103" s="3">
        <v>45345</v>
      </c>
      <c r="C103" t="s">
        <v>33</v>
      </c>
      <c r="D103" t="s">
        <v>13</v>
      </c>
      <c r="E103" t="s">
        <v>73</v>
      </c>
      <c r="F103" t="s">
        <v>44</v>
      </c>
      <c r="G103" t="s">
        <v>94</v>
      </c>
      <c r="H103">
        <v>1</v>
      </c>
      <c r="I103">
        <v>219.65</v>
      </c>
      <c r="J103">
        <v>0.05</v>
      </c>
      <c r="K103">
        <v>208.67</v>
      </c>
      <c r="M103" t="str">
        <f t="shared" si="4"/>
        <v>Feb</v>
      </c>
      <c r="N103">
        <f t="shared" si="5"/>
        <v>2</v>
      </c>
      <c r="O103">
        <f t="shared" si="6"/>
        <v>208.66749999999999</v>
      </c>
      <c r="P103" t="str">
        <f t="shared" si="7"/>
        <v>OK</v>
      </c>
    </row>
    <row r="104" spans="1:16" x14ac:dyDescent="0.35">
      <c r="A104" t="s">
        <v>254</v>
      </c>
      <c r="B104" s="3">
        <v>45410</v>
      </c>
      <c r="C104" t="s">
        <v>41</v>
      </c>
      <c r="D104" t="s">
        <v>57</v>
      </c>
      <c r="E104" t="s">
        <v>166</v>
      </c>
      <c r="F104" t="s">
        <v>21</v>
      </c>
      <c r="G104" t="s">
        <v>70</v>
      </c>
      <c r="H104">
        <v>6</v>
      </c>
      <c r="I104">
        <v>30.94</v>
      </c>
      <c r="J104">
        <v>0</v>
      </c>
      <c r="K104">
        <v>185.64</v>
      </c>
      <c r="M104" t="str">
        <f t="shared" si="4"/>
        <v>Apr</v>
      </c>
      <c r="N104">
        <f t="shared" si="5"/>
        <v>4</v>
      </c>
      <c r="O104">
        <f t="shared" si="6"/>
        <v>185.64000000000001</v>
      </c>
      <c r="P104" t="str">
        <f t="shared" si="7"/>
        <v>OK</v>
      </c>
    </row>
    <row r="105" spans="1:16" x14ac:dyDescent="0.35">
      <c r="A105" t="s">
        <v>256</v>
      </c>
      <c r="B105" s="3">
        <v>45396</v>
      </c>
      <c r="C105" t="s">
        <v>24</v>
      </c>
      <c r="D105" t="s">
        <v>25</v>
      </c>
      <c r="E105" t="s">
        <v>257</v>
      </c>
      <c r="F105" t="s">
        <v>15</v>
      </c>
      <c r="G105" t="s">
        <v>27</v>
      </c>
      <c r="H105">
        <v>7</v>
      </c>
      <c r="I105">
        <v>136.41999999999999</v>
      </c>
      <c r="J105">
        <v>0.1</v>
      </c>
      <c r="K105">
        <v>859.45</v>
      </c>
      <c r="M105" t="str">
        <f t="shared" si="4"/>
        <v>Apr</v>
      </c>
      <c r="N105">
        <f t="shared" si="5"/>
        <v>4</v>
      </c>
      <c r="O105">
        <f t="shared" si="6"/>
        <v>859.44599999999991</v>
      </c>
      <c r="P105" t="str">
        <f t="shared" si="7"/>
        <v>OK</v>
      </c>
    </row>
    <row r="106" spans="1:16" x14ac:dyDescent="0.35">
      <c r="A106" t="s">
        <v>258</v>
      </c>
      <c r="B106" s="3">
        <v>45411</v>
      </c>
      <c r="C106" t="s">
        <v>24</v>
      </c>
      <c r="D106" t="s">
        <v>57</v>
      </c>
      <c r="E106" t="s">
        <v>259</v>
      </c>
      <c r="F106" t="s">
        <v>53</v>
      </c>
      <c r="G106" t="s">
        <v>260</v>
      </c>
      <c r="H106">
        <v>8</v>
      </c>
      <c r="I106">
        <v>98.13</v>
      </c>
      <c r="J106">
        <v>0.15</v>
      </c>
      <c r="K106">
        <v>667.28</v>
      </c>
      <c r="M106" t="str">
        <f t="shared" si="4"/>
        <v>Apr</v>
      </c>
      <c r="N106">
        <f t="shared" si="5"/>
        <v>4</v>
      </c>
      <c r="O106">
        <f t="shared" si="6"/>
        <v>667.28399999999999</v>
      </c>
      <c r="P106" t="str">
        <f t="shared" si="7"/>
        <v>OK</v>
      </c>
    </row>
    <row r="107" spans="1:16" x14ac:dyDescent="0.35">
      <c r="A107" t="s">
        <v>261</v>
      </c>
      <c r="B107" s="3">
        <v>45298</v>
      </c>
      <c r="C107" t="s">
        <v>33</v>
      </c>
      <c r="D107" t="s">
        <v>42</v>
      </c>
      <c r="E107" t="s">
        <v>124</v>
      </c>
      <c r="F107" t="s">
        <v>35</v>
      </c>
      <c r="G107" t="s">
        <v>83</v>
      </c>
      <c r="H107">
        <v>2</v>
      </c>
      <c r="I107">
        <v>177.15</v>
      </c>
      <c r="J107">
        <v>0</v>
      </c>
      <c r="K107">
        <v>354.3</v>
      </c>
      <c r="M107" t="str">
        <f t="shared" si="4"/>
        <v>Jan</v>
      </c>
      <c r="N107">
        <f t="shared" si="5"/>
        <v>1</v>
      </c>
      <c r="O107">
        <f t="shared" si="6"/>
        <v>354.3</v>
      </c>
      <c r="P107" t="str">
        <f t="shared" si="7"/>
        <v>OK</v>
      </c>
    </row>
    <row r="108" spans="1:16" x14ac:dyDescent="0.35">
      <c r="A108" t="s">
        <v>262</v>
      </c>
      <c r="B108" s="3">
        <v>45644</v>
      </c>
      <c r="C108" t="s">
        <v>18</v>
      </c>
      <c r="D108" t="s">
        <v>19</v>
      </c>
      <c r="E108" t="s">
        <v>263</v>
      </c>
      <c r="F108" t="s">
        <v>53</v>
      </c>
      <c r="G108" t="s">
        <v>63</v>
      </c>
      <c r="H108">
        <v>4</v>
      </c>
      <c r="I108">
        <v>7.9</v>
      </c>
      <c r="J108">
        <v>0.05</v>
      </c>
      <c r="K108">
        <v>30.02</v>
      </c>
      <c r="M108" t="str">
        <f t="shared" si="4"/>
        <v>Dec</v>
      </c>
      <c r="N108">
        <f t="shared" si="5"/>
        <v>12</v>
      </c>
      <c r="O108">
        <f t="shared" si="6"/>
        <v>30.02</v>
      </c>
      <c r="P108" t="str">
        <f t="shared" si="7"/>
        <v>OK</v>
      </c>
    </row>
    <row r="109" spans="1:16" x14ac:dyDescent="0.35">
      <c r="A109" t="s">
        <v>264</v>
      </c>
      <c r="B109" s="3">
        <v>45373</v>
      </c>
      <c r="C109" t="s">
        <v>41</v>
      </c>
      <c r="D109" t="s">
        <v>42</v>
      </c>
      <c r="E109" t="s">
        <v>34</v>
      </c>
      <c r="F109" t="s">
        <v>21</v>
      </c>
      <c r="G109" t="s">
        <v>70</v>
      </c>
      <c r="H109">
        <v>5</v>
      </c>
      <c r="I109">
        <v>191.88</v>
      </c>
      <c r="J109">
        <v>0</v>
      </c>
      <c r="K109">
        <v>959.4</v>
      </c>
      <c r="M109" t="str">
        <f t="shared" si="4"/>
        <v>Mar</v>
      </c>
      <c r="N109">
        <f t="shared" si="5"/>
        <v>3</v>
      </c>
      <c r="O109">
        <f t="shared" si="6"/>
        <v>959.4</v>
      </c>
      <c r="P109" t="str">
        <f t="shared" si="7"/>
        <v>OK</v>
      </c>
    </row>
    <row r="110" spans="1:16" x14ac:dyDescent="0.35">
      <c r="A110" t="s">
        <v>265</v>
      </c>
      <c r="B110" s="3">
        <v>45480</v>
      </c>
      <c r="C110" t="s">
        <v>41</v>
      </c>
      <c r="D110" t="s">
        <v>13</v>
      </c>
      <c r="E110" t="s">
        <v>266</v>
      </c>
      <c r="F110" t="s">
        <v>44</v>
      </c>
      <c r="G110" t="s">
        <v>86</v>
      </c>
      <c r="H110">
        <v>1</v>
      </c>
      <c r="I110">
        <v>175.4</v>
      </c>
      <c r="J110">
        <v>0.15</v>
      </c>
      <c r="K110">
        <v>149.09</v>
      </c>
      <c r="M110" t="str">
        <f t="shared" si="4"/>
        <v>Jul</v>
      </c>
      <c r="N110">
        <f t="shared" si="5"/>
        <v>7</v>
      </c>
      <c r="O110">
        <f t="shared" si="6"/>
        <v>149.09</v>
      </c>
      <c r="P110" t="str">
        <f t="shared" si="7"/>
        <v>OK</v>
      </c>
    </row>
    <row r="111" spans="1:16" x14ac:dyDescent="0.35">
      <c r="A111" t="s">
        <v>267</v>
      </c>
      <c r="B111" s="3">
        <v>45348</v>
      </c>
      <c r="C111" t="s">
        <v>33</v>
      </c>
      <c r="D111" t="s">
        <v>42</v>
      </c>
      <c r="E111" t="s">
        <v>193</v>
      </c>
      <c r="F111" t="s">
        <v>35</v>
      </c>
      <c r="G111" t="s">
        <v>36</v>
      </c>
      <c r="H111">
        <v>6</v>
      </c>
      <c r="I111">
        <v>126.47</v>
      </c>
      <c r="J111">
        <v>0.15</v>
      </c>
      <c r="K111">
        <v>645</v>
      </c>
      <c r="M111" t="str">
        <f t="shared" si="4"/>
        <v>Feb</v>
      </c>
      <c r="N111">
        <f t="shared" si="5"/>
        <v>2</v>
      </c>
      <c r="O111">
        <f t="shared" si="6"/>
        <v>644.99699999999996</v>
      </c>
      <c r="P111" t="str">
        <f t="shared" si="7"/>
        <v>OK</v>
      </c>
    </row>
    <row r="112" spans="1:16" x14ac:dyDescent="0.35">
      <c r="A112" t="s">
        <v>269</v>
      </c>
      <c r="B112" s="3">
        <v>45547</v>
      </c>
      <c r="C112" t="s">
        <v>41</v>
      </c>
      <c r="D112" t="s">
        <v>25</v>
      </c>
      <c r="E112" t="s">
        <v>139</v>
      </c>
      <c r="F112" t="s">
        <v>44</v>
      </c>
      <c r="G112" t="s">
        <v>86</v>
      </c>
      <c r="H112">
        <v>3</v>
      </c>
      <c r="I112">
        <v>101.01</v>
      </c>
      <c r="J112">
        <v>0.1</v>
      </c>
      <c r="K112">
        <v>272.73</v>
      </c>
      <c r="M112" t="str">
        <f t="shared" si="4"/>
        <v>Sep</v>
      </c>
      <c r="N112">
        <f t="shared" si="5"/>
        <v>9</v>
      </c>
      <c r="O112">
        <f t="shared" si="6"/>
        <v>272.72700000000003</v>
      </c>
      <c r="P112" t="str">
        <f t="shared" si="7"/>
        <v>OK</v>
      </c>
    </row>
    <row r="113" spans="1:16" x14ac:dyDescent="0.35">
      <c r="A113" t="s">
        <v>270</v>
      </c>
      <c r="B113" s="3">
        <v>45592</v>
      </c>
      <c r="C113" t="s">
        <v>18</v>
      </c>
      <c r="D113" t="s">
        <v>25</v>
      </c>
      <c r="E113" t="s">
        <v>139</v>
      </c>
      <c r="F113" t="s">
        <v>44</v>
      </c>
      <c r="G113" t="s">
        <v>94</v>
      </c>
      <c r="H113">
        <v>11</v>
      </c>
      <c r="I113">
        <v>64.400000000000006</v>
      </c>
      <c r="J113">
        <v>0.1</v>
      </c>
      <c r="K113">
        <v>637.55999999999995</v>
      </c>
      <c r="M113" t="str">
        <f t="shared" si="4"/>
        <v>Oct</v>
      </c>
      <c r="N113">
        <f t="shared" si="5"/>
        <v>10</v>
      </c>
      <c r="O113">
        <f t="shared" si="6"/>
        <v>637.56000000000006</v>
      </c>
      <c r="P113" t="str">
        <f t="shared" si="7"/>
        <v>OK</v>
      </c>
    </row>
    <row r="114" spans="1:16" x14ac:dyDescent="0.35">
      <c r="A114" t="s">
        <v>271</v>
      </c>
      <c r="B114" s="3">
        <v>45340</v>
      </c>
      <c r="C114" t="s">
        <v>41</v>
      </c>
      <c r="D114" t="s">
        <v>13</v>
      </c>
      <c r="E114" t="s">
        <v>272</v>
      </c>
      <c r="F114" t="s">
        <v>53</v>
      </c>
      <c r="G114" t="s">
        <v>63</v>
      </c>
      <c r="H114">
        <v>10</v>
      </c>
      <c r="I114">
        <v>52.6</v>
      </c>
      <c r="J114">
        <v>0</v>
      </c>
      <c r="K114">
        <v>526</v>
      </c>
      <c r="M114" t="str">
        <f t="shared" si="4"/>
        <v>Feb</v>
      </c>
      <c r="N114">
        <f t="shared" si="5"/>
        <v>2</v>
      </c>
      <c r="O114">
        <f t="shared" si="6"/>
        <v>526</v>
      </c>
      <c r="P114" t="str">
        <f t="shared" si="7"/>
        <v>OK</v>
      </c>
    </row>
    <row r="115" spans="1:16" x14ac:dyDescent="0.35">
      <c r="A115" t="s">
        <v>273</v>
      </c>
      <c r="B115" s="3">
        <v>45601</v>
      </c>
      <c r="C115" t="s">
        <v>24</v>
      </c>
      <c r="D115" t="s">
        <v>42</v>
      </c>
      <c r="E115" t="s">
        <v>274</v>
      </c>
      <c r="F115" t="s">
        <v>21</v>
      </c>
      <c r="G115" t="s">
        <v>129</v>
      </c>
      <c r="H115">
        <v>1</v>
      </c>
      <c r="I115">
        <v>95.18</v>
      </c>
      <c r="J115">
        <v>0.05</v>
      </c>
      <c r="K115">
        <v>90.42</v>
      </c>
      <c r="M115" t="str">
        <f t="shared" si="4"/>
        <v>Nov</v>
      </c>
      <c r="N115">
        <f t="shared" si="5"/>
        <v>11</v>
      </c>
      <c r="O115">
        <f t="shared" si="6"/>
        <v>90.421000000000006</v>
      </c>
      <c r="P115" t="str">
        <f t="shared" si="7"/>
        <v>OK</v>
      </c>
    </row>
    <row r="116" spans="1:16" x14ac:dyDescent="0.35">
      <c r="A116" t="s">
        <v>275</v>
      </c>
      <c r="B116" s="3">
        <v>45650</v>
      </c>
      <c r="C116" t="s">
        <v>24</v>
      </c>
      <c r="D116" t="s">
        <v>19</v>
      </c>
      <c r="E116" t="s">
        <v>199</v>
      </c>
      <c r="F116" t="s">
        <v>44</v>
      </c>
      <c r="G116" t="s">
        <v>45</v>
      </c>
      <c r="H116">
        <v>6</v>
      </c>
      <c r="I116">
        <v>227.95</v>
      </c>
      <c r="J116">
        <v>0</v>
      </c>
      <c r="K116">
        <v>1367.7</v>
      </c>
      <c r="M116" t="str">
        <f t="shared" si="4"/>
        <v>Dec</v>
      </c>
      <c r="N116">
        <f t="shared" si="5"/>
        <v>12</v>
      </c>
      <c r="O116">
        <f t="shared" si="6"/>
        <v>1367.6999999999998</v>
      </c>
      <c r="P116" t="str">
        <f t="shared" si="7"/>
        <v>OK</v>
      </c>
    </row>
    <row r="117" spans="1:16" x14ac:dyDescent="0.35">
      <c r="A117" t="s">
        <v>276</v>
      </c>
      <c r="B117" s="3">
        <v>45518</v>
      </c>
      <c r="C117" t="s">
        <v>18</v>
      </c>
      <c r="D117" t="s">
        <v>25</v>
      </c>
      <c r="E117" t="s">
        <v>278</v>
      </c>
      <c r="F117" t="s">
        <v>53</v>
      </c>
      <c r="G117" t="s">
        <v>63</v>
      </c>
      <c r="H117">
        <v>12</v>
      </c>
      <c r="I117">
        <v>228.31</v>
      </c>
      <c r="J117">
        <v>0.15</v>
      </c>
      <c r="K117">
        <v>2328.7600000000002</v>
      </c>
      <c r="M117" t="str">
        <f t="shared" si="4"/>
        <v>Aug</v>
      </c>
      <c r="N117">
        <f t="shared" si="5"/>
        <v>8</v>
      </c>
      <c r="O117">
        <f t="shared" si="6"/>
        <v>2328.7620000000002</v>
      </c>
      <c r="P117" t="str">
        <f t="shared" si="7"/>
        <v>OK</v>
      </c>
    </row>
    <row r="118" spans="1:16" x14ac:dyDescent="0.35">
      <c r="A118" t="s">
        <v>279</v>
      </c>
      <c r="B118" s="3">
        <v>45343</v>
      </c>
      <c r="C118" t="s">
        <v>18</v>
      </c>
      <c r="D118" t="s">
        <v>42</v>
      </c>
      <c r="E118" t="s">
        <v>39</v>
      </c>
      <c r="F118" t="s">
        <v>21</v>
      </c>
      <c r="G118" t="s">
        <v>129</v>
      </c>
      <c r="H118">
        <v>8</v>
      </c>
      <c r="I118">
        <v>236.05</v>
      </c>
      <c r="J118">
        <v>0</v>
      </c>
      <c r="K118">
        <v>1888.4</v>
      </c>
      <c r="M118" t="str">
        <f t="shared" si="4"/>
        <v>Feb</v>
      </c>
      <c r="N118">
        <f t="shared" si="5"/>
        <v>2</v>
      </c>
      <c r="O118">
        <f t="shared" si="6"/>
        <v>1888.4</v>
      </c>
      <c r="P118" t="str">
        <f t="shared" si="7"/>
        <v>OK</v>
      </c>
    </row>
    <row r="119" spans="1:16" x14ac:dyDescent="0.35">
      <c r="A119" t="s">
        <v>280</v>
      </c>
      <c r="B119" s="3">
        <v>45471</v>
      </c>
      <c r="C119" t="s">
        <v>41</v>
      </c>
      <c r="D119" t="s">
        <v>13</v>
      </c>
      <c r="E119" t="s">
        <v>69</v>
      </c>
      <c r="F119" t="s">
        <v>35</v>
      </c>
      <c r="G119" t="s">
        <v>177</v>
      </c>
      <c r="H119">
        <v>5</v>
      </c>
      <c r="I119">
        <v>60.44</v>
      </c>
      <c r="J119">
        <v>0</v>
      </c>
      <c r="K119">
        <v>302.2</v>
      </c>
      <c r="M119" t="str">
        <f t="shared" si="4"/>
        <v>Jun</v>
      </c>
      <c r="N119">
        <f t="shared" si="5"/>
        <v>6</v>
      </c>
      <c r="O119">
        <f t="shared" si="6"/>
        <v>302.2</v>
      </c>
      <c r="P119" t="str">
        <f t="shared" si="7"/>
        <v>OK</v>
      </c>
    </row>
    <row r="120" spans="1:16" x14ac:dyDescent="0.35">
      <c r="A120" t="s">
        <v>281</v>
      </c>
      <c r="B120" s="3">
        <v>45511</v>
      </c>
      <c r="C120" t="s">
        <v>24</v>
      </c>
      <c r="D120" t="s">
        <v>13</v>
      </c>
      <c r="E120" t="s">
        <v>282</v>
      </c>
      <c r="F120" t="s">
        <v>35</v>
      </c>
      <c r="G120" t="s">
        <v>134</v>
      </c>
      <c r="H120">
        <v>8</v>
      </c>
      <c r="I120">
        <v>56.35</v>
      </c>
      <c r="J120">
        <v>0.1</v>
      </c>
      <c r="K120">
        <v>405.72</v>
      </c>
      <c r="M120" t="str">
        <f t="shared" si="4"/>
        <v>Aug</v>
      </c>
      <c r="N120">
        <f t="shared" si="5"/>
        <v>8</v>
      </c>
      <c r="O120">
        <f t="shared" si="6"/>
        <v>405.72</v>
      </c>
      <c r="P120" t="str">
        <f t="shared" si="7"/>
        <v>OK</v>
      </c>
    </row>
    <row r="121" spans="1:16" x14ac:dyDescent="0.35">
      <c r="A121" t="s">
        <v>283</v>
      </c>
      <c r="B121" s="3">
        <v>45498</v>
      </c>
      <c r="C121" t="s">
        <v>24</v>
      </c>
      <c r="D121" t="s">
        <v>42</v>
      </c>
      <c r="E121" t="s">
        <v>284</v>
      </c>
      <c r="F121" t="s">
        <v>21</v>
      </c>
      <c r="G121" t="s">
        <v>194</v>
      </c>
      <c r="H121">
        <v>8</v>
      </c>
      <c r="I121">
        <v>97.38</v>
      </c>
      <c r="J121">
        <v>0</v>
      </c>
      <c r="K121">
        <v>779.04</v>
      </c>
      <c r="M121" t="str">
        <f t="shared" si="4"/>
        <v>Jul</v>
      </c>
      <c r="N121">
        <f t="shared" si="5"/>
        <v>7</v>
      </c>
      <c r="O121">
        <f t="shared" si="6"/>
        <v>779.04</v>
      </c>
      <c r="P121" t="str">
        <f t="shared" si="7"/>
        <v>OK</v>
      </c>
    </row>
    <row r="122" spans="1:16" x14ac:dyDescent="0.35">
      <c r="A122" t="s">
        <v>285</v>
      </c>
      <c r="B122" s="3">
        <v>45515</v>
      </c>
      <c r="C122" t="s">
        <v>41</v>
      </c>
      <c r="D122" t="s">
        <v>19</v>
      </c>
      <c r="E122" t="s">
        <v>286</v>
      </c>
      <c r="F122" t="s">
        <v>35</v>
      </c>
      <c r="G122" t="s">
        <v>177</v>
      </c>
      <c r="H122">
        <v>5</v>
      </c>
      <c r="I122">
        <v>44.65</v>
      </c>
      <c r="J122">
        <v>0</v>
      </c>
      <c r="K122">
        <v>223.25</v>
      </c>
      <c r="M122" t="str">
        <f t="shared" si="4"/>
        <v>Aug</v>
      </c>
      <c r="N122">
        <f t="shared" si="5"/>
        <v>8</v>
      </c>
      <c r="O122">
        <f t="shared" si="6"/>
        <v>223.25</v>
      </c>
      <c r="P122" t="str">
        <f t="shared" si="7"/>
        <v>OK</v>
      </c>
    </row>
    <row r="123" spans="1:16" x14ac:dyDescent="0.35">
      <c r="A123" t="s">
        <v>287</v>
      </c>
      <c r="B123" s="3">
        <v>45580</v>
      </c>
      <c r="C123" t="s">
        <v>65</v>
      </c>
      <c r="D123" t="s">
        <v>42</v>
      </c>
      <c r="E123" t="s">
        <v>288</v>
      </c>
      <c r="F123" t="s">
        <v>44</v>
      </c>
      <c r="G123" t="s">
        <v>45</v>
      </c>
      <c r="H123">
        <v>6</v>
      </c>
      <c r="I123">
        <v>223.19</v>
      </c>
      <c r="J123">
        <v>0.1</v>
      </c>
      <c r="K123">
        <v>1205.23</v>
      </c>
      <c r="M123" t="str">
        <f t="shared" si="4"/>
        <v>Oct</v>
      </c>
      <c r="N123">
        <f t="shared" si="5"/>
        <v>10</v>
      </c>
      <c r="O123">
        <f t="shared" si="6"/>
        <v>1205.2259999999999</v>
      </c>
      <c r="P123" t="str">
        <f t="shared" si="7"/>
        <v>OK</v>
      </c>
    </row>
    <row r="124" spans="1:16" x14ac:dyDescent="0.35">
      <c r="A124" t="s">
        <v>289</v>
      </c>
      <c r="B124" s="3">
        <v>45417</v>
      </c>
      <c r="C124" t="s">
        <v>41</v>
      </c>
      <c r="D124" t="s">
        <v>19</v>
      </c>
      <c r="E124" t="s">
        <v>286</v>
      </c>
      <c r="F124" t="s">
        <v>44</v>
      </c>
      <c r="G124" t="s">
        <v>86</v>
      </c>
      <c r="H124">
        <v>9</v>
      </c>
      <c r="I124">
        <v>161.12</v>
      </c>
      <c r="J124">
        <v>0.1</v>
      </c>
      <c r="K124">
        <v>1305.07</v>
      </c>
      <c r="M124" t="str">
        <f t="shared" si="4"/>
        <v>May</v>
      </c>
      <c r="N124">
        <f t="shared" si="5"/>
        <v>5</v>
      </c>
      <c r="O124">
        <f t="shared" si="6"/>
        <v>1305.0719999999999</v>
      </c>
      <c r="P124" t="str">
        <f t="shared" si="7"/>
        <v>OK</v>
      </c>
    </row>
    <row r="125" spans="1:16" x14ac:dyDescent="0.35">
      <c r="A125" t="s">
        <v>290</v>
      </c>
      <c r="B125" s="3">
        <v>45491</v>
      </c>
      <c r="C125" t="s">
        <v>33</v>
      </c>
      <c r="D125" t="s">
        <v>19</v>
      </c>
      <c r="E125" t="s">
        <v>291</v>
      </c>
      <c r="F125" t="s">
        <v>21</v>
      </c>
      <c r="G125" t="s">
        <v>194</v>
      </c>
      <c r="H125">
        <v>10</v>
      </c>
      <c r="I125">
        <v>192.18</v>
      </c>
      <c r="J125">
        <v>0.15</v>
      </c>
      <c r="K125">
        <v>1633.53</v>
      </c>
      <c r="M125" t="str">
        <f t="shared" si="4"/>
        <v>Jul</v>
      </c>
      <c r="N125">
        <f t="shared" si="5"/>
        <v>7</v>
      </c>
      <c r="O125">
        <f t="shared" si="6"/>
        <v>1633.5300000000002</v>
      </c>
      <c r="P125" t="str">
        <f t="shared" si="7"/>
        <v>OK</v>
      </c>
    </row>
    <row r="126" spans="1:16" x14ac:dyDescent="0.35">
      <c r="A126" t="s">
        <v>292</v>
      </c>
      <c r="B126" s="3">
        <v>45594</v>
      </c>
      <c r="C126" t="s">
        <v>18</v>
      </c>
      <c r="D126" t="s">
        <v>19</v>
      </c>
      <c r="E126" t="s">
        <v>293</v>
      </c>
      <c r="F126" t="s">
        <v>53</v>
      </c>
      <c r="G126" t="s">
        <v>54</v>
      </c>
      <c r="H126">
        <v>2</v>
      </c>
      <c r="I126">
        <v>91.23</v>
      </c>
      <c r="J126">
        <v>0</v>
      </c>
      <c r="K126">
        <v>182.46</v>
      </c>
      <c r="M126" t="str">
        <f t="shared" si="4"/>
        <v>Oct</v>
      </c>
      <c r="N126">
        <f t="shared" si="5"/>
        <v>10</v>
      </c>
      <c r="O126">
        <f t="shared" si="6"/>
        <v>182.46</v>
      </c>
      <c r="P126" t="str">
        <f t="shared" si="7"/>
        <v>OK</v>
      </c>
    </row>
    <row r="127" spans="1:16" x14ac:dyDescent="0.35">
      <c r="A127" t="s">
        <v>294</v>
      </c>
      <c r="B127" s="3">
        <v>45584</v>
      </c>
      <c r="C127" t="s">
        <v>41</v>
      </c>
      <c r="D127" t="s">
        <v>19</v>
      </c>
      <c r="E127" t="s">
        <v>288</v>
      </c>
      <c r="F127" t="s">
        <v>44</v>
      </c>
      <c r="G127" t="s">
        <v>86</v>
      </c>
      <c r="H127">
        <v>11</v>
      </c>
      <c r="I127">
        <v>208.14</v>
      </c>
      <c r="J127">
        <v>0.05</v>
      </c>
      <c r="K127">
        <v>2175.06</v>
      </c>
      <c r="M127" t="str">
        <f t="shared" si="4"/>
        <v>Oct</v>
      </c>
      <c r="N127">
        <f t="shared" si="5"/>
        <v>10</v>
      </c>
      <c r="O127">
        <f t="shared" si="6"/>
        <v>2175.0629999999996</v>
      </c>
      <c r="P127" t="str">
        <f t="shared" si="7"/>
        <v>OK</v>
      </c>
    </row>
    <row r="128" spans="1:16" x14ac:dyDescent="0.35">
      <c r="A128" t="s">
        <v>295</v>
      </c>
      <c r="B128" s="3">
        <v>45525</v>
      </c>
      <c r="C128" t="s">
        <v>18</v>
      </c>
      <c r="D128" t="s">
        <v>19</v>
      </c>
      <c r="E128" t="s">
        <v>296</v>
      </c>
      <c r="F128" t="s">
        <v>21</v>
      </c>
      <c r="G128" t="s">
        <v>167</v>
      </c>
      <c r="H128">
        <v>11</v>
      </c>
      <c r="I128">
        <v>111.25</v>
      </c>
      <c r="J128">
        <v>0</v>
      </c>
      <c r="K128">
        <v>1223.75</v>
      </c>
      <c r="M128" t="str">
        <f t="shared" si="4"/>
        <v>Aug</v>
      </c>
      <c r="N128">
        <f t="shared" si="5"/>
        <v>8</v>
      </c>
      <c r="O128">
        <f t="shared" si="6"/>
        <v>1223.75</v>
      </c>
      <c r="P128" t="str">
        <f t="shared" si="7"/>
        <v>OK</v>
      </c>
    </row>
    <row r="129" spans="1:16" x14ac:dyDescent="0.35">
      <c r="A129" t="s">
        <v>297</v>
      </c>
      <c r="B129" s="3">
        <v>45654</v>
      </c>
      <c r="C129" t="s">
        <v>33</v>
      </c>
      <c r="D129" t="s">
        <v>57</v>
      </c>
      <c r="E129" t="s">
        <v>113</v>
      </c>
      <c r="F129" t="s">
        <v>53</v>
      </c>
      <c r="G129" t="s">
        <v>54</v>
      </c>
      <c r="H129">
        <v>6</v>
      </c>
      <c r="I129">
        <v>188.85</v>
      </c>
      <c r="J129">
        <v>0</v>
      </c>
      <c r="K129">
        <v>1133.0999999999999</v>
      </c>
      <c r="M129" t="str">
        <f t="shared" si="4"/>
        <v>Dec</v>
      </c>
      <c r="N129">
        <f t="shared" si="5"/>
        <v>12</v>
      </c>
      <c r="O129">
        <f t="shared" si="6"/>
        <v>1133.0999999999999</v>
      </c>
      <c r="P129" t="str">
        <f t="shared" si="7"/>
        <v>OK</v>
      </c>
    </row>
    <row r="130" spans="1:16" x14ac:dyDescent="0.35">
      <c r="A130" t="s">
        <v>298</v>
      </c>
      <c r="B130" s="3">
        <v>45564</v>
      </c>
      <c r="C130" t="s">
        <v>65</v>
      </c>
      <c r="D130" t="s">
        <v>25</v>
      </c>
      <c r="E130" t="s">
        <v>299</v>
      </c>
      <c r="F130" t="s">
        <v>44</v>
      </c>
      <c r="G130" t="s">
        <v>86</v>
      </c>
      <c r="H130">
        <v>9</v>
      </c>
      <c r="I130">
        <v>50.67</v>
      </c>
      <c r="J130">
        <v>0.05</v>
      </c>
      <c r="K130">
        <v>433.23</v>
      </c>
      <c r="M130" t="str">
        <f t="shared" si="4"/>
        <v>Sep</v>
      </c>
      <c r="N130">
        <f t="shared" si="5"/>
        <v>9</v>
      </c>
      <c r="O130">
        <f t="shared" si="6"/>
        <v>433.2285</v>
      </c>
      <c r="P130" t="str">
        <f t="shared" si="7"/>
        <v>OK</v>
      </c>
    </row>
    <row r="131" spans="1:16" x14ac:dyDescent="0.35">
      <c r="A131" t="s">
        <v>300</v>
      </c>
      <c r="B131" s="3">
        <v>45494</v>
      </c>
      <c r="C131" t="s">
        <v>33</v>
      </c>
      <c r="D131" t="s">
        <v>57</v>
      </c>
      <c r="E131" t="s">
        <v>100</v>
      </c>
      <c r="F131" t="s">
        <v>44</v>
      </c>
      <c r="G131" t="s">
        <v>45</v>
      </c>
      <c r="H131">
        <v>12</v>
      </c>
      <c r="I131">
        <v>208.47</v>
      </c>
      <c r="J131">
        <v>0.1</v>
      </c>
      <c r="K131">
        <v>2251.48</v>
      </c>
      <c r="M131" t="str">
        <f t="shared" ref="M131:M194" si="8">TEXT(B131,"mmm")</f>
        <v>Jul</v>
      </c>
      <c r="N131">
        <f t="shared" ref="N131:N194" si="9">MONTH(B131)</f>
        <v>7</v>
      </c>
      <c r="O131">
        <f t="shared" ref="O131:O194" si="10">H131*I131*(1-J131)</f>
        <v>2251.4760000000001</v>
      </c>
      <c r="P131" t="str">
        <f t="shared" ref="P131:P194" si="11">IF(ROUND(K131,2)=ROUND(O131,2),"OK","MISMATCH")</f>
        <v>OK</v>
      </c>
    </row>
    <row r="132" spans="1:16" x14ac:dyDescent="0.35">
      <c r="A132" t="s">
        <v>301</v>
      </c>
      <c r="B132" s="3">
        <v>45505</v>
      </c>
      <c r="C132" t="s">
        <v>18</v>
      </c>
      <c r="D132" t="s">
        <v>13</v>
      </c>
      <c r="E132" t="s">
        <v>302</v>
      </c>
      <c r="F132" t="s">
        <v>44</v>
      </c>
      <c r="G132" t="s">
        <v>50</v>
      </c>
      <c r="H132">
        <v>2</v>
      </c>
      <c r="I132">
        <v>71.459999999999994</v>
      </c>
      <c r="J132">
        <v>0.1</v>
      </c>
      <c r="K132">
        <v>128.63</v>
      </c>
      <c r="M132" t="str">
        <f t="shared" si="8"/>
        <v>Aug</v>
      </c>
      <c r="N132">
        <f t="shared" si="9"/>
        <v>8</v>
      </c>
      <c r="O132">
        <f t="shared" si="10"/>
        <v>128.62799999999999</v>
      </c>
      <c r="P132" t="str">
        <f t="shared" si="11"/>
        <v>OK</v>
      </c>
    </row>
    <row r="133" spans="1:16" x14ac:dyDescent="0.35">
      <c r="A133" t="s">
        <v>303</v>
      </c>
      <c r="B133" s="3">
        <v>45481</v>
      </c>
      <c r="C133" t="s">
        <v>18</v>
      </c>
      <c r="D133" t="s">
        <v>57</v>
      </c>
      <c r="E133" t="s">
        <v>304</v>
      </c>
      <c r="F133" t="s">
        <v>15</v>
      </c>
      <c r="G133" t="s">
        <v>74</v>
      </c>
      <c r="H133">
        <v>5</v>
      </c>
      <c r="I133">
        <v>8.9700000000000006</v>
      </c>
      <c r="J133">
        <v>0.1</v>
      </c>
      <c r="K133">
        <v>40.369999999999997</v>
      </c>
      <c r="M133" t="str">
        <f t="shared" si="8"/>
        <v>Jul</v>
      </c>
      <c r="N133">
        <f t="shared" si="9"/>
        <v>7</v>
      </c>
      <c r="O133">
        <f t="shared" si="10"/>
        <v>40.365000000000002</v>
      </c>
      <c r="P133" t="str">
        <f t="shared" si="11"/>
        <v>OK</v>
      </c>
    </row>
    <row r="134" spans="1:16" x14ac:dyDescent="0.35">
      <c r="A134" t="s">
        <v>305</v>
      </c>
      <c r="B134" s="3">
        <v>45383</v>
      </c>
      <c r="C134" t="s">
        <v>65</v>
      </c>
      <c r="D134" t="s">
        <v>13</v>
      </c>
      <c r="E134" t="s">
        <v>20</v>
      </c>
      <c r="F134" t="s">
        <v>15</v>
      </c>
      <c r="G134" t="s">
        <v>111</v>
      </c>
      <c r="H134">
        <v>11</v>
      </c>
      <c r="I134">
        <v>191.31</v>
      </c>
      <c r="J134">
        <v>0</v>
      </c>
      <c r="K134">
        <v>2104.41</v>
      </c>
      <c r="M134" t="str">
        <f t="shared" si="8"/>
        <v>Apr</v>
      </c>
      <c r="N134">
        <f t="shared" si="9"/>
        <v>4</v>
      </c>
      <c r="O134">
        <f t="shared" si="10"/>
        <v>2104.41</v>
      </c>
      <c r="P134" t="str">
        <f t="shared" si="11"/>
        <v>OK</v>
      </c>
    </row>
    <row r="135" spans="1:16" x14ac:dyDescent="0.35">
      <c r="A135" t="s">
        <v>306</v>
      </c>
      <c r="B135" s="3">
        <v>45630</v>
      </c>
      <c r="C135" t="s">
        <v>24</v>
      </c>
      <c r="D135" t="s">
        <v>13</v>
      </c>
      <c r="E135" t="s">
        <v>189</v>
      </c>
      <c r="F135" t="s">
        <v>44</v>
      </c>
      <c r="G135" t="s">
        <v>86</v>
      </c>
      <c r="H135">
        <v>2</v>
      </c>
      <c r="I135">
        <v>78.209999999999994</v>
      </c>
      <c r="J135">
        <v>0.1</v>
      </c>
      <c r="K135">
        <v>140.78</v>
      </c>
      <c r="M135" t="str">
        <f t="shared" si="8"/>
        <v>Dec</v>
      </c>
      <c r="N135">
        <f t="shared" si="9"/>
        <v>12</v>
      </c>
      <c r="O135">
        <f t="shared" si="10"/>
        <v>140.77799999999999</v>
      </c>
      <c r="P135" t="str">
        <f t="shared" si="11"/>
        <v>OK</v>
      </c>
    </row>
    <row r="136" spans="1:16" x14ac:dyDescent="0.35">
      <c r="A136" t="s">
        <v>307</v>
      </c>
      <c r="B136" s="3">
        <v>45624</v>
      </c>
      <c r="C136" t="s">
        <v>18</v>
      </c>
      <c r="D136" t="s">
        <v>57</v>
      </c>
      <c r="E136" t="s">
        <v>201</v>
      </c>
      <c r="F136" t="s">
        <v>21</v>
      </c>
      <c r="G136" t="s">
        <v>129</v>
      </c>
      <c r="H136">
        <v>6</v>
      </c>
      <c r="I136">
        <v>160.01</v>
      </c>
      <c r="J136">
        <v>0</v>
      </c>
      <c r="K136">
        <v>960.06</v>
      </c>
      <c r="M136" t="str">
        <f t="shared" si="8"/>
        <v>Nov</v>
      </c>
      <c r="N136">
        <f t="shared" si="9"/>
        <v>11</v>
      </c>
      <c r="O136">
        <f t="shared" si="10"/>
        <v>960.06</v>
      </c>
      <c r="P136" t="str">
        <f t="shared" si="11"/>
        <v>OK</v>
      </c>
    </row>
    <row r="137" spans="1:16" x14ac:dyDescent="0.35">
      <c r="A137" t="s">
        <v>308</v>
      </c>
      <c r="B137" s="3">
        <v>45466</v>
      </c>
      <c r="C137" t="s">
        <v>24</v>
      </c>
      <c r="D137" t="s">
        <v>19</v>
      </c>
      <c r="E137" t="s">
        <v>309</v>
      </c>
      <c r="F137" t="s">
        <v>53</v>
      </c>
      <c r="G137" t="s">
        <v>104</v>
      </c>
      <c r="H137">
        <v>5</v>
      </c>
      <c r="I137">
        <v>201.72</v>
      </c>
      <c r="J137">
        <v>0.1</v>
      </c>
      <c r="K137">
        <v>907.74</v>
      </c>
      <c r="M137" t="str">
        <f t="shared" si="8"/>
        <v>Jun</v>
      </c>
      <c r="N137">
        <f t="shared" si="9"/>
        <v>6</v>
      </c>
      <c r="O137">
        <f t="shared" si="10"/>
        <v>907.74</v>
      </c>
      <c r="P137" t="str">
        <f t="shared" si="11"/>
        <v>OK</v>
      </c>
    </row>
    <row r="138" spans="1:16" x14ac:dyDescent="0.35">
      <c r="A138" t="s">
        <v>310</v>
      </c>
      <c r="B138" s="3">
        <v>45605</v>
      </c>
      <c r="C138" t="s">
        <v>41</v>
      </c>
      <c r="D138" t="s">
        <v>57</v>
      </c>
      <c r="E138" t="s">
        <v>311</v>
      </c>
      <c r="F138" t="s">
        <v>35</v>
      </c>
      <c r="G138" t="s">
        <v>134</v>
      </c>
      <c r="H138">
        <v>5</v>
      </c>
      <c r="I138">
        <v>212.67</v>
      </c>
      <c r="J138">
        <v>0</v>
      </c>
      <c r="K138">
        <v>1063.3499999999999</v>
      </c>
      <c r="M138" t="str">
        <f t="shared" si="8"/>
        <v>Nov</v>
      </c>
      <c r="N138">
        <f t="shared" si="9"/>
        <v>11</v>
      </c>
      <c r="O138">
        <f t="shared" si="10"/>
        <v>1063.3499999999999</v>
      </c>
      <c r="P138" t="str">
        <f t="shared" si="11"/>
        <v>OK</v>
      </c>
    </row>
    <row r="139" spans="1:16" x14ac:dyDescent="0.35">
      <c r="A139" t="s">
        <v>312</v>
      </c>
      <c r="B139" s="3">
        <v>45299</v>
      </c>
      <c r="C139" t="s">
        <v>18</v>
      </c>
      <c r="D139" t="s">
        <v>13</v>
      </c>
      <c r="E139" t="s">
        <v>313</v>
      </c>
      <c r="F139" t="s">
        <v>21</v>
      </c>
      <c r="G139" t="s">
        <v>194</v>
      </c>
      <c r="H139">
        <v>5</v>
      </c>
      <c r="I139">
        <v>200.9</v>
      </c>
      <c r="J139">
        <v>0</v>
      </c>
      <c r="K139">
        <v>1004.5</v>
      </c>
      <c r="M139" t="str">
        <f t="shared" si="8"/>
        <v>Jan</v>
      </c>
      <c r="N139">
        <f t="shared" si="9"/>
        <v>1</v>
      </c>
      <c r="O139">
        <f t="shared" si="10"/>
        <v>1004.5</v>
      </c>
      <c r="P139" t="str">
        <f t="shared" si="11"/>
        <v>OK</v>
      </c>
    </row>
    <row r="140" spans="1:16" x14ac:dyDescent="0.35">
      <c r="A140" t="s">
        <v>314</v>
      </c>
      <c r="B140" s="3">
        <v>45471</v>
      </c>
      <c r="C140" t="s">
        <v>41</v>
      </c>
      <c r="D140" t="s">
        <v>25</v>
      </c>
      <c r="E140" t="s">
        <v>315</v>
      </c>
      <c r="F140" t="s">
        <v>44</v>
      </c>
      <c r="G140" t="s">
        <v>86</v>
      </c>
      <c r="H140">
        <v>7</v>
      </c>
      <c r="I140">
        <v>248.69</v>
      </c>
      <c r="J140">
        <v>0</v>
      </c>
      <c r="K140">
        <v>1740.83</v>
      </c>
      <c r="M140" t="str">
        <f t="shared" si="8"/>
        <v>Jun</v>
      </c>
      <c r="N140">
        <f t="shared" si="9"/>
        <v>6</v>
      </c>
      <c r="O140">
        <f t="shared" si="10"/>
        <v>1740.83</v>
      </c>
      <c r="P140" t="str">
        <f t="shared" si="11"/>
        <v>OK</v>
      </c>
    </row>
    <row r="141" spans="1:16" x14ac:dyDescent="0.35">
      <c r="A141" t="s">
        <v>316</v>
      </c>
      <c r="B141" s="3">
        <v>45637</v>
      </c>
      <c r="C141" t="s">
        <v>33</v>
      </c>
      <c r="D141" t="s">
        <v>42</v>
      </c>
      <c r="E141" t="s">
        <v>317</v>
      </c>
      <c r="F141" t="s">
        <v>53</v>
      </c>
      <c r="G141" t="s">
        <v>125</v>
      </c>
      <c r="H141">
        <v>6</v>
      </c>
      <c r="I141">
        <v>41.84</v>
      </c>
      <c r="J141">
        <v>0.15</v>
      </c>
      <c r="K141">
        <v>213.38</v>
      </c>
      <c r="M141" t="str">
        <f t="shared" si="8"/>
        <v>Dec</v>
      </c>
      <c r="N141">
        <f t="shared" si="9"/>
        <v>12</v>
      </c>
      <c r="O141">
        <f t="shared" si="10"/>
        <v>213.38400000000001</v>
      </c>
      <c r="P141" t="str">
        <f t="shared" si="11"/>
        <v>OK</v>
      </c>
    </row>
    <row r="142" spans="1:16" x14ac:dyDescent="0.35">
      <c r="A142" t="s">
        <v>318</v>
      </c>
      <c r="B142" s="3">
        <v>45438</v>
      </c>
      <c r="C142" t="s">
        <v>18</v>
      </c>
      <c r="D142" t="s">
        <v>25</v>
      </c>
      <c r="E142" t="s">
        <v>231</v>
      </c>
      <c r="F142" t="s">
        <v>35</v>
      </c>
      <c r="G142" t="s">
        <v>177</v>
      </c>
      <c r="H142">
        <v>10</v>
      </c>
      <c r="I142">
        <v>13.23</v>
      </c>
      <c r="J142">
        <v>0.1</v>
      </c>
      <c r="K142">
        <v>119.07</v>
      </c>
      <c r="M142" t="str">
        <f t="shared" si="8"/>
        <v>May</v>
      </c>
      <c r="N142">
        <f t="shared" si="9"/>
        <v>5</v>
      </c>
      <c r="O142">
        <f t="shared" si="10"/>
        <v>119.07000000000001</v>
      </c>
      <c r="P142" t="str">
        <f t="shared" si="11"/>
        <v>OK</v>
      </c>
    </row>
    <row r="143" spans="1:16" x14ac:dyDescent="0.35">
      <c r="A143" t="s">
        <v>320</v>
      </c>
      <c r="B143" s="3">
        <v>45616</v>
      </c>
      <c r="C143" t="s">
        <v>65</v>
      </c>
      <c r="D143" t="s">
        <v>2216</v>
      </c>
      <c r="E143" t="s">
        <v>321</v>
      </c>
      <c r="F143" t="s">
        <v>15</v>
      </c>
      <c r="G143" t="s">
        <v>111</v>
      </c>
      <c r="H143">
        <v>6</v>
      </c>
      <c r="I143">
        <v>207.41</v>
      </c>
      <c r="J143">
        <v>0.1</v>
      </c>
      <c r="K143">
        <v>1120.01</v>
      </c>
      <c r="M143" t="str">
        <f t="shared" si="8"/>
        <v>Nov</v>
      </c>
      <c r="N143">
        <f t="shared" si="9"/>
        <v>11</v>
      </c>
      <c r="O143">
        <f t="shared" si="10"/>
        <v>1120.0140000000001</v>
      </c>
      <c r="P143" t="str">
        <f t="shared" si="11"/>
        <v>OK</v>
      </c>
    </row>
    <row r="144" spans="1:16" x14ac:dyDescent="0.35">
      <c r="A144" t="s">
        <v>322</v>
      </c>
      <c r="B144" s="3">
        <v>45343</v>
      </c>
      <c r="C144" t="s">
        <v>41</v>
      </c>
      <c r="D144" t="s">
        <v>57</v>
      </c>
      <c r="E144" t="s">
        <v>288</v>
      </c>
      <c r="F144" t="s">
        <v>44</v>
      </c>
      <c r="G144" t="s">
        <v>86</v>
      </c>
      <c r="H144">
        <v>11</v>
      </c>
      <c r="I144">
        <v>114.38</v>
      </c>
      <c r="J144">
        <v>0.15</v>
      </c>
      <c r="K144">
        <v>1069.45</v>
      </c>
      <c r="M144" t="str">
        <f t="shared" si="8"/>
        <v>Feb</v>
      </c>
      <c r="N144">
        <f t="shared" si="9"/>
        <v>2</v>
      </c>
      <c r="O144">
        <f t="shared" si="10"/>
        <v>1069.4529999999997</v>
      </c>
      <c r="P144" t="str">
        <f t="shared" si="11"/>
        <v>OK</v>
      </c>
    </row>
    <row r="145" spans="1:16" x14ac:dyDescent="0.35">
      <c r="A145" t="s">
        <v>323</v>
      </c>
      <c r="B145" s="3">
        <v>45453</v>
      </c>
      <c r="C145" t="s">
        <v>24</v>
      </c>
      <c r="D145" t="s">
        <v>13</v>
      </c>
      <c r="E145" t="s">
        <v>120</v>
      </c>
      <c r="F145" t="s">
        <v>35</v>
      </c>
      <c r="G145" t="s">
        <v>134</v>
      </c>
      <c r="H145">
        <v>7</v>
      </c>
      <c r="I145">
        <v>41.89</v>
      </c>
      <c r="J145">
        <v>0</v>
      </c>
      <c r="K145">
        <v>293.23</v>
      </c>
      <c r="M145" t="str">
        <f t="shared" si="8"/>
        <v>Jun</v>
      </c>
      <c r="N145">
        <f t="shared" si="9"/>
        <v>6</v>
      </c>
      <c r="O145">
        <f t="shared" si="10"/>
        <v>293.23</v>
      </c>
      <c r="P145" t="str">
        <f t="shared" si="11"/>
        <v>OK</v>
      </c>
    </row>
    <row r="146" spans="1:16" x14ac:dyDescent="0.35">
      <c r="A146" t="s">
        <v>324</v>
      </c>
      <c r="B146" s="3">
        <v>45365</v>
      </c>
      <c r="C146" t="s">
        <v>41</v>
      </c>
      <c r="D146" t="s">
        <v>19</v>
      </c>
      <c r="E146" t="s">
        <v>272</v>
      </c>
      <c r="F146" t="s">
        <v>15</v>
      </c>
      <c r="G146" t="s">
        <v>27</v>
      </c>
      <c r="H146">
        <v>5</v>
      </c>
      <c r="I146">
        <v>38.549999999999997</v>
      </c>
      <c r="J146">
        <v>0</v>
      </c>
      <c r="K146">
        <v>192.75</v>
      </c>
      <c r="M146" t="str">
        <f t="shared" si="8"/>
        <v>Mar</v>
      </c>
      <c r="N146">
        <f t="shared" si="9"/>
        <v>3</v>
      </c>
      <c r="O146">
        <f t="shared" si="10"/>
        <v>192.75</v>
      </c>
      <c r="P146" t="str">
        <f t="shared" si="11"/>
        <v>OK</v>
      </c>
    </row>
    <row r="147" spans="1:16" x14ac:dyDescent="0.35">
      <c r="A147" t="s">
        <v>325</v>
      </c>
      <c r="B147" s="3">
        <v>45575</v>
      </c>
      <c r="C147" t="s">
        <v>65</v>
      </c>
      <c r="D147" t="s">
        <v>25</v>
      </c>
      <c r="E147" t="s">
        <v>113</v>
      </c>
      <c r="F147" t="s">
        <v>53</v>
      </c>
      <c r="G147" t="s">
        <v>104</v>
      </c>
      <c r="H147">
        <v>8</v>
      </c>
      <c r="I147">
        <v>100.66</v>
      </c>
      <c r="J147">
        <v>0</v>
      </c>
      <c r="K147">
        <v>805.28</v>
      </c>
      <c r="M147" t="str">
        <f t="shared" si="8"/>
        <v>Oct</v>
      </c>
      <c r="N147">
        <f t="shared" si="9"/>
        <v>10</v>
      </c>
      <c r="O147">
        <f t="shared" si="10"/>
        <v>805.28</v>
      </c>
      <c r="P147" t="str">
        <f t="shared" si="11"/>
        <v>OK</v>
      </c>
    </row>
    <row r="148" spans="1:16" x14ac:dyDescent="0.35">
      <c r="A148" t="s">
        <v>326</v>
      </c>
      <c r="B148" s="3">
        <v>45430</v>
      </c>
      <c r="C148" t="s">
        <v>18</v>
      </c>
      <c r="D148" t="s">
        <v>42</v>
      </c>
      <c r="E148" t="s">
        <v>328</v>
      </c>
      <c r="F148" t="s">
        <v>53</v>
      </c>
      <c r="G148" t="s">
        <v>59</v>
      </c>
      <c r="H148">
        <v>10</v>
      </c>
      <c r="I148">
        <v>231.59</v>
      </c>
      <c r="J148">
        <v>0.05</v>
      </c>
      <c r="K148">
        <v>2200.11</v>
      </c>
      <c r="M148" t="str">
        <f t="shared" si="8"/>
        <v>May</v>
      </c>
      <c r="N148">
        <f t="shared" si="9"/>
        <v>5</v>
      </c>
      <c r="O148">
        <f t="shared" si="10"/>
        <v>2200.105</v>
      </c>
      <c r="P148" t="str">
        <f t="shared" si="11"/>
        <v>OK</v>
      </c>
    </row>
    <row r="149" spans="1:16" x14ac:dyDescent="0.35">
      <c r="A149" t="s">
        <v>329</v>
      </c>
      <c r="B149" s="3">
        <v>45305</v>
      </c>
      <c r="C149" t="s">
        <v>65</v>
      </c>
      <c r="D149" t="s">
        <v>13</v>
      </c>
      <c r="E149" t="s">
        <v>330</v>
      </c>
      <c r="F149" t="s">
        <v>15</v>
      </c>
      <c r="G149" t="s">
        <v>147</v>
      </c>
      <c r="H149">
        <v>10</v>
      </c>
      <c r="I149">
        <v>245.27</v>
      </c>
      <c r="J149">
        <v>0</v>
      </c>
      <c r="K149">
        <v>2452.6999999999998</v>
      </c>
      <c r="M149" t="str">
        <f t="shared" si="8"/>
        <v>Jan</v>
      </c>
      <c r="N149">
        <f t="shared" si="9"/>
        <v>1</v>
      </c>
      <c r="O149">
        <f t="shared" si="10"/>
        <v>2452.7000000000003</v>
      </c>
      <c r="P149" t="str">
        <f t="shared" si="11"/>
        <v>OK</v>
      </c>
    </row>
    <row r="150" spans="1:16" x14ac:dyDescent="0.35">
      <c r="A150" t="s">
        <v>331</v>
      </c>
      <c r="B150" s="3">
        <v>45586</v>
      </c>
      <c r="C150" t="s">
        <v>24</v>
      </c>
      <c r="D150" t="s">
        <v>13</v>
      </c>
      <c r="E150" t="s">
        <v>332</v>
      </c>
      <c r="F150" t="s">
        <v>53</v>
      </c>
      <c r="G150" t="s">
        <v>63</v>
      </c>
      <c r="H150">
        <v>5</v>
      </c>
      <c r="I150">
        <v>25.72</v>
      </c>
      <c r="J150">
        <v>0.1</v>
      </c>
      <c r="K150">
        <v>115.74</v>
      </c>
      <c r="M150" t="str">
        <f t="shared" si="8"/>
        <v>Oct</v>
      </c>
      <c r="N150">
        <f t="shared" si="9"/>
        <v>10</v>
      </c>
      <c r="O150">
        <f t="shared" si="10"/>
        <v>115.74</v>
      </c>
      <c r="P150" t="str">
        <f t="shared" si="11"/>
        <v>OK</v>
      </c>
    </row>
    <row r="151" spans="1:16" x14ac:dyDescent="0.35">
      <c r="A151" t="s">
        <v>333</v>
      </c>
      <c r="B151" s="3">
        <v>45308</v>
      </c>
      <c r="C151" t="s">
        <v>65</v>
      </c>
      <c r="D151" t="s">
        <v>25</v>
      </c>
      <c r="E151" t="s">
        <v>334</v>
      </c>
      <c r="F151" t="s">
        <v>53</v>
      </c>
      <c r="G151" t="s">
        <v>63</v>
      </c>
      <c r="H151">
        <v>2</v>
      </c>
      <c r="I151">
        <v>204.44</v>
      </c>
      <c r="J151">
        <v>0.1</v>
      </c>
      <c r="K151">
        <v>367.99</v>
      </c>
      <c r="M151" t="str">
        <f t="shared" si="8"/>
        <v>Jan</v>
      </c>
      <c r="N151">
        <f t="shared" si="9"/>
        <v>1</v>
      </c>
      <c r="O151">
        <f t="shared" si="10"/>
        <v>367.99200000000002</v>
      </c>
      <c r="P151" t="str">
        <f t="shared" si="11"/>
        <v>OK</v>
      </c>
    </row>
    <row r="152" spans="1:16" x14ac:dyDescent="0.35">
      <c r="A152" t="s">
        <v>335</v>
      </c>
      <c r="B152" s="3">
        <v>45592</v>
      </c>
      <c r="C152" t="s">
        <v>33</v>
      </c>
      <c r="D152" t="s">
        <v>57</v>
      </c>
      <c r="E152" t="s">
        <v>336</v>
      </c>
      <c r="F152" t="s">
        <v>35</v>
      </c>
      <c r="G152" t="s">
        <v>134</v>
      </c>
      <c r="H152">
        <v>6</v>
      </c>
      <c r="I152">
        <v>85.47</v>
      </c>
      <c r="J152">
        <v>0</v>
      </c>
      <c r="K152">
        <v>512.82000000000005</v>
      </c>
      <c r="M152" t="str">
        <f t="shared" si="8"/>
        <v>Oct</v>
      </c>
      <c r="N152">
        <f t="shared" si="9"/>
        <v>10</v>
      </c>
      <c r="O152">
        <f t="shared" si="10"/>
        <v>512.81999999999994</v>
      </c>
      <c r="P152" t="str">
        <f t="shared" si="11"/>
        <v>OK</v>
      </c>
    </row>
    <row r="153" spans="1:16" x14ac:dyDescent="0.35">
      <c r="A153" t="s">
        <v>337</v>
      </c>
      <c r="B153" s="3">
        <v>45641</v>
      </c>
      <c r="C153" t="s">
        <v>33</v>
      </c>
      <c r="D153" t="s">
        <v>13</v>
      </c>
      <c r="E153" t="s">
        <v>185</v>
      </c>
      <c r="F153" t="s">
        <v>44</v>
      </c>
      <c r="G153" t="s">
        <v>94</v>
      </c>
      <c r="H153">
        <v>4</v>
      </c>
      <c r="I153">
        <v>198.44</v>
      </c>
      <c r="J153">
        <v>0</v>
      </c>
      <c r="K153">
        <v>793.76</v>
      </c>
      <c r="M153" t="str">
        <f t="shared" si="8"/>
        <v>Dec</v>
      </c>
      <c r="N153">
        <f t="shared" si="9"/>
        <v>12</v>
      </c>
      <c r="O153">
        <f t="shared" si="10"/>
        <v>793.76</v>
      </c>
      <c r="P153" t="str">
        <f t="shared" si="11"/>
        <v>OK</v>
      </c>
    </row>
    <row r="154" spans="1:16" x14ac:dyDescent="0.35">
      <c r="A154" t="s">
        <v>338</v>
      </c>
      <c r="B154" s="3">
        <v>45445</v>
      </c>
      <c r="C154" t="s">
        <v>65</v>
      </c>
      <c r="D154" t="s">
        <v>19</v>
      </c>
      <c r="E154" t="s">
        <v>339</v>
      </c>
      <c r="F154" t="s">
        <v>21</v>
      </c>
      <c r="G154" t="s">
        <v>22</v>
      </c>
      <c r="H154">
        <v>2</v>
      </c>
      <c r="I154">
        <v>192.92</v>
      </c>
      <c r="J154">
        <v>0.15</v>
      </c>
      <c r="K154">
        <v>327.96</v>
      </c>
      <c r="M154" t="str">
        <f t="shared" si="8"/>
        <v>Jun</v>
      </c>
      <c r="N154">
        <f t="shared" si="9"/>
        <v>6</v>
      </c>
      <c r="O154">
        <f t="shared" si="10"/>
        <v>327.96399999999994</v>
      </c>
      <c r="P154" t="str">
        <f t="shared" si="11"/>
        <v>OK</v>
      </c>
    </row>
    <row r="155" spans="1:16" x14ac:dyDescent="0.35">
      <c r="A155" t="s">
        <v>340</v>
      </c>
      <c r="B155" s="3">
        <v>45326</v>
      </c>
      <c r="C155" t="s">
        <v>41</v>
      </c>
      <c r="D155" t="s">
        <v>42</v>
      </c>
      <c r="E155" t="s">
        <v>296</v>
      </c>
      <c r="F155" t="s">
        <v>53</v>
      </c>
      <c r="G155" t="s">
        <v>54</v>
      </c>
      <c r="H155">
        <v>12</v>
      </c>
      <c r="I155">
        <v>192.63</v>
      </c>
      <c r="J155">
        <v>0.15</v>
      </c>
      <c r="K155">
        <v>1964.83</v>
      </c>
      <c r="M155" t="str">
        <f t="shared" si="8"/>
        <v>Feb</v>
      </c>
      <c r="N155">
        <f t="shared" si="9"/>
        <v>2</v>
      </c>
      <c r="O155">
        <f t="shared" si="10"/>
        <v>1964.8259999999998</v>
      </c>
      <c r="P155" t="str">
        <f t="shared" si="11"/>
        <v>OK</v>
      </c>
    </row>
    <row r="156" spans="1:16" x14ac:dyDescent="0.35">
      <c r="A156" t="s">
        <v>341</v>
      </c>
      <c r="B156" s="3">
        <v>45493</v>
      </c>
      <c r="C156" t="s">
        <v>33</v>
      </c>
      <c r="D156" t="s">
        <v>57</v>
      </c>
      <c r="E156" t="s">
        <v>332</v>
      </c>
      <c r="F156" t="s">
        <v>15</v>
      </c>
      <c r="G156" t="s">
        <v>147</v>
      </c>
      <c r="H156">
        <v>6</v>
      </c>
      <c r="I156">
        <v>42.63</v>
      </c>
      <c r="J156">
        <v>0</v>
      </c>
      <c r="K156">
        <v>255.78</v>
      </c>
      <c r="M156" t="str">
        <f t="shared" si="8"/>
        <v>Jul</v>
      </c>
      <c r="N156">
        <f t="shared" si="9"/>
        <v>7</v>
      </c>
      <c r="O156">
        <f t="shared" si="10"/>
        <v>255.78000000000003</v>
      </c>
      <c r="P156" t="str">
        <f t="shared" si="11"/>
        <v>OK</v>
      </c>
    </row>
    <row r="157" spans="1:16" x14ac:dyDescent="0.35">
      <c r="A157" t="s">
        <v>342</v>
      </c>
      <c r="B157" s="3">
        <v>45583</v>
      </c>
      <c r="C157" t="s">
        <v>33</v>
      </c>
      <c r="D157" t="s">
        <v>2216</v>
      </c>
      <c r="E157" t="s">
        <v>343</v>
      </c>
      <c r="F157" t="s">
        <v>44</v>
      </c>
      <c r="G157" t="s">
        <v>45</v>
      </c>
      <c r="H157">
        <v>8</v>
      </c>
      <c r="I157">
        <v>248.94</v>
      </c>
      <c r="J157">
        <v>0</v>
      </c>
      <c r="K157">
        <v>1991.52</v>
      </c>
      <c r="M157" t="str">
        <f t="shared" si="8"/>
        <v>Oct</v>
      </c>
      <c r="N157">
        <f t="shared" si="9"/>
        <v>10</v>
      </c>
      <c r="O157">
        <f t="shared" si="10"/>
        <v>1991.52</v>
      </c>
      <c r="P157" t="str">
        <f t="shared" si="11"/>
        <v>OK</v>
      </c>
    </row>
    <row r="158" spans="1:16" x14ac:dyDescent="0.35">
      <c r="A158" t="s">
        <v>344</v>
      </c>
      <c r="B158" s="3">
        <v>45614</v>
      </c>
      <c r="C158" t="s">
        <v>41</v>
      </c>
      <c r="D158" t="s">
        <v>57</v>
      </c>
      <c r="E158" t="s">
        <v>39</v>
      </c>
      <c r="F158" t="s">
        <v>15</v>
      </c>
      <c r="G158" t="s">
        <v>74</v>
      </c>
      <c r="H158">
        <v>12</v>
      </c>
      <c r="I158">
        <v>120.23</v>
      </c>
      <c r="J158">
        <v>0.15</v>
      </c>
      <c r="K158">
        <v>1226.3499999999999</v>
      </c>
      <c r="M158" t="str">
        <f t="shared" si="8"/>
        <v>Nov</v>
      </c>
      <c r="N158">
        <f t="shared" si="9"/>
        <v>11</v>
      </c>
      <c r="O158">
        <f t="shared" si="10"/>
        <v>1226.346</v>
      </c>
      <c r="P158" t="str">
        <f t="shared" si="11"/>
        <v>OK</v>
      </c>
    </row>
    <row r="159" spans="1:16" x14ac:dyDescent="0.35">
      <c r="A159" t="s">
        <v>345</v>
      </c>
      <c r="B159" s="3">
        <v>45401</v>
      </c>
      <c r="C159" t="s">
        <v>33</v>
      </c>
      <c r="D159" t="s">
        <v>19</v>
      </c>
      <c r="E159" t="s">
        <v>346</v>
      </c>
      <c r="F159" t="s">
        <v>21</v>
      </c>
      <c r="G159" t="s">
        <v>129</v>
      </c>
      <c r="H159">
        <v>9</v>
      </c>
      <c r="I159">
        <v>112.27</v>
      </c>
      <c r="J159">
        <v>0</v>
      </c>
      <c r="K159">
        <v>1010.43</v>
      </c>
      <c r="M159" t="str">
        <f t="shared" si="8"/>
        <v>Apr</v>
      </c>
      <c r="N159">
        <f t="shared" si="9"/>
        <v>4</v>
      </c>
      <c r="O159">
        <f t="shared" si="10"/>
        <v>1010.43</v>
      </c>
      <c r="P159" t="str">
        <f t="shared" si="11"/>
        <v>OK</v>
      </c>
    </row>
    <row r="160" spans="1:16" x14ac:dyDescent="0.35">
      <c r="A160" t="s">
        <v>347</v>
      </c>
      <c r="B160" s="3">
        <v>45537</v>
      </c>
      <c r="C160" t="s">
        <v>18</v>
      </c>
      <c r="D160" t="s">
        <v>25</v>
      </c>
      <c r="E160" t="s">
        <v>348</v>
      </c>
      <c r="F160" t="s">
        <v>44</v>
      </c>
      <c r="G160" t="s">
        <v>94</v>
      </c>
      <c r="H160">
        <v>9</v>
      </c>
      <c r="I160">
        <v>170.19</v>
      </c>
      <c r="J160">
        <v>0</v>
      </c>
      <c r="K160">
        <v>1531.71</v>
      </c>
      <c r="M160" t="str">
        <f t="shared" si="8"/>
        <v>Sep</v>
      </c>
      <c r="N160">
        <f t="shared" si="9"/>
        <v>9</v>
      </c>
      <c r="O160">
        <f t="shared" si="10"/>
        <v>1531.71</v>
      </c>
      <c r="P160" t="str">
        <f t="shared" si="11"/>
        <v>OK</v>
      </c>
    </row>
    <row r="161" spans="1:16" x14ac:dyDescent="0.35">
      <c r="A161" t="s">
        <v>349</v>
      </c>
      <c r="B161" s="3">
        <v>45542</v>
      </c>
      <c r="C161" t="s">
        <v>18</v>
      </c>
      <c r="D161" t="s">
        <v>57</v>
      </c>
      <c r="E161" t="s">
        <v>212</v>
      </c>
      <c r="F161" t="s">
        <v>53</v>
      </c>
      <c r="G161" t="s">
        <v>260</v>
      </c>
      <c r="H161">
        <v>10</v>
      </c>
      <c r="I161">
        <v>141.31</v>
      </c>
      <c r="J161">
        <v>0.1</v>
      </c>
      <c r="K161">
        <v>1271.79</v>
      </c>
      <c r="M161" t="str">
        <f t="shared" si="8"/>
        <v>Sep</v>
      </c>
      <c r="N161">
        <f t="shared" si="9"/>
        <v>9</v>
      </c>
      <c r="O161">
        <f t="shared" si="10"/>
        <v>1271.79</v>
      </c>
      <c r="P161" t="str">
        <f t="shared" si="11"/>
        <v>OK</v>
      </c>
    </row>
    <row r="162" spans="1:16" x14ac:dyDescent="0.35">
      <c r="A162" t="s">
        <v>350</v>
      </c>
      <c r="B162" s="3">
        <v>45607</v>
      </c>
      <c r="C162" t="s">
        <v>24</v>
      </c>
      <c r="D162" t="s">
        <v>25</v>
      </c>
      <c r="E162" t="s">
        <v>351</v>
      </c>
      <c r="F162" t="s">
        <v>44</v>
      </c>
      <c r="G162" t="s">
        <v>45</v>
      </c>
      <c r="H162">
        <v>12</v>
      </c>
      <c r="I162">
        <v>84.31</v>
      </c>
      <c r="J162">
        <v>0.15</v>
      </c>
      <c r="K162">
        <v>859.96</v>
      </c>
      <c r="M162" t="str">
        <f t="shared" si="8"/>
        <v>Nov</v>
      </c>
      <c r="N162">
        <f t="shared" si="9"/>
        <v>11</v>
      </c>
      <c r="O162">
        <f t="shared" si="10"/>
        <v>859.96199999999999</v>
      </c>
      <c r="P162" t="str">
        <f t="shared" si="11"/>
        <v>OK</v>
      </c>
    </row>
    <row r="163" spans="1:16" x14ac:dyDescent="0.35">
      <c r="A163" t="s">
        <v>352</v>
      </c>
      <c r="B163" s="3">
        <v>45587</v>
      </c>
      <c r="C163" t="s">
        <v>24</v>
      </c>
      <c r="D163" t="s">
        <v>13</v>
      </c>
      <c r="E163" t="s">
        <v>278</v>
      </c>
      <c r="F163" t="s">
        <v>53</v>
      </c>
      <c r="G163" t="s">
        <v>54</v>
      </c>
      <c r="H163">
        <v>2</v>
      </c>
      <c r="I163">
        <v>124.95</v>
      </c>
      <c r="J163">
        <v>0</v>
      </c>
      <c r="K163">
        <v>249.9</v>
      </c>
      <c r="M163" t="str">
        <f t="shared" si="8"/>
        <v>Oct</v>
      </c>
      <c r="N163">
        <f t="shared" si="9"/>
        <v>10</v>
      </c>
      <c r="O163">
        <f t="shared" si="10"/>
        <v>249.9</v>
      </c>
      <c r="P163" t="str">
        <f t="shared" si="11"/>
        <v>OK</v>
      </c>
    </row>
    <row r="164" spans="1:16" x14ac:dyDescent="0.35">
      <c r="A164" t="s">
        <v>354</v>
      </c>
      <c r="B164" s="3">
        <v>45455</v>
      </c>
      <c r="C164" t="s">
        <v>41</v>
      </c>
      <c r="D164" t="s">
        <v>57</v>
      </c>
      <c r="E164" t="s">
        <v>96</v>
      </c>
      <c r="F164" t="s">
        <v>35</v>
      </c>
      <c r="G164" t="s">
        <v>36</v>
      </c>
      <c r="H164">
        <v>11</v>
      </c>
      <c r="I164">
        <v>210.6</v>
      </c>
      <c r="J164">
        <v>0</v>
      </c>
      <c r="K164">
        <v>2316.6</v>
      </c>
      <c r="M164" t="str">
        <f t="shared" si="8"/>
        <v>Jun</v>
      </c>
      <c r="N164">
        <f t="shared" si="9"/>
        <v>6</v>
      </c>
      <c r="O164">
        <f t="shared" si="10"/>
        <v>2316.6</v>
      </c>
      <c r="P164" t="str">
        <f t="shared" si="11"/>
        <v>OK</v>
      </c>
    </row>
    <row r="165" spans="1:16" x14ac:dyDescent="0.35">
      <c r="A165" t="s">
        <v>355</v>
      </c>
      <c r="B165" s="3">
        <v>45389</v>
      </c>
      <c r="C165" t="s">
        <v>65</v>
      </c>
      <c r="D165" t="s">
        <v>57</v>
      </c>
      <c r="E165" t="s">
        <v>2217</v>
      </c>
      <c r="F165" t="s">
        <v>21</v>
      </c>
      <c r="G165" t="s">
        <v>129</v>
      </c>
      <c r="H165">
        <v>7</v>
      </c>
      <c r="I165">
        <v>113.05</v>
      </c>
      <c r="J165">
        <v>0</v>
      </c>
      <c r="K165">
        <v>791.35</v>
      </c>
      <c r="M165" t="str">
        <f t="shared" si="8"/>
        <v>Apr</v>
      </c>
      <c r="N165">
        <f t="shared" si="9"/>
        <v>4</v>
      </c>
      <c r="O165">
        <f t="shared" si="10"/>
        <v>791.35</v>
      </c>
      <c r="P165" t="str">
        <f t="shared" si="11"/>
        <v>OK</v>
      </c>
    </row>
    <row r="166" spans="1:16" x14ac:dyDescent="0.35">
      <c r="A166" t="s">
        <v>356</v>
      </c>
      <c r="B166" s="3">
        <v>45320</v>
      </c>
      <c r="C166" t="s">
        <v>41</v>
      </c>
      <c r="D166" t="s">
        <v>42</v>
      </c>
      <c r="E166" t="s">
        <v>357</v>
      </c>
      <c r="F166" t="s">
        <v>15</v>
      </c>
      <c r="G166" t="s">
        <v>27</v>
      </c>
      <c r="H166">
        <v>7</v>
      </c>
      <c r="I166">
        <v>154.63</v>
      </c>
      <c r="J166">
        <v>0</v>
      </c>
      <c r="K166">
        <v>1082.4100000000001</v>
      </c>
      <c r="M166" t="str">
        <f t="shared" si="8"/>
        <v>Jan</v>
      </c>
      <c r="N166">
        <f t="shared" si="9"/>
        <v>1</v>
      </c>
      <c r="O166">
        <f t="shared" si="10"/>
        <v>1082.4099999999999</v>
      </c>
      <c r="P166" t="str">
        <f t="shared" si="11"/>
        <v>OK</v>
      </c>
    </row>
    <row r="167" spans="1:16" x14ac:dyDescent="0.35">
      <c r="A167" t="s">
        <v>358</v>
      </c>
      <c r="B167" s="3">
        <v>45495</v>
      </c>
      <c r="C167" t="s">
        <v>18</v>
      </c>
      <c r="D167" t="s">
        <v>42</v>
      </c>
      <c r="E167" t="s">
        <v>296</v>
      </c>
      <c r="F167" t="s">
        <v>44</v>
      </c>
      <c r="G167" t="s">
        <v>94</v>
      </c>
      <c r="H167">
        <v>12</v>
      </c>
      <c r="I167">
        <v>248.96</v>
      </c>
      <c r="J167">
        <v>0</v>
      </c>
      <c r="K167">
        <v>2987.52</v>
      </c>
      <c r="M167" t="str">
        <f t="shared" si="8"/>
        <v>Jul</v>
      </c>
      <c r="N167">
        <f t="shared" si="9"/>
        <v>7</v>
      </c>
      <c r="O167">
        <f t="shared" si="10"/>
        <v>2987.52</v>
      </c>
      <c r="P167" t="str">
        <f t="shared" si="11"/>
        <v>OK</v>
      </c>
    </row>
    <row r="168" spans="1:16" x14ac:dyDescent="0.35">
      <c r="A168" t="s">
        <v>359</v>
      </c>
      <c r="B168" s="3">
        <v>45341</v>
      </c>
      <c r="C168" t="s">
        <v>33</v>
      </c>
      <c r="D168" t="s">
        <v>25</v>
      </c>
      <c r="E168" t="s">
        <v>360</v>
      </c>
      <c r="F168" t="s">
        <v>44</v>
      </c>
      <c r="G168" t="s">
        <v>45</v>
      </c>
      <c r="H168">
        <v>7</v>
      </c>
      <c r="I168">
        <v>48.16</v>
      </c>
      <c r="J168">
        <v>0</v>
      </c>
      <c r="K168">
        <v>337.12</v>
      </c>
      <c r="M168" t="str">
        <f t="shared" si="8"/>
        <v>Feb</v>
      </c>
      <c r="N168">
        <f t="shared" si="9"/>
        <v>2</v>
      </c>
      <c r="O168">
        <f t="shared" si="10"/>
        <v>337.12</v>
      </c>
      <c r="P168" t="str">
        <f t="shared" si="11"/>
        <v>OK</v>
      </c>
    </row>
    <row r="169" spans="1:16" x14ac:dyDescent="0.35">
      <c r="A169" t="s">
        <v>361</v>
      </c>
      <c r="B169" s="3">
        <v>45364</v>
      </c>
      <c r="C169" t="s">
        <v>65</v>
      </c>
      <c r="D169" t="s">
        <v>42</v>
      </c>
      <c r="E169" t="s">
        <v>82</v>
      </c>
      <c r="F169" t="s">
        <v>53</v>
      </c>
      <c r="G169" t="s">
        <v>125</v>
      </c>
      <c r="H169">
        <v>7</v>
      </c>
      <c r="I169">
        <v>168.18</v>
      </c>
      <c r="J169">
        <v>0</v>
      </c>
      <c r="K169">
        <v>1177.26</v>
      </c>
      <c r="M169" t="str">
        <f t="shared" si="8"/>
        <v>Mar</v>
      </c>
      <c r="N169">
        <f t="shared" si="9"/>
        <v>3</v>
      </c>
      <c r="O169">
        <f t="shared" si="10"/>
        <v>1177.26</v>
      </c>
      <c r="P169" t="str">
        <f t="shared" si="11"/>
        <v>OK</v>
      </c>
    </row>
    <row r="170" spans="1:16" x14ac:dyDescent="0.35">
      <c r="A170" t="s">
        <v>362</v>
      </c>
      <c r="B170" s="3">
        <v>45508</v>
      </c>
      <c r="C170" t="s">
        <v>24</v>
      </c>
      <c r="D170" t="s">
        <v>19</v>
      </c>
      <c r="E170" t="s">
        <v>137</v>
      </c>
      <c r="F170" t="s">
        <v>53</v>
      </c>
      <c r="G170" t="s">
        <v>54</v>
      </c>
      <c r="H170">
        <v>12</v>
      </c>
      <c r="I170">
        <v>206.98</v>
      </c>
      <c r="J170">
        <v>0</v>
      </c>
      <c r="K170">
        <v>2483.7600000000002</v>
      </c>
      <c r="M170" t="str">
        <f t="shared" si="8"/>
        <v>Aug</v>
      </c>
      <c r="N170">
        <f t="shared" si="9"/>
        <v>8</v>
      </c>
      <c r="O170">
        <f t="shared" si="10"/>
        <v>2483.7599999999998</v>
      </c>
      <c r="P170" t="str">
        <f t="shared" si="11"/>
        <v>OK</v>
      </c>
    </row>
    <row r="171" spans="1:16" x14ac:dyDescent="0.35">
      <c r="A171" t="s">
        <v>363</v>
      </c>
      <c r="B171" s="3">
        <v>45340</v>
      </c>
      <c r="C171" t="s">
        <v>41</v>
      </c>
      <c r="D171" t="s">
        <v>2216</v>
      </c>
      <c r="E171" t="s">
        <v>336</v>
      </c>
      <c r="F171" t="s">
        <v>44</v>
      </c>
      <c r="G171" t="s">
        <v>86</v>
      </c>
      <c r="H171">
        <v>6</v>
      </c>
      <c r="I171">
        <v>138.21</v>
      </c>
      <c r="J171">
        <v>0.15</v>
      </c>
      <c r="K171">
        <v>704.87</v>
      </c>
      <c r="M171" t="str">
        <f t="shared" si="8"/>
        <v>Feb</v>
      </c>
      <c r="N171">
        <f t="shared" si="9"/>
        <v>2</v>
      </c>
      <c r="O171">
        <f t="shared" si="10"/>
        <v>704.87099999999998</v>
      </c>
      <c r="P171" t="str">
        <f t="shared" si="11"/>
        <v>OK</v>
      </c>
    </row>
    <row r="172" spans="1:16" x14ac:dyDescent="0.35">
      <c r="A172" t="s">
        <v>365</v>
      </c>
      <c r="B172" s="3">
        <v>45513</v>
      </c>
      <c r="C172" t="s">
        <v>41</v>
      </c>
      <c r="D172" t="s">
        <v>13</v>
      </c>
      <c r="E172" t="s">
        <v>366</v>
      </c>
      <c r="F172" t="s">
        <v>15</v>
      </c>
      <c r="G172" t="s">
        <v>74</v>
      </c>
      <c r="H172">
        <v>1</v>
      </c>
      <c r="I172">
        <v>199.54</v>
      </c>
      <c r="J172">
        <v>0</v>
      </c>
      <c r="K172">
        <v>199.54</v>
      </c>
      <c r="M172" t="str">
        <f t="shared" si="8"/>
        <v>Aug</v>
      </c>
      <c r="N172">
        <f t="shared" si="9"/>
        <v>8</v>
      </c>
      <c r="O172">
        <f t="shared" si="10"/>
        <v>199.54</v>
      </c>
      <c r="P172" t="str">
        <f t="shared" si="11"/>
        <v>OK</v>
      </c>
    </row>
    <row r="173" spans="1:16" x14ac:dyDescent="0.35">
      <c r="A173" t="s">
        <v>369</v>
      </c>
      <c r="B173" s="3">
        <v>45355</v>
      </c>
      <c r="C173" t="s">
        <v>24</v>
      </c>
      <c r="D173" t="s">
        <v>13</v>
      </c>
      <c r="E173" t="s">
        <v>370</v>
      </c>
      <c r="F173" t="s">
        <v>35</v>
      </c>
      <c r="G173" t="s">
        <v>36</v>
      </c>
      <c r="H173">
        <v>8</v>
      </c>
      <c r="I173">
        <v>32.97</v>
      </c>
      <c r="J173">
        <v>0.15</v>
      </c>
      <c r="K173">
        <v>224.2</v>
      </c>
      <c r="M173" t="str">
        <f t="shared" si="8"/>
        <v>Mar</v>
      </c>
      <c r="N173">
        <f t="shared" si="9"/>
        <v>3</v>
      </c>
      <c r="O173">
        <f t="shared" si="10"/>
        <v>224.196</v>
      </c>
      <c r="P173" t="str">
        <f t="shared" si="11"/>
        <v>OK</v>
      </c>
    </row>
    <row r="174" spans="1:16" x14ac:dyDescent="0.35">
      <c r="A174" t="s">
        <v>371</v>
      </c>
      <c r="B174" s="3">
        <v>45294</v>
      </c>
      <c r="C174" t="s">
        <v>41</v>
      </c>
      <c r="D174" t="s">
        <v>13</v>
      </c>
      <c r="E174" t="s">
        <v>291</v>
      </c>
      <c r="F174" t="s">
        <v>53</v>
      </c>
      <c r="G174" t="s">
        <v>260</v>
      </c>
      <c r="H174">
        <v>3</v>
      </c>
      <c r="I174">
        <v>42.28</v>
      </c>
      <c r="J174">
        <v>0.05</v>
      </c>
      <c r="K174">
        <v>120.5</v>
      </c>
      <c r="M174" t="str">
        <f t="shared" si="8"/>
        <v>Jan</v>
      </c>
      <c r="N174">
        <f t="shared" si="9"/>
        <v>1</v>
      </c>
      <c r="O174">
        <f t="shared" si="10"/>
        <v>120.498</v>
      </c>
      <c r="P174" t="str">
        <f t="shared" si="11"/>
        <v>OK</v>
      </c>
    </row>
    <row r="175" spans="1:16" x14ac:dyDescent="0.35">
      <c r="A175" t="s">
        <v>372</v>
      </c>
      <c r="B175" s="3">
        <v>45389</v>
      </c>
      <c r="C175" t="s">
        <v>33</v>
      </c>
      <c r="D175" t="s">
        <v>25</v>
      </c>
      <c r="E175" t="s">
        <v>302</v>
      </c>
      <c r="F175" t="s">
        <v>44</v>
      </c>
      <c r="G175" t="s">
        <v>45</v>
      </c>
      <c r="H175">
        <v>9</v>
      </c>
      <c r="I175">
        <v>225.14</v>
      </c>
      <c r="J175">
        <v>0</v>
      </c>
      <c r="K175">
        <v>2026.26</v>
      </c>
      <c r="M175" t="str">
        <f t="shared" si="8"/>
        <v>Apr</v>
      </c>
      <c r="N175">
        <f t="shared" si="9"/>
        <v>4</v>
      </c>
      <c r="O175">
        <f t="shared" si="10"/>
        <v>2026.2599999999998</v>
      </c>
      <c r="P175" t="str">
        <f t="shared" si="11"/>
        <v>OK</v>
      </c>
    </row>
    <row r="176" spans="1:16" x14ac:dyDescent="0.35">
      <c r="A176" t="s">
        <v>373</v>
      </c>
      <c r="B176" s="3">
        <v>45374</v>
      </c>
      <c r="C176" t="s">
        <v>18</v>
      </c>
      <c r="D176" t="s">
        <v>57</v>
      </c>
      <c r="E176" t="s">
        <v>272</v>
      </c>
      <c r="F176" t="s">
        <v>35</v>
      </c>
      <c r="G176" t="s">
        <v>67</v>
      </c>
      <c r="H176">
        <v>10</v>
      </c>
      <c r="I176">
        <v>144.94999999999999</v>
      </c>
      <c r="J176">
        <v>0</v>
      </c>
      <c r="K176">
        <v>1449.5</v>
      </c>
      <c r="M176" t="str">
        <f t="shared" si="8"/>
        <v>Mar</v>
      </c>
      <c r="N176">
        <f t="shared" si="9"/>
        <v>3</v>
      </c>
      <c r="O176">
        <f t="shared" si="10"/>
        <v>1449.5</v>
      </c>
      <c r="P176" t="str">
        <f t="shared" si="11"/>
        <v>OK</v>
      </c>
    </row>
    <row r="177" spans="1:16" x14ac:dyDescent="0.35">
      <c r="A177" t="s">
        <v>374</v>
      </c>
      <c r="B177" s="3">
        <v>45652</v>
      </c>
      <c r="C177" t="s">
        <v>65</v>
      </c>
      <c r="D177" t="s">
        <v>57</v>
      </c>
      <c r="E177" t="s">
        <v>370</v>
      </c>
      <c r="F177" t="s">
        <v>53</v>
      </c>
      <c r="G177" t="s">
        <v>260</v>
      </c>
      <c r="H177">
        <v>11</v>
      </c>
      <c r="I177">
        <v>244.58</v>
      </c>
      <c r="J177">
        <v>0</v>
      </c>
      <c r="K177">
        <v>2690.38</v>
      </c>
      <c r="M177" t="str">
        <f t="shared" si="8"/>
        <v>Dec</v>
      </c>
      <c r="N177">
        <f t="shared" si="9"/>
        <v>12</v>
      </c>
      <c r="O177">
        <f t="shared" si="10"/>
        <v>2690.38</v>
      </c>
      <c r="P177" t="str">
        <f t="shared" si="11"/>
        <v>OK</v>
      </c>
    </row>
    <row r="178" spans="1:16" x14ac:dyDescent="0.35">
      <c r="A178" t="s">
        <v>376</v>
      </c>
      <c r="B178" s="3">
        <v>45492</v>
      </c>
      <c r="C178" t="s">
        <v>41</v>
      </c>
      <c r="D178" t="s">
        <v>42</v>
      </c>
      <c r="E178" t="s">
        <v>82</v>
      </c>
      <c r="F178" t="s">
        <v>44</v>
      </c>
      <c r="G178" t="s">
        <v>86</v>
      </c>
      <c r="H178">
        <v>3</v>
      </c>
      <c r="I178">
        <v>247.45</v>
      </c>
      <c r="J178">
        <v>0.1</v>
      </c>
      <c r="K178">
        <v>668.11</v>
      </c>
      <c r="M178" t="str">
        <f t="shared" si="8"/>
        <v>Jul</v>
      </c>
      <c r="N178">
        <f t="shared" si="9"/>
        <v>7</v>
      </c>
      <c r="O178">
        <f t="shared" si="10"/>
        <v>668.1149999999999</v>
      </c>
      <c r="P178" t="str">
        <f t="shared" si="11"/>
        <v>MISMATCH</v>
      </c>
    </row>
    <row r="179" spans="1:16" x14ac:dyDescent="0.35">
      <c r="A179" t="s">
        <v>378</v>
      </c>
      <c r="B179" s="3">
        <v>45444</v>
      </c>
      <c r="C179" t="s">
        <v>33</v>
      </c>
      <c r="D179" t="s">
        <v>42</v>
      </c>
      <c r="E179" t="s">
        <v>379</v>
      </c>
      <c r="F179" t="s">
        <v>44</v>
      </c>
      <c r="G179" t="s">
        <v>50</v>
      </c>
      <c r="H179">
        <v>1</v>
      </c>
      <c r="I179">
        <v>20.12</v>
      </c>
      <c r="J179">
        <v>0</v>
      </c>
      <c r="K179">
        <v>20.12</v>
      </c>
      <c r="M179" t="str">
        <f t="shared" si="8"/>
        <v>Jun</v>
      </c>
      <c r="N179">
        <f t="shared" si="9"/>
        <v>6</v>
      </c>
      <c r="O179">
        <f t="shared" si="10"/>
        <v>20.12</v>
      </c>
      <c r="P179" t="str">
        <f t="shared" si="11"/>
        <v>OK</v>
      </c>
    </row>
    <row r="180" spans="1:16" x14ac:dyDescent="0.35">
      <c r="A180" t="s">
        <v>380</v>
      </c>
      <c r="B180" s="3">
        <v>45364</v>
      </c>
      <c r="C180" t="s">
        <v>41</v>
      </c>
      <c r="D180" t="s">
        <v>13</v>
      </c>
      <c r="E180" t="s">
        <v>381</v>
      </c>
      <c r="F180" t="s">
        <v>44</v>
      </c>
      <c r="G180" t="s">
        <v>107</v>
      </c>
      <c r="H180">
        <v>8</v>
      </c>
      <c r="I180">
        <v>225.62</v>
      </c>
      <c r="J180">
        <v>0</v>
      </c>
      <c r="K180">
        <v>1804.96</v>
      </c>
      <c r="M180" t="str">
        <f t="shared" si="8"/>
        <v>Mar</v>
      </c>
      <c r="N180">
        <f t="shared" si="9"/>
        <v>3</v>
      </c>
      <c r="O180">
        <f t="shared" si="10"/>
        <v>1804.96</v>
      </c>
      <c r="P180" t="str">
        <f t="shared" si="11"/>
        <v>OK</v>
      </c>
    </row>
    <row r="181" spans="1:16" x14ac:dyDescent="0.35">
      <c r="A181" t="s">
        <v>382</v>
      </c>
      <c r="B181" s="3">
        <v>45293</v>
      </c>
      <c r="C181" t="s">
        <v>24</v>
      </c>
      <c r="D181" t="s">
        <v>42</v>
      </c>
      <c r="E181" t="s">
        <v>131</v>
      </c>
      <c r="F181" t="s">
        <v>15</v>
      </c>
      <c r="G181" t="s">
        <v>27</v>
      </c>
      <c r="H181">
        <v>5</v>
      </c>
      <c r="I181">
        <v>51.29</v>
      </c>
      <c r="J181">
        <v>0.05</v>
      </c>
      <c r="K181">
        <v>243.63</v>
      </c>
      <c r="M181" t="str">
        <f t="shared" si="8"/>
        <v>Jan</v>
      </c>
      <c r="N181">
        <f t="shared" si="9"/>
        <v>1</v>
      </c>
      <c r="O181">
        <f t="shared" si="10"/>
        <v>243.62749999999997</v>
      </c>
      <c r="P181" t="str">
        <f t="shared" si="11"/>
        <v>OK</v>
      </c>
    </row>
    <row r="182" spans="1:16" x14ac:dyDescent="0.35">
      <c r="A182" t="s">
        <v>383</v>
      </c>
      <c r="B182" s="3">
        <v>45412</v>
      </c>
      <c r="C182" t="s">
        <v>33</v>
      </c>
      <c r="D182" t="s">
        <v>25</v>
      </c>
      <c r="E182" t="s">
        <v>385</v>
      </c>
      <c r="F182" t="s">
        <v>21</v>
      </c>
      <c r="G182" t="s">
        <v>22</v>
      </c>
      <c r="H182">
        <v>4</v>
      </c>
      <c r="I182">
        <v>65.150000000000006</v>
      </c>
      <c r="J182">
        <v>0</v>
      </c>
      <c r="K182">
        <v>260.60000000000002</v>
      </c>
      <c r="M182" t="str">
        <f t="shared" si="8"/>
        <v>Apr</v>
      </c>
      <c r="N182">
        <f t="shared" si="9"/>
        <v>4</v>
      </c>
      <c r="O182">
        <f t="shared" si="10"/>
        <v>260.60000000000002</v>
      </c>
      <c r="P182" t="str">
        <f t="shared" si="11"/>
        <v>OK</v>
      </c>
    </row>
    <row r="183" spans="1:16" x14ac:dyDescent="0.35">
      <c r="A183" t="s">
        <v>386</v>
      </c>
      <c r="B183" s="3">
        <v>45504</v>
      </c>
      <c r="C183" t="s">
        <v>41</v>
      </c>
      <c r="D183" t="s">
        <v>57</v>
      </c>
      <c r="E183" t="s">
        <v>133</v>
      </c>
      <c r="F183" t="s">
        <v>21</v>
      </c>
      <c r="G183" t="s">
        <v>194</v>
      </c>
      <c r="H183">
        <v>8</v>
      </c>
      <c r="I183">
        <v>86.07</v>
      </c>
      <c r="J183">
        <v>0.05</v>
      </c>
      <c r="K183">
        <v>654.13</v>
      </c>
      <c r="M183" t="str">
        <f t="shared" si="8"/>
        <v>Jul</v>
      </c>
      <c r="N183">
        <f t="shared" si="9"/>
        <v>7</v>
      </c>
      <c r="O183">
        <f t="shared" si="10"/>
        <v>654.13199999999995</v>
      </c>
      <c r="P183" t="str">
        <f t="shared" si="11"/>
        <v>OK</v>
      </c>
    </row>
    <row r="184" spans="1:16" x14ac:dyDescent="0.35">
      <c r="A184" t="s">
        <v>387</v>
      </c>
      <c r="B184" s="3">
        <v>45547</v>
      </c>
      <c r="C184" t="s">
        <v>18</v>
      </c>
      <c r="D184" t="s">
        <v>25</v>
      </c>
      <c r="E184" t="s">
        <v>388</v>
      </c>
      <c r="F184" t="s">
        <v>53</v>
      </c>
      <c r="G184" t="s">
        <v>63</v>
      </c>
      <c r="H184">
        <v>10</v>
      </c>
      <c r="I184">
        <v>198.91</v>
      </c>
      <c r="J184">
        <v>0.15</v>
      </c>
      <c r="K184">
        <v>1690.73</v>
      </c>
      <c r="M184" t="str">
        <f t="shared" si="8"/>
        <v>Sep</v>
      </c>
      <c r="N184">
        <f t="shared" si="9"/>
        <v>9</v>
      </c>
      <c r="O184">
        <f t="shared" si="10"/>
        <v>1690.7349999999999</v>
      </c>
      <c r="P184" t="str">
        <f t="shared" si="11"/>
        <v>MISMATCH</v>
      </c>
    </row>
    <row r="185" spans="1:16" x14ac:dyDescent="0.35">
      <c r="A185" t="s">
        <v>389</v>
      </c>
      <c r="B185" s="3">
        <v>45321</v>
      </c>
      <c r="C185" t="s">
        <v>33</v>
      </c>
      <c r="D185" t="s">
        <v>13</v>
      </c>
      <c r="E185" t="s">
        <v>390</v>
      </c>
      <c r="F185" t="s">
        <v>44</v>
      </c>
      <c r="G185" t="s">
        <v>45</v>
      </c>
      <c r="H185">
        <v>8</v>
      </c>
      <c r="I185">
        <v>18.88</v>
      </c>
      <c r="J185">
        <v>0</v>
      </c>
      <c r="K185">
        <v>151.04</v>
      </c>
      <c r="M185" t="str">
        <f t="shared" si="8"/>
        <v>Jan</v>
      </c>
      <c r="N185">
        <f t="shared" si="9"/>
        <v>1</v>
      </c>
      <c r="O185">
        <f t="shared" si="10"/>
        <v>151.04</v>
      </c>
      <c r="P185" t="str">
        <f t="shared" si="11"/>
        <v>OK</v>
      </c>
    </row>
    <row r="186" spans="1:16" x14ac:dyDescent="0.35">
      <c r="A186" t="s">
        <v>391</v>
      </c>
      <c r="B186" s="3">
        <v>45376</v>
      </c>
      <c r="C186" t="s">
        <v>33</v>
      </c>
      <c r="D186" t="s">
        <v>19</v>
      </c>
      <c r="E186" t="s">
        <v>392</v>
      </c>
      <c r="F186" t="s">
        <v>44</v>
      </c>
      <c r="G186" t="s">
        <v>94</v>
      </c>
      <c r="H186">
        <v>8</v>
      </c>
      <c r="I186">
        <v>228.94</v>
      </c>
      <c r="J186">
        <v>0</v>
      </c>
      <c r="K186">
        <v>1831.52</v>
      </c>
      <c r="M186" t="str">
        <f t="shared" si="8"/>
        <v>Mar</v>
      </c>
      <c r="N186">
        <f t="shared" si="9"/>
        <v>3</v>
      </c>
      <c r="O186">
        <f t="shared" si="10"/>
        <v>1831.52</v>
      </c>
      <c r="P186" t="str">
        <f t="shared" si="11"/>
        <v>OK</v>
      </c>
    </row>
    <row r="187" spans="1:16" x14ac:dyDescent="0.35">
      <c r="A187" t="s">
        <v>393</v>
      </c>
      <c r="B187" s="3">
        <v>45614</v>
      </c>
      <c r="C187" t="s">
        <v>33</v>
      </c>
      <c r="D187" t="s">
        <v>25</v>
      </c>
      <c r="E187" t="s">
        <v>394</v>
      </c>
      <c r="F187" t="s">
        <v>44</v>
      </c>
      <c r="G187" t="s">
        <v>94</v>
      </c>
      <c r="H187">
        <v>5</v>
      </c>
      <c r="I187">
        <v>163.58000000000001</v>
      </c>
      <c r="J187">
        <v>0</v>
      </c>
      <c r="K187">
        <v>817.9</v>
      </c>
      <c r="M187" t="str">
        <f t="shared" si="8"/>
        <v>Nov</v>
      </c>
      <c r="N187">
        <f t="shared" si="9"/>
        <v>11</v>
      </c>
      <c r="O187">
        <f t="shared" si="10"/>
        <v>817.90000000000009</v>
      </c>
      <c r="P187" t="str">
        <f t="shared" si="11"/>
        <v>OK</v>
      </c>
    </row>
    <row r="188" spans="1:16" x14ac:dyDescent="0.35">
      <c r="A188" t="s">
        <v>395</v>
      </c>
      <c r="B188" s="3">
        <v>45491</v>
      </c>
      <c r="C188" t="s">
        <v>18</v>
      </c>
      <c r="D188" t="s">
        <v>57</v>
      </c>
      <c r="E188" t="s">
        <v>346</v>
      </c>
      <c r="F188" t="s">
        <v>15</v>
      </c>
      <c r="G188" t="s">
        <v>147</v>
      </c>
      <c r="H188">
        <v>11</v>
      </c>
      <c r="I188">
        <v>236.64</v>
      </c>
      <c r="J188">
        <v>0.05</v>
      </c>
      <c r="K188">
        <v>2472.89</v>
      </c>
      <c r="M188" t="str">
        <f t="shared" si="8"/>
        <v>Jul</v>
      </c>
      <c r="N188">
        <f t="shared" si="9"/>
        <v>7</v>
      </c>
      <c r="O188">
        <f t="shared" si="10"/>
        <v>2472.8879999999999</v>
      </c>
      <c r="P188" t="str">
        <f t="shared" si="11"/>
        <v>OK</v>
      </c>
    </row>
    <row r="189" spans="1:16" x14ac:dyDescent="0.35">
      <c r="A189" t="s">
        <v>396</v>
      </c>
      <c r="B189" s="3">
        <v>45490</v>
      </c>
      <c r="C189" t="s">
        <v>33</v>
      </c>
      <c r="D189" t="s">
        <v>57</v>
      </c>
      <c r="E189" t="s">
        <v>26</v>
      </c>
      <c r="F189" t="s">
        <v>21</v>
      </c>
      <c r="G189" t="s">
        <v>70</v>
      </c>
      <c r="H189">
        <v>7</v>
      </c>
      <c r="I189">
        <v>128.51</v>
      </c>
      <c r="J189">
        <v>0.05</v>
      </c>
      <c r="K189">
        <v>854.59</v>
      </c>
      <c r="M189" t="str">
        <f t="shared" si="8"/>
        <v>Jul</v>
      </c>
      <c r="N189">
        <f t="shared" si="9"/>
        <v>7</v>
      </c>
      <c r="O189">
        <f t="shared" si="10"/>
        <v>854.59149999999988</v>
      </c>
      <c r="P189" t="str">
        <f t="shared" si="11"/>
        <v>OK</v>
      </c>
    </row>
    <row r="190" spans="1:16" x14ac:dyDescent="0.35">
      <c r="A190" t="s">
        <v>397</v>
      </c>
      <c r="B190" s="3">
        <v>45483</v>
      </c>
      <c r="C190" t="s">
        <v>41</v>
      </c>
      <c r="D190" t="s">
        <v>25</v>
      </c>
      <c r="E190" t="s">
        <v>144</v>
      </c>
      <c r="F190" t="s">
        <v>53</v>
      </c>
      <c r="G190" t="s">
        <v>63</v>
      </c>
      <c r="H190">
        <v>6</v>
      </c>
      <c r="I190">
        <v>121.95</v>
      </c>
      <c r="J190">
        <v>0</v>
      </c>
      <c r="K190">
        <v>731.7</v>
      </c>
      <c r="M190" t="str">
        <f t="shared" si="8"/>
        <v>Jul</v>
      </c>
      <c r="N190">
        <f t="shared" si="9"/>
        <v>7</v>
      </c>
      <c r="O190">
        <f t="shared" si="10"/>
        <v>731.7</v>
      </c>
      <c r="P190" t="str">
        <f t="shared" si="11"/>
        <v>OK</v>
      </c>
    </row>
    <row r="191" spans="1:16" x14ac:dyDescent="0.35">
      <c r="A191" t="s">
        <v>398</v>
      </c>
      <c r="B191" s="3">
        <v>45365</v>
      </c>
      <c r="C191" t="s">
        <v>65</v>
      </c>
      <c r="D191" t="s">
        <v>19</v>
      </c>
      <c r="E191" t="s">
        <v>400</v>
      </c>
      <c r="F191" t="s">
        <v>44</v>
      </c>
      <c r="G191" t="s">
        <v>45</v>
      </c>
      <c r="H191">
        <v>5</v>
      </c>
      <c r="I191">
        <v>106.32</v>
      </c>
      <c r="J191">
        <v>0</v>
      </c>
      <c r="K191">
        <v>531.6</v>
      </c>
      <c r="M191" t="str">
        <f t="shared" si="8"/>
        <v>Mar</v>
      </c>
      <c r="N191">
        <f t="shared" si="9"/>
        <v>3</v>
      </c>
      <c r="O191">
        <f t="shared" si="10"/>
        <v>531.59999999999991</v>
      </c>
      <c r="P191" t="str">
        <f t="shared" si="11"/>
        <v>OK</v>
      </c>
    </row>
    <row r="192" spans="1:16" x14ac:dyDescent="0.35">
      <c r="A192" t="s">
        <v>401</v>
      </c>
      <c r="B192" s="3">
        <v>45621</v>
      </c>
      <c r="C192" t="s">
        <v>24</v>
      </c>
      <c r="D192" t="s">
        <v>42</v>
      </c>
      <c r="E192" t="s">
        <v>204</v>
      </c>
      <c r="F192" t="s">
        <v>44</v>
      </c>
      <c r="G192" t="s">
        <v>94</v>
      </c>
      <c r="H192">
        <v>3</v>
      </c>
      <c r="I192">
        <v>40</v>
      </c>
      <c r="J192">
        <v>0</v>
      </c>
      <c r="K192">
        <v>120</v>
      </c>
      <c r="M192" t="str">
        <f t="shared" si="8"/>
        <v>Nov</v>
      </c>
      <c r="N192">
        <f t="shared" si="9"/>
        <v>11</v>
      </c>
      <c r="O192">
        <f t="shared" si="10"/>
        <v>120</v>
      </c>
      <c r="P192" t="str">
        <f t="shared" si="11"/>
        <v>OK</v>
      </c>
    </row>
    <row r="193" spans="1:16" x14ac:dyDescent="0.35">
      <c r="A193" t="s">
        <v>402</v>
      </c>
      <c r="B193" s="3">
        <v>45643</v>
      </c>
      <c r="C193" t="s">
        <v>41</v>
      </c>
      <c r="D193" t="s">
        <v>57</v>
      </c>
      <c r="E193" t="s">
        <v>302</v>
      </c>
      <c r="F193" t="s">
        <v>35</v>
      </c>
      <c r="G193" t="s">
        <v>177</v>
      </c>
      <c r="H193">
        <v>11</v>
      </c>
      <c r="I193">
        <v>138.38999999999999</v>
      </c>
      <c r="J193">
        <v>0</v>
      </c>
      <c r="K193">
        <v>1522.29</v>
      </c>
      <c r="M193" t="str">
        <f t="shared" si="8"/>
        <v>Dec</v>
      </c>
      <c r="N193">
        <f t="shared" si="9"/>
        <v>12</v>
      </c>
      <c r="O193">
        <f t="shared" si="10"/>
        <v>1522.29</v>
      </c>
      <c r="P193" t="str">
        <f t="shared" si="11"/>
        <v>OK</v>
      </c>
    </row>
    <row r="194" spans="1:16" x14ac:dyDescent="0.35">
      <c r="A194" t="s">
        <v>403</v>
      </c>
      <c r="B194" s="3">
        <v>45389</v>
      </c>
      <c r="C194" t="s">
        <v>65</v>
      </c>
      <c r="D194" t="s">
        <v>13</v>
      </c>
      <c r="E194" t="s">
        <v>404</v>
      </c>
      <c r="F194" t="s">
        <v>35</v>
      </c>
      <c r="G194" t="s">
        <v>177</v>
      </c>
      <c r="H194">
        <v>8</v>
      </c>
      <c r="I194">
        <v>75.55</v>
      </c>
      <c r="J194">
        <v>0.05</v>
      </c>
      <c r="K194">
        <v>574.17999999999995</v>
      </c>
      <c r="M194" t="str">
        <f t="shared" si="8"/>
        <v>Apr</v>
      </c>
      <c r="N194">
        <f t="shared" si="9"/>
        <v>4</v>
      </c>
      <c r="O194">
        <f t="shared" si="10"/>
        <v>574.17999999999995</v>
      </c>
      <c r="P194" t="str">
        <f t="shared" si="11"/>
        <v>OK</v>
      </c>
    </row>
    <row r="195" spans="1:16" x14ac:dyDescent="0.35">
      <c r="A195" t="s">
        <v>405</v>
      </c>
      <c r="B195" s="3">
        <v>45508</v>
      </c>
      <c r="C195" t="s">
        <v>33</v>
      </c>
      <c r="D195" t="s">
        <v>19</v>
      </c>
      <c r="E195" t="s">
        <v>278</v>
      </c>
      <c r="F195" t="s">
        <v>44</v>
      </c>
      <c r="G195" t="s">
        <v>45</v>
      </c>
      <c r="H195">
        <v>6</v>
      </c>
      <c r="I195">
        <v>184.34</v>
      </c>
      <c r="J195">
        <v>0</v>
      </c>
      <c r="K195">
        <v>1106.04</v>
      </c>
      <c r="M195" t="str">
        <f t="shared" ref="M195:M258" si="12">TEXT(B195,"mmm")</f>
        <v>Aug</v>
      </c>
      <c r="N195">
        <f t="shared" ref="N195:N258" si="13">MONTH(B195)</f>
        <v>8</v>
      </c>
      <c r="O195">
        <f t="shared" ref="O195:O258" si="14">H195*I195*(1-J195)</f>
        <v>1106.04</v>
      </c>
      <c r="P195" t="str">
        <f t="shared" ref="P195:P258" si="15">IF(ROUND(K195,2)=ROUND(O195,2),"OK","MISMATCH")</f>
        <v>OK</v>
      </c>
    </row>
    <row r="196" spans="1:16" x14ac:dyDescent="0.35">
      <c r="A196" t="s">
        <v>406</v>
      </c>
      <c r="B196" s="3">
        <v>45541</v>
      </c>
      <c r="C196" t="s">
        <v>33</v>
      </c>
      <c r="D196" t="s">
        <v>42</v>
      </c>
      <c r="E196" t="s">
        <v>407</v>
      </c>
      <c r="F196" t="s">
        <v>44</v>
      </c>
      <c r="G196" t="s">
        <v>45</v>
      </c>
      <c r="H196">
        <v>12</v>
      </c>
      <c r="I196">
        <v>105.64</v>
      </c>
      <c r="J196">
        <v>0.15</v>
      </c>
      <c r="K196">
        <v>1077.53</v>
      </c>
      <c r="M196" t="str">
        <f t="shared" si="12"/>
        <v>Sep</v>
      </c>
      <c r="N196">
        <f t="shared" si="13"/>
        <v>9</v>
      </c>
      <c r="O196">
        <f t="shared" si="14"/>
        <v>1077.528</v>
      </c>
      <c r="P196" t="str">
        <f t="shared" si="15"/>
        <v>OK</v>
      </c>
    </row>
    <row r="197" spans="1:16" x14ac:dyDescent="0.35">
      <c r="A197" t="s">
        <v>408</v>
      </c>
      <c r="B197" s="3">
        <v>45396</v>
      </c>
      <c r="C197" t="s">
        <v>24</v>
      </c>
      <c r="D197" t="s">
        <v>19</v>
      </c>
      <c r="E197" t="s">
        <v>330</v>
      </c>
      <c r="F197" t="s">
        <v>53</v>
      </c>
      <c r="G197" t="s">
        <v>63</v>
      </c>
      <c r="H197">
        <v>5</v>
      </c>
      <c r="I197">
        <v>32.049999999999997</v>
      </c>
      <c r="J197">
        <v>0</v>
      </c>
      <c r="K197">
        <v>160.25</v>
      </c>
      <c r="M197" t="str">
        <f t="shared" si="12"/>
        <v>Apr</v>
      </c>
      <c r="N197">
        <f t="shared" si="13"/>
        <v>4</v>
      </c>
      <c r="O197">
        <f t="shared" si="14"/>
        <v>160.25</v>
      </c>
      <c r="P197" t="str">
        <f t="shared" si="15"/>
        <v>OK</v>
      </c>
    </row>
    <row r="198" spans="1:16" x14ac:dyDescent="0.35">
      <c r="A198" t="s">
        <v>409</v>
      </c>
      <c r="B198" s="3">
        <v>45329</v>
      </c>
      <c r="C198" t="s">
        <v>65</v>
      </c>
      <c r="D198" t="s">
        <v>19</v>
      </c>
      <c r="E198" t="s">
        <v>315</v>
      </c>
      <c r="F198" t="s">
        <v>21</v>
      </c>
      <c r="G198" t="s">
        <v>194</v>
      </c>
      <c r="H198">
        <v>1</v>
      </c>
      <c r="I198">
        <v>141.46</v>
      </c>
      <c r="J198">
        <v>0</v>
      </c>
      <c r="K198">
        <v>141.46</v>
      </c>
      <c r="M198" t="str">
        <f t="shared" si="12"/>
        <v>Feb</v>
      </c>
      <c r="N198">
        <f t="shared" si="13"/>
        <v>2</v>
      </c>
      <c r="O198">
        <f t="shared" si="14"/>
        <v>141.46</v>
      </c>
      <c r="P198" t="str">
        <f t="shared" si="15"/>
        <v>OK</v>
      </c>
    </row>
    <row r="199" spans="1:16" x14ac:dyDescent="0.35">
      <c r="A199" t="s">
        <v>410</v>
      </c>
      <c r="B199" s="3">
        <v>45460</v>
      </c>
      <c r="C199" t="s">
        <v>41</v>
      </c>
      <c r="D199" t="s">
        <v>13</v>
      </c>
      <c r="E199" t="s">
        <v>288</v>
      </c>
      <c r="F199" t="s">
        <v>35</v>
      </c>
      <c r="G199" t="s">
        <v>36</v>
      </c>
      <c r="H199">
        <v>11</v>
      </c>
      <c r="I199">
        <v>20.399999999999999</v>
      </c>
      <c r="J199">
        <v>0</v>
      </c>
      <c r="K199">
        <v>224.4</v>
      </c>
      <c r="M199" t="str">
        <f t="shared" si="12"/>
        <v>Jun</v>
      </c>
      <c r="N199">
        <f t="shared" si="13"/>
        <v>6</v>
      </c>
      <c r="O199">
        <f t="shared" si="14"/>
        <v>224.39999999999998</v>
      </c>
      <c r="P199" t="str">
        <f t="shared" si="15"/>
        <v>OK</v>
      </c>
    </row>
    <row r="200" spans="1:16" x14ac:dyDescent="0.35">
      <c r="A200" t="s">
        <v>411</v>
      </c>
      <c r="B200" s="3">
        <v>45515</v>
      </c>
      <c r="C200" t="s">
        <v>65</v>
      </c>
      <c r="D200" t="s">
        <v>2216</v>
      </c>
      <c r="E200" t="s">
        <v>412</v>
      </c>
      <c r="F200" t="s">
        <v>15</v>
      </c>
      <c r="G200" t="s">
        <v>147</v>
      </c>
      <c r="H200">
        <v>8</v>
      </c>
      <c r="I200">
        <v>176.57</v>
      </c>
      <c r="J200">
        <v>0.15</v>
      </c>
      <c r="K200">
        <v>1200.68</v>
      </c>
      <c r="M200" t="str">
        <f t="shared" si="12"/>
        <v>Aug</v>
      </c>
      <c r="N200">
        <f t="shared" si="13"/>
        <v>8</v>
      </c>
      <c r="O200">
        <f t="shared" si="14"/>
        <v>1200.6759999999999</v>
      </c>
      <c r="P200" t="str">
        <f t="shared" si="15"/>
        <v>OK</v>
      </c>
    </row>
    <row r="201" spans="1:16" x14ac:dyDescent="0.35">
      <c r="A201" t="s">
        <v>413</v>
      </c>
      <c r="B201" s="3">
        <v>45611</v>
      </c>
      <c r="C201" t="s">
        <v>65</v>
      </c>
      <c r="D201" t="s">
        <v>19</v>
      </c>
      <c r="E201" t="s">
        <v>388</v>
      </c>
      <c r="F201" t="s">
        <v>44</v>
      </c>
      <c r="G201" t="s">
        <v>107</v>
      </c>
      <c r="H201">
        <v>10</v>
      </c>
      <c r="I201">
        <v>98.32</v>
      </c>
      <c r="J201">
        <v>0.1</v>
      </c>
      <c r="K201">
        <v>884.88</v>
      </c>
      <c r="M201" t="str">
        <f t="shared" si="12"/>
        <v>Nov</v>
      </c>
      <c r="N201">
        <f t="shared" si="13"/>
        <v>11</v>
      </c>
      <c r="O201">
        <f t="shared" si="14"/>
        <v>884.88</v>
      </c>
      <c r="P201" t="str">
        <f t="shared" si="15"/>
        <v>OK</v>
      </c>
    </row>
    <row r="202" spans="1:16" x14ac:dyDescent="0.35">
      <c r="A202" t="s">
        <v>414</v>
      </c>
      <c r="B202" s="3">
        <v>45525</v>
      </c>
      <c r="C202" t="s">
        <v>65</v>
      </c>
      <c r="D202" t="s">
        <v>42</v>
      </c>
      <c r="E202" t="s">
        <v>415</v>
      </c>
      <c r="F202" t="s">
        <v>35</v>
      </c>
      <c r="G202" t="s">
        <v>36</v>
      </c>
      <c r="H202">
        <v>7</v>
      </c>
      <c r="I202">
        <v>248</v>
      </c>
      <c r="J202">
        <v>0</v>
      </c>
      <c r="K202">
        <v>1736</v>
      </c>
      <c r="M202" t="str">
        <f t="shared" si="12"/>
        <v>Aug</v>
      </c>
      <c r="N202">
        <f t="shared" si="13"/>
        <v>8</v>
      </c>
      <c r="O202">
        <f t="shared" si="14"/>
        <v>1736</v>
      </c>
      <c r="P202" t="str">
        <f t="shared" si="15"/>
        <v>OK</v>
      </c>
    </row>
    <row r="203" spans="1:16" x14ac:dyDescent="0.35">
      <c r="A203" t="s">
        <v>416</v>
      </c>
      <c r="B203" s="3">
        <v>45506</v>
      </c>
      <c r="C203" t="s">
        <v>24</v>
      </c>
      <c r="D203" t="s">
        <v>19</v>
      </c>
      <c r="E203" t="s">
        <v>212</v>
      </c>
      <c r="F203" t="s">
        <v>21</v>
      </c>
      <c r="G203" t="s">
        <v>22</v>
      </c>
      <c r="H203">
        <v>6</v>
      </c>
      <c r="I203">
        <v>121.76</v>
      </c>
      <c r="J203">
        <v>0</v>
      </c>
      <c r="K203">
        <v>730.56</v>
      </c>
      <c r="M203" t="str">
        <f t="shared" si="12"/>
        <v>Aug</v>
      </c>
      <c r="N203">
        <f t="shared" si="13"/>
        <v>8</v>
      </c>
      <c r="O203">
        <f t="shared" si="14"/>
        <v>730.56000000000006</v>
      </c>
      <c r="P203" t="str">
        <f t="shared" si="15"/>
        <v>OK</v>
      </c>
    </row>
    <row r="204" spans="1:16" x14ac:dyDescent="0.35">
      <c r="A204" t="s">
        <v>417</v>
      </c>
      <c r="B204" s="3">
        <v>45329</v>
      </c>
      <c r="C204" t="s">
        <v>24</v>
      </c>
      <c r="D204" t="s">
        <v>25</v>
      </c>
      <c r="E204" t="s">
        <v>418</v>
      </c>
      <c r="F204" t="s">
        <v>53</v>
      </c>
      <c r="G204" t="s">
        <v>59</v>
      </c>
      <c r="H204">
        <v>2</v>
      </c>
      <c r="I204">
        <v>243.63</v>
      </c>
      <c r="J204">
        <v>0</v>
      </c>
      <c r="K204">
        <v>487.26</v>
      </c>
      <c r="M204" t="str">
        <f t="shared" si="12"/>
        <v>Feb</v>
      </c>
      <c r="N204">
        <f t="shared" si="13"/>
        <v>2</v>
      </c>
      <c r="O204">
        <f t="shared" si="14"/>
        <v>487.26</v>
      </c>
      <c r="P204" t="str">
        <f t="shared" si="15"/>
        <v>OK</v>
      </c>
    </row>
    <row r="205" spans="1:16" x14ac:dyDescent="0.35">
      <c r="A205" t="s">
        <v>419</v>
      </c>
      <c r="B205" s="3">
        <v>45306</v>
      </c>
      <c r="C205" t="s">
        <v>24</v>
      </c>
      <c r="D205" t="s">
        <v>13</v>
      </c>
      <c r="E205" t="s">
        <v>420</v>
      </c>
      <c r="F205" t="s">
        <v>44</v>
      </c>
      <c r="G205" t="s">
        <v>94</v>
      </c>
      <c r="H205">
        <v>10</v>
      </c>
      <c r="I205">
        <v>182.82</v>
      </c>
      <c r="J205">
        <v>0.05</v>
      </c>
      <c r="K205">
        <v>1736.79</v>
      </c>
      <c r="M205" t="str">
        <f t="shared" si="12"/>
        <v>Jan</v>
      </c>
      <c r="N205">
        <f t="shared" si="13"/>
        <v>1</v>
      </c>
      <c r="O205">
        <f t="shared" si="14"/>
        <v>1736.7899999999997</v>
      </c>
      <c r="P205" t="str">
        <f t="shared" si="15"/>
        <v>OK</v>
      </c>
    </row>
    <row r="206" spans="1:16" x14ac:dyDescent="0.35">
      <c r="A206" t="s">
        <v>421</v>
      </c>
      <c r="B206" s="3">
        <v>45314</v>
      </c>
      <c r="C206" t="s">
        <v>41</v>
      </c>
      <c r="D206" t="s">
        <v>13</v>
      </c>
      <c r="E206" t="s">
        <v>368</v>
      </c>
      <c r="F206" t="s">
        <v>35</v>
      </c>
      <c r="G206" t="s">
        <v>36</v>
      </c>
      <c r="H206">
        <v>7</v>
      </c>
      <c r="I206">
        <v>118.28</v>
      </c>
      <c r="J206">
        <v>0.1</v>
      </c>
      <c r="K206">
        <v>745.16</v>
      </c>
      <c r="M206" t="str">
        <f t="shared" si="12"/>
        <v>Jan</v>
      </c>
      <c r="N206">
        <f t="shared" si="13"/>
        <v>1</v>
      </c>
      <c r="O206">
        <f t="shared" si="14"/>
        <v>745.1640000000001</v>
      </c>
      <c r="P206" t="str">
        <f t="shared" si="15"/>
        <v>OK</v>
      </c>
    </row>
    <row r="207" spans="1:16" x14ac:dyDescent="0.35">
      <c r="A207" t="s">
        <v>422</v>
      </c>
      <c r="B207" s="3">
        <v>45442</v>
      </c>
      <c r="C207" t="s">
        <v>24</v>
      </c>
      <c r="D207" t="s">
        <v>57</v>
      </c>
      <c r="E207" t="s">
        <v>77</v>
      </c>
      <c r="F207" t="s">
        <v>21</v>
      </c>
      <c r="G207" t="s">
        <v>129</v>
      </c>
      <c r="H207">
        <v>6</v>
      </c>
      <c r="I207">
        <v>110.7</v>
      </c>
      <c r="J207">
        <v>0</v>
      </c>
      <c r="K207">
        <v>664.2</v>
      </c>
      <c r="M207" t="str">
        <f t="shared" si="12"/>
        <v>May</v>
      </c>
      <c r="N207">
        <f t="shared" si="13"/>
        <v>5</v>
      </c>
      <c r="O207">
        <f t="shared" si="14"/>
        <v>664.2</v>
      </c>
      <c r="P207" t="str">
        <f t="shared" si="15"/>
        <v>OK</v>
      </c>
    </row>
    <row r="208" spans="1:16" x14ac:dyDescent="0.35">
      <c r="A208" t="s">
        <v>424</v>
      </c>
      <c r="B208" s="3">
        <v>45548</v>
      </c>
      <c r="C208" t="s">
        <v>24</v>
      </c>
      <c r="D208" t="s">
        <v>25</v>
      </c>
      <c r="E208" t="s">
        <v>332</v>
      </c>
      <c r="F208" t="s">
        <v>35</v>
      </c>
      <c r="G208" t="s">
        <v>67</v>
      </c>
      <c r="H208">
        <v>10</v>
      </c>
      <c r="I208">
        <v>132.88</v>
      </c>
      <c r="J208">
        <v>0.1</v>
      </c>
      <c r="K208">
        <v>1195.92</v>
      </c>
      <c r="M208" t="str">
        <f t="shared" si="12"/>
        <v>Sep</v>
      </c>
      <c r="N208">
        <f t="shared" si="13"/>
        <v>9</v>
      </c>
      <c r="O208">
        <f t="shared" si="14"/>
        <v>1195.92</v>
      </c>
      <c r="P208" t="str">
        <f t="shared" si="15"/>
        <v>OK</v>
      </c>
    </row>
    <row r="209" spans="1:16" x14ac:dyDescent="0.35">
      <c r="A209" t="s">
        <v>425</v>
      </c>
      <c r="B209" s="3">
        <v>45389</v>
      </c>
      <c r="C209" t="s">
        <v>41</v>
      </c>
      <c r="D209" t="s">
        <v>25</v>
      </c>
      <c r="E209" t="s">
        <v>426</v>
      </c>
      <c r="F209" t="s">
        <v>44</v>
      </c>
      <c r="G209" t="s">
        <v>94</v>
      </c>
      <c r="H209">
        <v>7</v>
      </c>
      <c r="I209">
        <v>64.13</v>
      </c>
      <c r="J209">
        <v>0.05</v>
      </c>
      <c r="K209">
        <v>426.46</v>
      </c>
      <c r="M209" t="str">
        <f t="shared" si="12"/>
        <v>Apr</v>
      </c>
      <c r="N209">
        <f t="shared" si="13"/>
        <v>4</v>
      </c>
      <c r="O209">
        <f t="shared" si="14"/>
        <v>426.46449999999993</v>
      </c>
      <c r="P209" t="str">
        <f t="shared" si="15"/>
        <v>OK</v>
      </c>
    </row>
    <row r="210" spans="1:16" x14ac:dyDescent="0.35">
      <c r="A210" t="s">
        <v>427</v>
      </c>
      <c r="B210" s="3">
        <v>45488</v>
      </c>
      <c r="C210" t="s">
        <v>18</v>
      </c>
      <c r="D210" t="s">
        <v>25</v>
      </c>
      <c r="E210" t="s">
        <v>296</v>
      </c>
      <c r="F210" t="s">
        <v>15</v>
      </c>
      <c r="G210" t="s">
        <v>27</v>
      </c>
      <c r="H210">
        <v>7</v>
      </c>
      <c r="I210">
        <v>9.6199999999999992</v>
      </c>
      <c r="J210">
        <v>0.05</v>
      </c>
      <c r="K210">
        <v>63.97</v>
      </c>
      <c r="M210" t="str">
        <f t="shared" si="12"/>
        <v>Jul</v>
      </c>
      <c r="N210">
        <f t="shared" si="13"/>
        <v>7</v>
      </c>
      <c r="O210">
        <f t="shared" si="14"/>
        <v>63.972999999999985</v>
      </c>
      <c r="P210" t="str">
        <f t="shared" si="15"/>
        <v>OK</v>
      </c>
    </row>
    <row r="211" spans="1:16" x14ac:dyDescent="0.35">
      <c r="A211" t="s">
        <v>428</v>
      </c>
      <c r="B211" s="3">
        <v>45581</v>
      </c>
      <c r="C211" t="s">
        <v>24</v>
      </c>
      <c r="D211" t="s">
        <v>25</v>
      </c>
      <c r="E211" t="s">
        <v>429</v>
      </c>
      <c r="F211" t="s">
        <v>15</v>
      </c>
      <c r="G211" t="s">
        <v>111</v>
      </c>
      <c r="H211">
        <v>8</v>
      </c>
      <c r="I211">
        <v>28.54</v>
      </c>
      <c r="J211">
        <v>0.1</v>
      </c>
      <c r="K211">
        <v>205.49</v>
      </c>
      <c r="M211" t="str">
        <f t="shared" si="12"/>
        <v>Oct</v>
      </c>
      <c r="N211">
        <f t="shared" si="13"/>
        <v>10</v>
      </c>
      <c r="O211">
        <f t="shared" si="14"/>
        <v>205.488</v>
      </c>
      <c r="P211" t="str">
        <f t="shared" si="15"/>
        <v>OK</v>
      </c>
    </row>
    <row r="212" spans="1:16" x14ac:dyDescent="0.35">
      <c r="A212" t="s">
        <v>430</v>
      </c>
      <c r="B212" s="3">
        <v>45432</v>
      </c>
      <c r="C212" t="s">
        <v>33</v>
      </c>
      <c r="D212" t="s">
        <v>57</v>
      </c>
      <c r="E212" t="s">
        <v>431</v>
      </c>
      <c r="F212" t="s">
        <v>53</v>
      </c>
      <c r="G212" t="s">
        <v>63</v>
      </c>
      <c r="H212">
        <v>4</v>
      </c>
      <c r="I212">
        <v>16.12</v>
      </c>
      <c r="J212">
        <v>0</v>
      </c>
      <c r="K212">
        <v>64.48</v>
      </c>
      <c r="M212" t="str">
        <f t="shared" si="12"/>
        <v>May</v>
      </c>
      <c r="N212">
        <f t="shared" si="13"/>
        <v>5</v>
      </c>
      <c r="O212">
        <f t="shared" si="14"/>
        <v>64.48</v>
      </c>
      <c r="P212" t="str">
        <f t="shared" si="15"/>
        <v>OK</v>
      </c>
    </row>
    <row r="213" spans="1:16" x14ac:dyDescent="0.35">
      <c r="A213" t="s">
        <v>432</v>
      </c>
      <c r="B213" s="3">
        <v>45317</v>
      </c>
      <c r="C213" t="s">
        <v>41</v>
      </c>
      <c r="D213" t="s">
        <v>57</v>
      </c>
      <c r="E213" t="s">
        <v>433</v>
      </c>
      <c r="F213" t="s">
        <v>44</v>
      </c>
      <c r="G213" t="s">
        <v>45</v>
      </c>
      <c r="H213">
        <v>3</v>
      </c>
      <c r="I213">
        <v>107.15</v>
      </c>
      <c r="J213">
        <v>0</v>
      </c>
      <c r="K213">
        <v>321.45</v>
      </c>
      <c r="M213" t="str">
        <f t="shared" si="12"/>
        <v>Jan</v>
      </c>
      <c r="N213">
        <f t="shared" si="13"/>
        <v>1</v>
      </c>
      <c r="O213">
        <f t="shared" si="14"/>
        <v>321.45000000000005</v>
      </c>
      <c r="P213" t="str">
        <f t="shared" si="15"/>
        <v>OK</v>
      </c>
    </row>
    <row r="214" spans="1:16" x14ac:dyDescent="0.35">
      <c r="A214" t="s">
        <v>434</v>
      </c>
      <c r="B214" s="3">
        <v>45617</v>
      </c>
      <c r="C214" t="s">
        <v>33</v>
      </c>
      <c r="D214" t="s">
        <v>2216</v>
      </c>
      <c r="E214" t="s">
        <v>336</v>
      </c>
      <c r="F214" t="s">
        <v>15</v>
      </c>
      <c r="G214" t="s">
        <v>16</v>
      </c>
      <c r="H214">
        <v>7</v>
      </c>
      <c r="I214">
        <v>237.13</v>
      </c>
      <c r="J214">
        <v>0</v>
      </c>
      <c r="K214">
        <v>1659.91</v>
      </c>
      <c r="M214" t="str">
        <f t="shared" si="12"/>
        <v>Nov</v>
      </c>
      <c r="N214">
        <f t="shared" si="13"/>
        <v>11</v>
      </c>
      <c r="O214">
        <f t="shared" si="14"/>
        <v>1659.9099999999999</v>
      </c>
      <c r="P214" t="str">
        <f t="shared" si="15"/>
        <v>OK</v>
      </c>
    </row>
    <row r="215" spans="1:16" x14ac:dyDescent="0.35">
      <c r="A215" t="s">
        <v>435</v>
      </c>
      <c r="B215" s="3">
        <v>45643</v>
      </c>
      <c r="C215" t="s">
        <v>18</v>
      </c>
      <c r="D215" t="s">
        <v>42</v>
      </c>
      <c r="E215" t="s">
        <v>274</v>
      </c>
      <c r="F215" t="s">
        <v>53</v>
      </c>
      <c r="G215" t="s">
        <v>54</v>
      </c>
      <c r="H215">
        <v>11</v>
      </c>
      <c r="I215">
        <v>174.12</v>
      </c>
      <c r="J215">
        <v>0</v>
      </c>
      <c r="K215">
        <v>1915.32</v>
      </c>
      <c r="M215" t="str">
        <f t="shared" si="12"/>
        <v>Dec</v>
      </c>
      <c r="N215">
        <f t="shared" si="13"/>
        <v>12</v>
      </c>
      <c r="O215">
        <f t="shared" si="14"/>
        <v>1915.3200000000002</v>
      </c>
      <c r="P215" t="str">
        <f t="shared" si="15"/>
        <v>OK</v>
      </c>
    </row>
    <row r="216" spans="1:16" x14ac:dyDescent="0.35">
      <c r="A216" t="s">
        <v>436</v>
      </c>
      <c r="B216" s="3">
        <v>45635</v>
      </c>
      <c r="C216" t="s">
        <v>24</v>
      </c>
      <c r="D216" t="s">
        <v>25</v>
      </c>
      <c r="E216" t="s">
        <v>437</v>
      </c>
      <c r="F216" t="s">
        <v>44</v>
      </c>
      <c r="G216" t="s">
        <v>107</v>
      </c>
      <c r="H216">
        <v>1</v>
      </c>
      <c r="I216">
        <v>167.82</v>
      </c>
      <c r="J216">
        <v>0</v>
      </c>
      <c r="K216">
        <v>167.82</v>
      </c>
      <c r="M216" t="str">
        <f t="shared" si="12"/>
        <v>Dec</v>
      </c>
      <c r="N216">
        <f t="shared" si="13"/>
        <v>12</v>
      </c>
      <c r="O216">
        <f t="shared" si="14"/>
        <v>167.82</v>
      </c>
      <c r="P216" t="str">
        <f t="shared" si="15"/>
        <v>OK</v>
      </c>
    </row>
    <row r="217" spans="1:16" x14ac:dyDescent="0.35">
      <c r="A217" t="s">
        <v>438</v>
      </c>
      <c r="B217" s="3">
        <v>45615</v>
      </c>
      <c r="C217" t="s">
        <v>24</v>
      </c>
      <c r="D217" t="s">
        <v>42</v>
      </c>
      <c r="E217" t="s">
        <v>439</v>
      </c>
      <c r="F217" t="s">
        <v>21</v>
      </c>
      <c r="G217" t="s">
        <v>22</v>
      </c>
      <c r="H217">
        <v>11</v>
      </c>
      <c r="I217">
        <v>220.47</v>
      </c>
      <c r="J217">
        <v>0.05</v>
      </c>
      <c r="K217">
        <v>2303.91</v>
      </c>
      <c r="M217" t="str">
        <f t="shared" si="12"/>
        <v>Nov</v>
      </c>
      <c r="N217">
        <f t="shared" si="13"/>
        <v>11</v>
      </c>
      <c r="O217">
        <f t="shared" si="14"/>
        <v>2303.9115000000002</v>
      </c>
      <c r="P217" t="str">
        <f t="shared" si="15"/>
        <v>OK</v>
      </c>
    </row>
    <row r="218" spans="1:16" x14ac:dyDescent="0.35">
      <c r="A218" t="s">
        <v>440</v>
      </c>
      <c r="B218" s="3">
        <v>45557</v>
      </c>
      <c r="C218" t="s">
        <v>24</v>
      </c>
      <c r="D218" t="s">
        <v>57</v>
      </c>
      <c r="E218" t="s">
        <v>259</v>
      </c>
      <c r="F218" t="s">
        <v>35</v>
      </c>
      <c r="G218" t="s">
        <v>36</v>
      </c>
      <c r="H218">
        <v>8</v>
      </c>
      <c r="I218">
        <v>166.49</v>
      </c>
      <c r="J218">
        <v>0</v>
      </c>
      <c r="K218">
        <v>1331.92</v>
      </c>
      <c r="M218" t="str">
        <f t="shared" si="12"/>
        <v>Sep</v>
      </c>
      <c r="N218">
        <f t="shared" si="13"/>
        <v>9</v>
      </c>
      <c r="O218">
        <f t="shared" si="14"/>
        <v>1331.92</v>
      </c>
      <c r="P218" t="str">
        <f t="shared" si="15"/>
        <v>OK</v>
      </c>
    </row>
    <row r="219" spans="1:16" x14ac:dyDescent="0.35">
      <c r="A219" t="s">
        <v>441</v>
      </c>
      <c r="B219" s="3">
        <v>45443</v>
      </c>
      <c r="C219" t="s">
        <v>65</v>
      </c>
      <c r="D219" t="s">
        <v>13</v>
      </c>
      <c r="E219" t="s">
        <v>360</v>
      </c>
      <c r="F219" t="s">
        <v>35</v>
      </c>
      <c r="G219" t="s">
        <v>36</v>
      </c>
      <c r="H219">
        <v>10</v>
      </c>
      <c r="I219">
        <v>21.7</v>
      </c>
      <c r="J219">
        <v>0</v>
      </c>
      <c r="K219">
        <v>217</v>
      </c>
      <c r="M219" t="str">
        <f t="shared" si="12"/>
        <v>May</v>
      </c>
      <c r="N219">
        <f t="shared" si="13"/>
        <v>5</v>
      </c>
      <c r="O219">
        <f t="shared" si="14"/>
        <v>217</v>
      </c>
      <c r="P219" t="str">
        <f t="shared" si="15"/>
        <v>OK</v>
      </c>
    </row>
    <row r="220" spans="1:16" x14ac:dyDescent="0.35">
      <c r="A220" t="s">
        <v>443</v>
      </c>
      <c r="B220" s="3">
        <v>45325</v>
      </c>
      <c r="C220" t="s">
        <v>18</v>
      </c>
      <c r="D220" t="s">
        <v>19</v>
      </c>
      <c r="E220" t="s">
        <v>133</v>
      </c>
      <c r="F220" t="s">
        <v>15</v>
      </c>
      <c r="G220" t="s">
        <v>74</v>
      </c>
      <c r="H220">
        <v>6</v>
      </c>
      <c r="I220">
        <v>157.69</v>
      </c>
      <c r="J220">
        <v>0.1</v>
      </c>
      <c r="K220">
        <v>851.53</v>
      </c>
      <c r="M220" t="str">
        <f t="shared" si="12"/>
        <v>Feb</v>
      </c>
      <c r="N220">
        <f t="shared" si="13"/>
        <v>2</v>
      </c>
      <c r="O220">
        <f t="shared" si="14"/>
        <v>851.52599999999995</v>
      </c>
      <c r="P220" t="str">
        <f t="shared" si="15"/>
        <v>OK</v>
      </c>
    </row>
    <row r="221" spans="1:16" x14ac:dyDescent="0.35">
      <c r="A221" t="s">
        <v>444</v>
      </c>
      <c r="B221" s="3">
        <v>45314</v>
      </c>
      <c r="C221" t="s">
        <v>41</v>
      </c>
      <c r="D221" t="s">
        <v>42</v>
      </c>
      <c r="E221" t="s">
        <v>445</v>
      </c>
      <c r="F221" t="s">
        <v>44</v>
      </c>
      <c r="G221" t="s">
        <v>45</v>
      </c>
      <c r="H221">
        <v>7</v>
      </c>
      <c r="I221">
        <v>86.49</v>
      </c>
      <c r="J221">
        <v>0.1</v>
      </c>
      <c r="K221">
        <v>544.89</v>
      </c>
      <c r="M221" t="str">
        <f t="shared" si="12"/>
        <v>Jan</v>
      </c>
      <c r="N221">
        <f t="shared" si="13"/>
        <v>1</v>
      </c>
      <c r="O221">
        <f t="shared" si="14"/>
        <v>544.88699999999994</v>
      </c>
      <c r="P221" t="str">
        <f t="shared" si="15"/>
        <v>OK</v>
      </c>
    </row>
    <row r="222" spans="1:16" x14ac:dyDescent="0.35">
      <c r="A222" t="s">
        <v>446</v>
      </c>
      <c r="B222" s="3">
        <v>45533</v>
      </c>
      <c r="C222" t="s">
        <v>24</v>
      </c>
      <c r="D222" t="s">
        <v>57</v>
      </c>
      <c r="E222" t="s">
        <v>241</v>
      </c>
      <c r="F222" t="s">
        <v>53</v>
      </c>
      <c r="G222" t="s">
        <v>260</v>
      </c>
      <c r="H222">
        <v>11</v>
      </c>
      <c r="I222">
        <v>64.459999999999994</v>
      </c>
      <c r="J222">
        <v>0</v>
      </c>
      <c r="K222">
        <v>709.06</v>
      </c>
      <c r="M222" t="str">
        <f t="shared" si="12"/>
        <v>Aug</v>
      </c>
      <c r="N222">
        <f t="shared" si="13"/>
        <v>8</v>
      </c>
      <c r="O222">
        <f t="shared" si="14"/>
        <v>709.06</v>
      </c>
      <c r="P222" t="str">
        <f t="shared" si="15"/>
        <v>OK</v>
      </c>
    </row>
    <row r="223" spans="1:16" x14ac:dyDescent="0.35">
      <c r="A223" t="s">
        <v>447</v>
      </c>
      <c r="B223" s="3">
        <v>45532</v>
      </c>
      <c r="C223" t="s">
        <v>24</v>
      </c>
      <c r="D223" t="s">
        <v>57</v>
      </c>
      <c r="E223" t="s">
        <v>448</v>
      </c>
      <c r="F223" t="s">
        <v>53</v>
      </c>
      <c r="G223" t="s">
        <v>104</v>
      </c>
      <c r="H223">
        <v>12</v>
      </c>
      <c r="I223">
        <v>224.66</v>
      </c>
      <c r="J223">
        <v>0</v>
      </c>
      <c r="K223">
        <v>2695.92</v>
      </c>
      <c r="M223" t="str">
        <f t="shared" si="12"/>
        <v>Aug</v>
      </c>
      <c r="N223">
        <f t="shared" si="13"/>
        <v>8</v>
      </c>
      <c r="O223">
        <f t="shared" si="14"/>
        <v>2695.92</v>
      </c>
      <c r="P223" t="str">
        <f t="shared" si="15"/>
        <v>OK</v>
      </c>
    </row>
    <row r="224" spans="1:16" x14ac:dyDescent="0.35">
      <c r="A224" t="s">
        <v>449</v>
      </c>
      <c r="B224" s="3">
        <v>45437</v>
      </c>
      <c r="C224" t="s">
        <v>33</v>
      </c>
      <c r="D224" t="s">
        <v>42</v>
      </c>
      <c r="E224" t="s">
        <v>122</v>
      </c>
      <c r="F224" t="s">
        <v>53</v>
      </c>
      <c r="G224" t="s">
        <v>59</v>
      </c>
      <c r="H224">
        <v>5</v>
      </c>
      <c r="I224">
        <v>152.1</v>
      </c>
      <c r="J224">
        <v>0.15</v>
      </c>
      <c r="K224">
        <v>646.41999999999996</v>
      </c>
      <c r="M224" t="str">
        <f t="shared" si="12"/>
        <v>May</v>
      </c>
      <c r="N224">
        <f t="shared" si="13"/>
        <v>5</v>
      </c>
      <c r="O224">
        <f t="shared" si="14"/>
        <v>646.42499999999995</v>
      </c>
      <c r="P224" t="str">
        <f t="shared" si="15"/>
        <v>MISMATCH</v>
      </c>
    </row>
    <row r="225" spans="1:16" x14ac:dyDescent="0.35">
      <c r="A225" t="s">
        <v>450</v>
      </c>
      <c r="B225" s="3">
        <v>45525</v>
      </c>
      <c r="C225" t="s">
        <v>65</v>
      </c>
      <c r="D225" t="s">
        <v>25</v>
      </c>
      <c r="E225" t="s">
        <v>43</v>
      </c>
      <c r="F225" t="s">
        <v>44</v>
      </c>
      <c r="G225" t="s">
        <v>107</v>
      </c>
      <c r="H225">
        <v>8</v>
      </c>
      <c r="I225">
        <v>184.08</v>
      </c>
      <c r="J225">
        <v>0</v>
      </c>
      <c r="K225">
        <v>1472.64</v>
      </c>
      <c r="M225" t="str">
        <f t="shared" si="12"/>
        <v>Aug</v>
      </c>
      <c r="N225">
        <f t="shared" si="13"/>
        <v>8</v>
      </c>
      <c r="O225">
        <f t="shared" si="14"/>
        <v>1472.64</v>
      </c>
      <c r="P225" t="str">
        <f t="shared" si="15"/>
        <v>OK</v>
      </c>
    </row>
    <row r="226" spans="1:16" x14ac:dyDescent="0.35">
      <c r="A226" t="s">
        <v>451</v>
      </c>
      <c r="B226" s="3">
        <v>45579</v>
      </c>
      <c r="C226" t="s">
        <v>18</v>
      </c>
      <c r="D226" t="s">
        <v>57</v>
      </c>
      <c r="E226" t="s">
        <v>77</v>
      </c>
      <c r="F226" t="s">
        <v>35</v>
      </c>
      <c r="G226" t="s">
        <v>36</v>
      </c>
      <c r="H226">
        <v>6</v>
      </c>
      <c r="I226">
        <v>124.16</v>
      </c>
      <c r="J226">
        <v>0</v>
      </c>
      <c r="K226">
        <v>744.96</v>
      </c>
      <c r="M226" t="str">
        <f t="shared" si="12"/>
        <v>Oct</v>
      </c>
      <c r="N226">
        <f t="shared" si="13"/>
        <v>10</v>
      </c>
      <c r="O226">
        <f t="shared" si="14"/>
        <v>744.96</v>
      </c>
      <c r="P226" t="str">
        <f t="shared" si="15"/>
        <v>OK</v>
      </c>
    </row>
    <row r="227" spans="1:16" x14ac:dyDescent="0.35">
      <c r="A227" t="s">
        <v>453</v>
      </c>
      <c r="B227" s="3">
        <v>45427</v>
      </c>
      <c r="C227" t="s">
        <v>18</v>
      </c>
      <c r="D227" t="s">
        <v>13</v>
      </c>
      <c r="E227" t="s">
        <v>454</v>
      </c>
      <c r="F227" t="s">
        <v>44</v>
      </c>
      <c r="G227" t="s">
        <v>50</v>
      </c>
      <c r="H227">
        <v>8</v>
      </c>
      <c r="I227">
        <v>90.9</v>
      </c>
      <c r="J227">
        <v>0</v>
      </c>
      <c r="K227">
        <v>727.2</v>
      </c>
      <c r="M227" t="str">
        <f t="shared" si="12"/>
        <v>May</v>
      </c>
      <c r="N227">
        <f t="shared" si="13"/>
        <v>5</v>
      </c>
      <c r="O227">
        <f t="shared" si="14"/>
        <v>727.2</v>
      </c>
      <c r="P227" t="str">
        <f t="shared" si="15"/>
        <v>OK</v>
      </c>
    </row>
    <row r="228" spans="1:16" x14ac:dyDescent="0.35">
      <c r="A228" t="s">
        <v>455</v>
      </c>
      <c r="B228" s="3">
        <v>45424</v>
      </c>
      <c r="C228" t="s">
        <v>18</v>
      </c>
      <c r="D228" t="s">
        <v>13</v>
      </c>
      <c r="E228" t="s">
        <v>390</v>
      </c>
      <c r="F228" t="s">
        <v>53</v>
      </c>
      <c r="G228" t="s">
        <v>260</v>
      </c>
      <c r="H228">
        <v>8</v>
      </c>
      <c r="I228">
        <v>85.52</v>
      </c>
      <c r="J228">
        <v>0.1</v>
      </c>
      <c r="K228">
        <v>615.74</v>
      </c>
      <c r="M228" t="str">
        <f t="shared" si="12"/>
        <v>May</v>
      </c>
      <c r="N228">
        <f t="shared" si="13"/>
        <v>5</v>
      </c>
      <c r="O228">
        <f t="shared" si="14"/>
        <v>615.74400000000003</v>
      </c>
      <c r="P228" t="str">
        <f t="shared" si="15"/>
        <v>OK</v>
      </c>
    </row>
    <row r="229" spans="1:16" x14ac:dyDescent="0.35">
      <c r="A229" t="s">
        <v>456</v>
      </c>
      <c r="B229" s="3">
        <v>45560</v>
      </c>
      <c r="C229" t="s">
        <v>33</v>
      </c>
      <c r="D229" t="s">
        <v>57</v>
      </c>
      <c r="E229" t="s">
        <v>457</v>
      </c>
      <c r="F229" t="s">
        <v>15</v>
      </c>
      <c r="G229" t="s">
        <v>27</v>
      </c>
      <c r="H229">
        <v>1</v>
      </c>
      <c r="I229">
        <v>148.47</v>
      </c>
      <c r="J229">
        <v>0</v>
      </c>
      <c r="K229">
        <v>148.47</v>
      </c>
      <c r="M229" t="str">
        <f t="shared" si="12"/>
        <v>Sep</v>
      </c>
      <c r="N229">
        <f t="shared" si="13"/>
        <v>9</v>
      </c>
      <c r="O229">
        <f t="shared" si="14"/>
        <v>148.47</v>
      </c>
      <c r="P229" t="str">
        <f t="shared" si="15"/>
        <v>OK</v>
      </c>
    </row>
    <row r="230" spans="1:16" x14ac:dyDescent="0.35">
      <c r="A230" t="s">
        <v>458</v>
      </c>
      <c r="B230" s="3">
        <v>45633</v>
      </c>
      <c r="C230" t="s">
        <v>65</v>
      </c>
      <c r="D230" t="s">
        <v>13</v>
      </c>
      <c r="E230" t="s">
        <v>117</v>
      </c>
      <c r="F230" t="s">
        <v>35</v>
      </c>
      <c r="G230" t="s">
        <v>177</v>
      </c>
      <c r="H230">
        <v>2</v>
      </c>
      <c r="I230">
        <v>134.44</v>
      </c>
      <c r="J230">
        <v>0.05</v>
      </c>
      <c r="K230">
        <v>255.44</v>
      </c>
      <c r="M230" t="str">
        <f t="shared" si="12"/>
        <v>Dec</v>
      </c>
      <c r="N230">
        <f t="shared" si="13"/>
        <v>12</v>
      </c>
      <c r="O230">
        <f t="shared" si="14"/>
        <v>255.43599999999998</v>
      </c>
      <c r="P230" t="str">
        <f t="shared" si="15"/>
        <v>OK</v>
      </c>
    </row>
    <row r="231" spans="1:16" x14ac:dyDescent="0.35">
      <c r="A231" t="s">
        <v>459</v>
      </c>
      <c r="B231" s="3">
        <v>45455</v>
      </c>
      <c r="C231" t="s">
        <v>24</v>
      </c>
      <c r="D231" t="s">
        <v>57</v>
      </c>
      <c r="E231" t="s">
        <v>460</v>
      </c>
      <c r="F231" t="s">
        <v>53</v>
      </c>
      <c r="G231" t="s">
        <v>63</v>
      </c>
      <c r="H231">
        <v>10</v>
      </c>
      <c r="I231">
        <v>176.03</v>
      </c>
      <c r="J231">
        <v>0.15</v>
      </c>
      <c r="K231">
        <v>1496.25</v>
      </c>
      <c r="M231" t="str">
        <f t="shared" si="12"/>
        <v>Jun</v>
      </c>
      <c r="N231">
        <f t="shared" si="13"/>
        <v>6</v>
      </c>
      <c r="O231">
        <f t="shared" si="14"/>
        <v>1496.2549999999999</v>
      </c>
      <c r="P231" t="str">
        <f t="shared" si="15"/>
        <v>MISMATCH</v>
      </c>
    </row>
    <row r="232" spans="1:16" x14ac:dyDescent="0.35">
      <c r="A232" t="s">
        <v>461</v>
      </c>
      <c r="B232" s="3">
        <v>45420</v>
      </c>
      <c r="C232" t="s">
        <v>18</v>
      </c>
      <c r="D232" t="s">
        <v>13</v>
      </c>
      <c r="E232" t="s">
        <v>462</v>
      </c>
      <c r="F232" t="s">
        <v>53</v>
      </c>
      <c r="G232" t="s">
        <v>104</v>
      </c>
      <c r="H232">
        <v>2</v>
      </c>
      <c r="I232">
        <v>207.92</v>
      </c>
      <c r="J232">
        <v>0.15</v>
      </c>
      <c r="K232">
        <v>353.46</v>
      </c>
      <c r="M232" t="str">
        <f t="shared" si="12"/>
        <v>May</v>
      </c>
      <c r="N232">
        <f t="shared" si="13"/>
        <v>5</v>
      </c>
      <c r="O232">
        <f t="shared" si="14"/>
        <v>353.46399999999994</v>
      </c>
      <c r="P232" t="str">
        <f t="shared" si="15"/>
        <v>OK</v>
      </c>
    </row>
    <row r="233" spans="1:16" x14ac:dyDescent="0.35">
      <c r="A233" t="s">
        <v>463</v>
      </c>
      <c r="B233" s="3">
        <v>45522</v>
      </c>
      <c r="C233" t="s">
        <v>41</v>
      </c>
      <c r="D233" t="s">
        <v>25</v>
      </c>
      <c r="E233" t="s">
        <v>339</v>
      </c>
      <c r="F233" t="s">
        <v>15</v>
      </c>
      <c r="G233" t="s">
        <v>16</v>
      </c>
      <c r="H233">
        <v>12</v>
      </c>
      <c r="I233">
        <v>196.35</v>
      </c>
      <c r="J233">
        <v>0</v>
      </c>
      <c r="K233">
        <v>2356.1999999999998</v>
      </c>
      <c r="M233" t="str">
        <f t="shared" si="12"/>
        <v>Aug</v>
      </c>
      <c r="N233">
        <f t="shared" si="13"/>
        <v>8</v>
      </c>
      <c r="O233">
        <f t="shared" si="14"/>
        <v>2356.1999999999998</v>
      </c>
      <c r="P233" t="str">
        <f t="shared" si="15"/>
        <v>OK</v>
      </c>
    </row>
    <row r="234" spans="1:16" x14ac:dyDescent="0.35">
      <c r="A234" t="s">
        <v>464</v>
      </c>
      <c r="B234" s="3">
        <v>45606</v>
      </c>
      <c r="C234" t="s">
        <v>65</v>
      </c>
      <c r="D234" t="s">
        <v>19</v>
      </c>
      <c r="E234" t="s">
        <v>58</v>
      </c>
      <c r="F234" t="s">
        <v>35</v>
      </c>
      <c r="G234" t="s">
        <v>36</v>
      </c>
      <c r="H234">
        <v>11</v>
      </c>
      <c r="I234">
        <v>18.079999999999998</v>
      </c>
      <c r="J234">
        <v>0</v>
      </c>
      <c r="K234">
        <v>198.88</v>
      </c>
      <c r="M234" t="str">
        <f t="shared" si="12"/>
        <v>Nov</v>
      </c>
      <c r="N234">
        <f t="shared" si="13"/>
        <v>11</v>
      </c>
      <c r="O234">
        <f t="shared" si="14"/>
        <v>198.88</v>
      </c>
      <c r="P234" t="str">
        <f t="shared" si="15"/>
        <v>OK</v>
      </c>
    </row>
    <row r="235" spans="1:16" x14ac:dyDescent="0.35">
      <c r="A235" t="s">
        <v>465</v>
      </c>
      <c r="B235" s="3">
        <v>45575</v>
      </c>
      <c r="C235" t="s">
        <v>24</v>
      </c>
      <c r="D235" t="s">
        <v>57</v>
      </c>
      <c r="E235" t="s">
        <v>339</v>
      </c>
      <c r="F235" t="s">
        <v>53</v>
      </c>
      <c r="G235" t="s">
        <v>125</v>
      </c>
      <c r="H235">
        <v>10</v>
      </c>
      <c r="I235">
        <v>71.73</v>
      </c>
      <c r="J235">
        <v>0</v>
      </c>
      <c r="K235">
        <v>717.3</v>
      </c>
      <c r="M235" t="str">
        <f t="shared" si="12"/>
        <v>Oct</v>
      </c>
      <c r="N235">
        <f t="shared" si="13"/>
        <v>10</v>
      </c>
      <c r="O235">
        <f t="shared" si="14"/>
        <v>717.30000000000007</v>
      </c>
      <c r="P235" t="str">
        <f t="shared" si="15"/>
        <v>OK</v>
      </c>
    </row>
    <row r="236" spans="1:16" x14ac:dyDescent="0.35">
      <c r="A236" t="s">
        <v>466</v>
      </c>
      <c r="B236" s="3">
        <v>45415</v>
      </c>
      <c r="C236" t="s">
        <v>24</v>
      </c>
      <c r="D236" t="s">
        <v>57</v>
      </c>
      <c r="E236" t="s">
        <v>106</v>
      </c>
      <c r="F236" t="s">
        <v>35</v>
      </c>
      <c r="G236" t="s">
        <v>83</v>
      </c>
      <c r="H236">
        <v>8</v>
      </c>
      <c r="I236">
        <v>124.75</v>
      </c>
      <c r="J236">
        <v>0</v>
      </c>
      <c r="K236">
        <v>998</v>
      </c>
      <c r="M236" t="str">
        <f t="shared" si="12"/>
        <v>May</v>
      </c>
      <c r="N236">
        <f t="shared" si="13"/>
        <v>5</v>
      </c>
      <c r="O236">
        <f t="shared" si="14"/>
        <v>998</v>
      </c>
      <c r="P236" t="str">
        <f t="shared" si="15"/>
        <v>OK</v>
      </c>
    </row>
    <row r="237" spans="1:16" x14ac:dyDescent="0.35">
      <c r="A237" t="s">
        <v>467</v>
      </c>
      <c r="B237" s="3">
        <v>45641</v>
      </c>
      <c r="C237" t="s">
        <v>18</v>
      </c>
      <c r="D237" t="s">
        <v>13</v>
      </c>
      <c r="E237" t="s">
        <v>468</v>
      </c>
      <c r="F237" t="s">
        <v>44</v>
      </c>
      <c r="G237" t="s">
        <v>107</v>
      </c>
      <c r="H237">
        <v>8</v>
      </c>
      <c r="I237">
        <v>238.49</v>
      </c>
      <c r="J237">
        <v>0.15</v>
      </c>
      <c r="K237">
        <v>1621.73</v>
      </c>
      <c r="M237" t="str">
        <f t="shared" si="12"/>
        <v>Dec</v>
      </c>
      <c r="N237">
        <f t="shared" si="13"/>
        <v>12</v>
      </c>
      <c r="O237">
        <f t="shared" si="14"/>
        <v>1621.732</v>
      </c>
      <c r="P237" t="str">
        <f t="shared" si="15"/>
        <v>OK</v>
      </c>
    </row>
    <row r="238" spans="1:16" x14ac:dyDescent="0.35">
      <c r="A238" t="s">
        <v>469</v>
      </c>
      <c r="B238" s="3">
        <v>45393</v>
      </c>
      <c r="C238" t="s">
        <v>41</v>
      </c>
      <c r="D238" t="s">
        <v>42</v>
      </c>
      <c r="E238" t="s">
        <v>470</v>
      </c>
      <c r="F238" t="s">
        <v>44</v>
      </c>
      <c r="G238" t="s">
        <v>94</v>
      </c>
      <c r="H238">
        <v>7</v>
      </c>
      <c r="I238">
        <v>17.489999999999998</v>
      </c>
      <c r="J238">
        <v>0.15</v>
      </c>
      <c r="K238">
        <v>104.07</v>
      </c>
      <c r="M238" t="str">
        <f t="shared" si="12"/>
        <v>Apr</v>
      </c>
      <c r="N238">
        <f t="shared" si="13"/>
        <v>4</v>
      </c>
      <c r="O238">
        <f t="shared" si="14"/>
        <v>104.06549999999999</v>
      </c>
      <c r="P238" t="str">
        <f t="shared" si="15"/>
        <v>OK</v>
      </c>
    </row>
    <row r="239" spans="1:16" x14ac:dyDescent="0.35">
      <c r="A239" t="s">
        <v>471</v>
      </c>
      <c r="B239" s="3">
        <v>45498</v>
      </c>
      <c r="C239" t="s">
        <v>65</v>
      </c>
      <c r="D239" t="s">
        <v>57</v>
      </c>
      <c r="E239" t="s">
        <v>472</v>
      </c>
      <c r="F239" t="s">
        <v>35</v>
      </c>
      <c r="G239" t="s">
        <v>36</v>
      </c>
      <c r="H239">
        <v>7</v>
      </c>
      <c r="I239">
        <v>62.81</v>
      </c>
      <c r="J239">
        <v>0.1</v>
      </c>
      <c r="K239">
        <v>395.7</v>
      </c>
      <c r="M239" t="str">
        <f t="shared" si="12"/>
        <v>Jul</v>
      </c>
      <c r="N239">
        <f t="shared" si="13"/>
        <v>7</v>
      </c>
      <c r="O239">
        <f t="shared" si="14"/>
        <v>395.70300000000003</v>
      </c>
      <c r="P239" t="str">
        <f t="shared" si="15"/>
        <v>OK</v>
      </c>
    </row>
    <row r="240" spans="1:16" x14ac:dyDescent="0.35">
      <c r="A240" t="s">
        <v>473</v>
      </c>
      <c r="B240" s="3">
        <v>45490</v>
      </c>
      <c r="C240" t="s">
        <v>33</v>
      </c>
      <c r="D240" t="s">
        <v>25</v>
      </c>
      <c r="E240" t="s">
        <v>474</v>
      </c>
      <c r="F240" t="s">
        <v>44</v>
      </c>
      <c r="G240" t="s">
        <v>45</v>
      </c>
      <c r="H240">
        <v>8</v>
      </c>
      <c r="I240">
        <v>51.51</v>
      </c>
      <c r="J240">
        <v>0.05</v>
      </c>
      <c r="K240">
        <v>391.48</v>
      </c>
      <c r="M240" t="str">
        <f t="shared" si="12"/>
        <v>Jul</v>
      </c>
      <c r="N240">
        <f t="shared" si="13"/>
        <v>7</v>
      </c>
      <c r="O240">
        <f t="shared" si="14"/>
        <v>391.47599999999994</v>
      </c>
      <c r="P240" t="str">
        <f t="shared" si="15"/>
        <v>OK</v>
      </c>
    </row>
    <row r="241" spans="1:16" x14ac:dyDescent="0.35">
      <c r="A241" t="s">
        <v>475</v>
      </c>
      <c r="B241" s="3">
        <v>45430</v>
      </c>
      <c r="C241" t="s">
        <v>18</v>
      </c>
      <c r="D241" t="s">
        <v>13</v>
      </c>
      <c r="E241" t="s">
        <v>166</v>
      </c>
      <c r="F241" t="s">
        <v>15</v>
      </c>
      <c r="G241" t="s">
        <v>27</v>
      </c>
      <c r="H241">
        <v>9</v>
      </c>
      <c r="I241">
        <v>23.75</v>
      </c>
      <c r="J241">
        <v>0.15</v>
      </c>
      <c r="K241">
        <v>181.69</v>
      </c>
      <c r="M241" t="str">
        <f t="shared" si="12"/>
        <v>May</v>
      </c>
      <c r="N241">
        <f t="shared" si="13"/>
        <v>5</v>
      </c>
      <c r="O241">
        <f t="shared" si="14"/>
        <v>181.6875</v>
      </c>
      <c r="P241" t="str">
        <f t="shared" si="15"/>
        <v>OK</v>
      </c>
    </row>
    <row r="242" spans="1:16" x14ac:dyDescent="0.35">
      <c r="A242" t="s">
        <v>476</v>
      </c>
      <c r="B242" s="3">
        <v>45628</v>
      </c>
      <c r="C242" t="s">
        <v>18</v>
      </c>
      <c r="D242" t="s">
        <v>25</v>
      </c>
      <c r="E242" t="s">
        <v>477</v>
      </c>
      <c r="F242" t="s">
        <v>53</v>
      </c>
      <c r="G242" t="s">
        <v>260</v>
      </c>
      <c r="H242">
        <v>6</v>
      </c>
      <c r="I242">
        <v>48.94</v>
      </c>
      <c r="J242">
        <v>0</v>
      </c>
      <c r="K242">
        <v>293.64</v>
      </c>
      <c r="M242" t="str">
        <f t="shared" si="12"/>
        <v>Dec</v>
      </c>
      <c r="N242">
        <f t="shared" si="13"/>
        <v>12</v>
      </c>
      <c r="O242">
        <f t="shared" si="14"/>
        <v>293.64</v>
      </c>
      <c r="P242" t="str">
        <f t="shared" si="15"/>
        <v>OK</v>
      </c>
    </row>
    <row r="243" spans="1:16" x14ac:dyDescent="0.35">
      <c r="A243" t="s">
        <v>478</v>
      </c>
      <c r="B243" s="3">
        <v>45565</v>
      </c>
      <c r="C243" t="s">
        <v>65</v>
      </c>
      <c r="D243" t="s">
        <v>19</v>
      </c>
      <c r="E243" t="s">
        <v>183</v>
      </c>
      <c r="F243" t="s">
        <v>53</v>
      </c>
      <c r="G243" t="s">
        <v>260</v>
      </c>
      <c r="H243">
        <v>12</v>
      </c>
      <c r="I243">
        <v>108.84</v>
      </c>
      <c r="J243">
        <v>0.1</v>
      </c>
      <c r="K243">
        <v>1175.47</v>
      </c>
      <c r="M243" t="str">
        <f t="shared" si="12"/>
        <v>Sep</v>
      </c>
      <c r="N243">
        <f t="shared" si="13"/>
        <v>9</v>
      </c>
      <c r="O243">
        <f t="shared" si="14"/>
        <v>1175.472</v>
      </c>
      <c r="P243" t="str">
        <f t="shared" si="15"/>
        <v>OK</v>
      </c>
    </row>
    <row r="244" spans="1:16" x14ac:dyDescent="0.35">
      <c r="A244" t="s">
        <v>479</v>
      </c>
      <c r="B244" s="3">
        <v>45486</v>
      </c>
      <c r="C244" t="s">
        <v>24</v>
      </c>
      <c r="D244" t="s">
        <v>19</v>
      </c>
      <c r="E244" t="s">
        <v>480</v>
      </c>
      <c r="F244" t="s">
        <v>21</v>
      </c>
      <c r="G244" t="s">
        <v>194</v>
      </c>
      <c r="H244">
        <v>6</v>
      </c>
      <c r="I244">
        <v>56.86</v>
      </c>
      <c r="J244">
        <v>0</v>
      </c>
      <c r="K244">
        <v>341.16</v>
      </c>
      <c r="M244" t="str">
        <f t="shared" si="12"/>
        <v>Jul</v>
      </c>
      <c r="N244">
        <f t="shared" si="13"/>
        <v>7</v>
      </c>
      <c r="O244">
        <f t="shared" si="14"/>
        <v>341.15999999999997</v>
      </c>
      <c r="P244" t="str">
        <f t="shared" si="15"/>
        <v>OK</v>
      </c>
    </row>
    <row r="245" spans="1:16" x14ac:dyDescent="0.35">
      <c r="A245" t="s">
        <v>481</v>
      </c>
      <c r="B245" s="3">
        <v>45600</v>
      </c>
      <c r="C245" t="s">
        <v>65</v>
      </c>
      <c r="D245" t="s">
        <v>57</v>
      </c>
      <c r="E245" t="s">
        <v>52</v>
      </c>
      <c r="F245" t="s">
        <v>21</v>
      </c>
      <c r="G245" t="s">
        <v>70</v>
      </c>
      <c r="H245">
        <v>4</v>
      </c>
      <c r="I245">
        <v>74.599999999999994</v>
      </c>
      <c r="J245">
        <v>0</v>
      </c>
      <c r="K245">
        <v>298.39999999999998</v>
      </c>
      <c r="M245" t="str">
        <f t="shared" si="12"/>
        <v>Nov</v>
      </c>
      <c r="N245">
        <f t="shared" si="13"/>
        <v>11</v>
      </c>
      <c r="O245">
        <f t="shared" si="14"/>
        <v>298.39999999999998</v>
      </c>
      <c r="P245" t="str">
        <f t="shared" si="15"/>
        <v>OK</v>
      </c>
    </row>
    <row r="246" spans="1:16" x14ac:dyDescent="0.35">
      <c r="A246" t="s">
        <v>482</v>
      </c>
      <c r="B246" s="3">
        <v>45520</v>
      </c>
      <c r="C246" t="s">
        <v>65</v>
      </c>
      <c r="D246" t="s">
        <v>57</v>
      </c>
      <c r="E246" t="s">
        <v>484</v>
      </c>
      <c r="F246" t="s">
        <v>21</v>
      </c>
      <c r="G246" t="s">
        <v>167</v>
      </c>
      <c r="H246">
        <v>11</v>
      </c>
      <c r="I246">
        <v>182.13</v>
      </c>
      <c r="J246">
        <v>0.15</v>
      </c>
      <c r="K246">
        <v>1702.92</v>
      </c>
      <c r="M246" t="str">
        <f t="shared" si="12"/>
        <v>Aug</v>
      </c>
      <c r="N246">
        <f t="shared" si="13"/>
        <v>8</v>
      </c>
      <c r="O246">
        <f t="shared" si="14"/>
        <v>1702.9154999999998</v>
      </c>
      <c r="P246" t="str">
        <f t="shared" si="15"/>
        <v>OK</v>
      </c>
    </row>
    <row r="247" spans="1:16" x14ac:dyDescent="0.35">
      <c r="A247" t="s">
        <v>485</v>
      </c>
      <c r="B247" s="3">
        <v>45333</v>
      </c>
      <c r="C247" t="s">
        <v>18</v>
      </c>
      <c r="D247" t="s">
        <v>19</v>
      </c>
      <c r="E247" t="s">
        <v>250</v>
      </c>
      <c r="F247" t="s">
        <v>35</v>
      </c>
      <c r="G247" t="s">
        <v>83</v>
      </c>
      <c r="H247">
        <v>2</v>
      </c>
      <c r="I247">
        <v>159.32</v>
      </c>
      <c r="J247">
        <v>0.15</v>
      </c>
      <c r="K247">
        <v>270.83999999999997</v>
      </c>
      <c r="M247" t="str">
        <f t="shared" si="12"/>
        <v>Feb</v>
      </c>
      <c r="N247">
        <f t="shared" si="13"/>
        <v>2</v>
      </c>
      <c r="O247">
        <f t="shared" si="14"/>
        <v>270.84399999999999</v>
      </c>
      <c r="P247" t="str">
        <f t="shared" si="15"/>
        <v>OK</v>
      </c>
    </row>
    <row r="248" spans="1:16" x14ac:dyDescent="0.35">
      <c r="A248" t="s">
        <v>486</v>
      </c>
      <c r="B248" s="3">
        <v>45535</v>
      </c>
      <c r="C248" t="s">
        <v>41</v>
      </c>
      <c r="D248" t="s">
        <v>19</v>
      </c>
      <c r="E248" t="s">
        <v>217</v>
      </c>
      <c r="F248" t="s">
        <v>44</v>
      </c>
      <c r="G248" t="s">
        <v>45</v>
      </c>
      <c r="H248">
        <v>9</v>
      </c>
      <c r="I248">
        <v>246.94</v>
      </c>
      <c r="J248">
        <v>0</v>
      </c>
      <c r="K248">
        <v>2222.46</v>
      </c>
      <c r="M248" t="str">
        <f t="shared" si="12"/>
        <v>Aug</v>
      </c>
      <c r="N248">
        <f t="shared" si="13"/>
        <v>8</v>
      </c>
      <c r="O248">
        <f t="shared" si="14"/>
        <v>2222.46</v>
      </c>
      <c r="P248" t="str">
        <f t="shared" si="15"/>
        <v>OK</v>
      </c>
    </row>
    <row r="249" spans="1:16" x14ac:dyDescent="0.35">
      <c r="A249" t="s">
        <v>487</v>
      </c>
      <c r="B249" s="3">
        <v>45296</v>
      </c>
      <c r="C249" t="s">
        <v>24</v>
      </c>
      <c r="D249" t="s">
        <v>57</v>
      </c>
      <c r="E249" t="s">
        <v>426</v>
      </c>
      <c r="F249" t="s">
        <v>53</v>
      </c>
      <c r="G249" t="s">
        <v>63</v>
      </c>
      <c r="H249">
        <v>8</v>
      </c>
      <c r="I249">
        <v>104.57</v>
      </c>
      <c r="J249">
        <v>0</v>
      </c>
      <c r="K249">
        <v>836.56</v>
      </c>
      <c r="M249" t="str">
        <f t="shared" si="12"/>
        <v>Jan</v>
      </c>
      <c r="N249">
        <f t="shared" si="13"/>
        <v>1</v>
      </c>
      <c r="O249">
        <f t="shared" si="14"/>
        <v>836.56</v>
      </c>
      <c r="P249" t="str">
        <f t="shared" si="15"/>
        <v>OK</v>
      </c>
    </row>
    <row r="250" spans="1:16" x14ac:dyDescent="0.35">
      <c r="A250" t="s">
        <v>488</v>
      </c>
      <c r="B250" s="3">
        <v>45398</v>
      </c>
      <c r="C250" t="s">
        <v>18</v>
      </c>
      <c r="D250" t="s">
        <v>42</v>
      </c>
      <c r="E250" t="s">
        <v>489</v>
      </c>
      <c r="F250" t="s">
        <v>15</v>
      </c>
      <c r="G250" t="s">
        <v>74</v>
      </c>
      <c r="H250">
        <v>1</v>
      </c>
      <c r="I250">
        <v>86</v>
      </c>
      <c r="J250">
        <v>0</v>
      </c>
      <c r="K250">
        <v>86</v>
      </c>
      <c r="M250" t="str">
        <f t="shared" si="12"/>
        <v>Apr</v>
      </c>
      <c r="N250">
        <f t="shared" si="13"/>
        <v>4</v>
      </c>
      <c r="O250">
        <f t="shared" si="14"/>
        <v>86</v>
      </c>
      <c r="P250" t="str">
        <f t="shared" si="15"/>
        <v>OK</v>
      </c>
    </row>
    <row r="251" spans="1:16" x14ac:dyDescent="0.35">
      <c r="A251" t="s">
        <v>490</v>
      </c>
      <c r="B251" s="3">
        <v>45625</v>
      </c>
      <c r="C251" t="s">
        <v>41</v>
      </c>
      <c r="D251" t="s">
        <v>25</v>
      </c>
      <c r="E251" t="s">
        <v>43</v>
      </c>
      <c r="F251" t="s">
        <v>15</v>
      </c>
      <c r="G251" t="s">
        <v>16</v>
      </c>
      <c r="H251">
        <v>2</v>
      </c>
      <c r="I251">
        <v>55.12</v>
      </c>
      <c r="J251">
        <v>0</v>
      </c>
      <c r="K251">
        <v>110.24</v>
      </c>
      <c r="M251" t="str">
        <f t="shared" si="12"/>
        <v>Nov</v>
      </c>
      <c r="N251">
        <f t="shared" si="13"/>
        <v>11</v>
      </c>
      <c r="O251">
        <f t="shared" si="14"/>
        <v>110.24</v>
      </c>
      <c r="P251" t="str">
        <f t="shared" si="15"/>
        <v>OK</v>
      </c>
    </row>
    <row r="252" spans="1:16" x14ac:dyDescent="0.35">
      <c r="A252" t="s">
        <v>491</v>
      </c>
      <c r="B252" s="3">
        <v>45368</v>
      </c>
      <c r="C252" t="s">
        <v>18</v>
      </c>
      <c r="D252" t="s">
        <v>42</v>
      </c>
      <c r="E252" t="s">
        <v>492</v>
      </c>
      <c r="F252" t="s">
        <v>35</v>
      </c>
      <c r="G252" t="s">
        <v>67</v>
      </c>
      <c r="H252">
        <v>3</v>
      </c>
      <c r="I252">
        <v>7.85</v>
      </c>
      <c r="J252">
        <v>0.1</v>
      </c>
      <c r="K252">
        <v>21.19</v>
      </c>
      <c r="M252" t="str">
        <f t="shared" si="12"/>
        <v>Mar</v>
      </c>
      <c r="N252">
        <f t="shared" si="13"/>
        <v>3</v>
      </c>
      <c r="O252">
        <f t="shared" si="14"/>
        <v>21.194999999999997</v>
      </c>
      <c r="P252" t="str">
        <f t="shared" si="15"/>
        <v>MISMATCH</v>
      </c>
    </row>
    <row r="253" spans="1:16" x14ac:dyDescent="0.35">
      <c r="A253" t="s">
        <v>493</v>
      </c>
      <c r="B253" s="3">
        <v>45622</v>
      </c>
      <c r="C253" t="s">
        <v>24</v>
      </c>
      <c r="D253" t="s">
        <v>19</v>
      </c>
      <c r="E253" t="s">
        <v>150</v>
      </c>
      <c r="F253" t="s">
        <v>53</v>
      </c>
      <c r="G253" t="s">
        <v>54</v>
      </c>
      <c r="H253">
        <v>5</v>
      </c>
      <c r="I253">
        <v>243.87</v>
      </c>
      <c r="J253">
        <v>0</v>
      </c>
      <c r="K253">
        <v>1219.3499999999999</v>
      </c>
      <c r="M253" t="str">
        <f t="shared" si="12"/>
        <v>Nov</v>
      </c>
      <c r="N253">
        <f t="shared" si="13"/>
        <v>11</v>
      </c>
      <c r="O253">
        <f t="shared" si="14"/>
        <v>1219.3499999999999</v>
      </c>
      <c r="P253" t="str">
        <f t="shared" si="15"/>
        <v>OK</v>
      </c>
    </row>
    <row r="254" spans="1:16" x14ac:dyDescent="0.35">
      <c r="A254" t="s">
        <v>495</v>
      </c>
      <c r="B254" s="3">
        <v>45497</v>
      </c>
      <c r="C254" t="s">
        <v>24</v>
      </c>
      <c r="D254" t="s">
        <v>25</v>
      </c>
      <c r="E254" t="s">
        <v>26</v>
      </c>
      <c r="F254" t="s">
        <v>35</v>
      </c>
      <c r="G254" t="s">
        <v>36</v>
      </c>
      <c r="H254">
        <v>9</v>
      </c>
      <c r="I254">
        <v>166.1</v>
      </c>
      <c r="J254">
        <v>0.1</v>
      </c>
      <c r="K254">
        <v>1345.41</v>
      </c>
      <c r="M254" t="str">
        <f t="shared" si="12"/>
        <v>Jul</v>
      </c>
      <c r="N254">
        <f t="shared" si="13"/>
        <v>7</v>
      </c>
      <c r="O254">
        <f t="shared" si="14"/>
        <v>1345.4099999999999</v>
      </c>
      <c r="P254" t="str">
        <f t="shared" si="15"/>
        <v>OK</v>
      </c>
    </row>
    <row r="255" spans="1:16" x14ac:dyDescent="0.35">
      <c r="A255" t="s">
        <v>496</v>
      </c>
      <c r="B255" s="3">
        <v>45459</v>
      </c>
      <c r="C255" t="s">
        <v>65</v>
      </c>
      <c r="D255" t="s">
        <v>57</v>
      </c>
      <c r="E255" t="s">
        <v>457</v>
      </c>
      <c r="F255" t="s">
        <v>21</v>
      </c>
      <c r="G255" t="s">
        <v>167</v>
      </c>
      <c r="H255">
        <v>10</v>
      </c>
      <c r="I255">
        <v>80.03</v>
      </c>
      <c r="J255">
        <v>0.1</v>
      </c>
      <c r="K255">
        <v>720.27</v>
      </c>
      <c r="M255" t="str">
        <f t="shared" si="12"/>
        <v>Jun</v>
      </c>
      <c r="N255">
        <f t="shared" si="13"/>
        <v>6</v>
      </c>
      <c r="O255">
        <f t="shared" si="14"/>
        <v>720.27</v>
      </c>
      <c r="P255" t="str">
        <f t="shared" si="15"/>
        <v>OK</v>
      </c>
    </row>
    <row r="256" spans="1:16" x14ac:dyDescent="0.35">
      <c r="A256" t="s">
        <v>497</v>
      </c>
      <c r="B256" s="3">
        <v>45650</v>
      </c>
      <c r="C256" t="s">
        <v>33</v>
      </c>
      <c r="D256" t="s">
        <v>13</v>
      </c>
      <c r="E256" t="s">
        <v>197</v>
      </c>
      <c r="F256" t="s">
        <v>35</v>
      </c>
      <c r="G256" t="s">
        <v>134</v>
      </c>
      <c r="H256">
        <v>12</v>
      </c>
      <c r="I256">
        <v>169.92</v>
      </c>
      <c r="J256">
        <v>0.15</v>
      </c>
      <c r="K256">
        <v>1733.18</v>
      </c>
      <c r="M256" t="str">
        <f t="shared" si="12"/>
        <v>Dec</v>
      </c>
      <c r="N256">
        <f t="shared" si="13"/>
        <v>12</v>
      </c>
      <c r="O256">
        <f t="shared" si="14"/>
        <v>1733.184</v>
      </c>
      <c r="P256" t="str">
        <f t="shared" si="15"/>
        <v>OK</v>
      </c>
    </row>
    <row r="257" spans="1:16" x14ac:dyDescent="0.35">
      <c r="A257" t="s">
        <v>498</v>
      </c>
      <c r="B257" s="3">
        <v>45393</v>
      </c>
      <c r="C257" t="s">
        <v>18</v>
      </c>
      <c r="D257" t="s">
        <v>42</v>
      </c>
      <c r="E257" t="s">
        <v>360</v>
      </c>
      <c r="F257" t="s">
        <v>44</v>
      </c>
      <c r="G257" t="s">
        <v>45</v>
      </c>
      <c r="H257">
        <v>9</v>
      </c>
      <c r="I257">
        <v>25.65</v>
      </c>
      <c r="J257">
        <v>0</v>
      </c>
      <c r="K257">
        <v>230.85</v>
      </c>
      <c r="M257" t="str">
        <f t="shared" si="12"/>
        <v>Apr</v>
      </c>
      <c r="N257">
        <f t="shared" si="13"/>
        <v>4</v>
      </c>
      <c r="O257">
        <f t="shared" si="14"/>
        <v>230.85</v>
      </c>
      <c r="P257" t="str">
        <f t="shared" si="15"/>
        <v>OK</v>
      </c>
    </row>
    <row r="258" spans="1:16" x14ac:dyDescent="0.35">
      <c r="A258" t="s">
        <v>499</v>
      </c>
      <c r="B258" s="3">
        <v>45620</v>
      </c>
      <c r="C258" t="s">
        <v>18</v>
      </c>
      <c r="D258" t="s">
        <v>57</v>
      </c>
      <c r="E258" t="s">
        <v>415</v>
      </c>
      <c r="F258" t="s">
        <v>53</v>
      </c>
      <c r="G258" t="s">
        <v>59</v>
      </c>
      <c r="H258">
        <v>3</v>
      </c>
      <c r="I258">
        <v>153.02000000000001</v>
      </c>
      <c r="J258">
        <v>0.1</v>
      </c>
      <c r="K258">
        <v>413.15</v>
      </c>
      <c r="M258" t="str">
        <f t="shared" si="12"/>
        <v>Nov</v>
      </c>
      <c r="N258">
        <f t="shared" si="13"/>
        <v>11</v>
      </c>
      <c r="O258">
        <f t="shared" si="14"/>
        <v>413.15400000000005</v>
      </c>
      <c r="P258" t="str">
        <f t="shared" si="15"/>
        <v>OK</v>
      </c>
    </row>
    <row r="259" spans="1:16" x14ac:dyDescent="0.35">
      <c r="A259" t="s">
        <v>500</v>
      </c>
      <c r="B259" s="3">
        <v>45576</v>
      </c>
      <c r="C259" t="s">
        <v>65</v>
      </c>
      <c r="D259" t="s">
        <v>25</v>
      </c>
      <c r="E259" t="s">
        <v>82</v>
      </c>
      <c r="F259" t="s">
        <v>44</v>
      </c>
      <c r="G259" t="s">
        <v>50</v>
      </c>
      <c r="H259">
        <v>5</v>
      </c>
      <c r="I259">
        <v>67.180000000000007</v>
      </c>
      <c r="J259">
        <v>0.1</v>
      </c>
      <c r="K259">
        <v>302.31</v>
      </c>
      <c r="M259" t="str">
        <f t="shared" ref="M259:M322" si="16">TEXT(B259,"mmm")</f>
        <v>Oct</v>
      </c>
      <c r="N259">
        <f t="shared" ref="N259:N322" si="17">MONTH(B259)</f>
        <v>10</v>
      </c>
      <c r="O259">
        <f t="shared" ref="O259:O322" si="18">H259*I259*(1-J259)</f>
        <v>302.31000000000006</v>
      </c>
      <c r="P259" t="str">
        <f t="shared" ref="P259:P322" si="19">IF(ROUND(K259,2)=ROUND(O259,2),"OK","MISMATCH")</f>
        <v>OK</v>
      </c>
    </row>
    <row r="260" spans="1:16" x14ac:dyDescent="0.35">
      <c r="A260" t="s">
        <v>501</v>
      </c>
      <c r="B260" s="3">
        <v>45624</v>
      </c>
      <c r="C260" t="s">
        <v>18</v>
      </c>
      <c r="D260" t="s">
        <v>19</v>
      </c>
      <c r="E260" t="s">
        <v>346</v>
      </c>
      <c r="F260" t="s">
        <v>44</v>
      </c>
      <c r="G260" t="s">
        <v>107</v>
      </c>
      <c r="H260">
        <v>1</v>
      </c>
      <c r="I260">
        <v>33.590000000000003</v>
      </c>
      <c r="J260">
        <v>0</v>
      </c>
      <c r="K260">
        <v>33.590000000000003</v>
      </c>
      <c r="M260" t="str">
        <f t="shared" si="16"/>
        <v>Nov</v>
      </c>
      <c r="N260">
        <f t="shared" si="17"/>
        <v>11</v>
      </c>
      <c r="O260">
        <f t="shared" si="18"/>
        <v>33.590000000000003</v>
      </c>
      <c r="P260" t="str">
        <f t="shared" si="19"/>
        <v>OK</v>
      </c>
    </row>
    <row r="261" spans="1:16" x14ac:dyDescent="0.35">
      <c r="A261" t="s">
        <v>502</v>
      </c>
      <c r="B261" s="3">
        <v>45293</v>
      </c>
      <c r="C261" t="s">
        <v>18</v>
      </c>
      <c r="D261" t="s">
        <v>13</v>
      </c>
      <c r="E261" t="s">
        <v>503</v>
      </c>
      <c r="F261" t="s">
        <v>15</v>
      </c>
      <c r="G261" t="s">
        <v>16</v>
      </c>
      <c r="H261">
        <v>11</v>
      </c>
      <c r="I261">
        <v>92.01</v>
      </c>
      <c r="J261">
        <v>0</v>
      </c>
      <c r="K261">
        <v>1012.11</v>
      </c>
      <c r="M261" t="str">
        <f t="shared" si="16"/>
        <v>Jan</v>
      </c>
      <c r="N261">
        <f t="shared" si="17"/>
        <v>1</v>
      </c>
      <c r="O261">
        <f t="shared" si="18"/>
        <v>1012.11</v>
      </c>
      <c r="P261" t="str">
        <f t="shared" si="19"/>
        <v>OK</v>
      </c>
    </row>
    <row r="262" spans="1:16" x14ac:dyDescent="0.35">
      <c r="A262" t="s">
        <v>504</v>
      </c>
      <c r="B262" s="3">
        <v>45386</v>
      </c>
      <c r="C262" t="s">
        <v>24</v>
      </c>
      <c r="D262" t="s">
        <v>25</v>
      </c>
      <c r="E262" t="s">
        <v>26</v>
      </c>
      <c r="F262" t="s">
        <v>53</v>
      </c>
      <c r="G262" t="s">
        <v>54</v>
      </c>
      <c r="H262">
        <v>7</v>
      </c>
      <c r="I262">
        <v>28.24</v>
      </c>
      <c r="J262">
        <v>0.05</v>
      </c>
      <c r="K262">
        <v>187.8</v>
      </c>
      <c r="M262" t="str">
        <f t="shared" si="16"/>
        <v>Apr</v>
      </c>
      <c r="N262">
        <f t="shared" si="17"/>
        <v>4</v>
      </c>
      <c r="O262">
        <f t="shared" si="18"/>
        <v>187.79599999999996</v>
      </c>
      <c r="P262" t="str">
        <f t="shared" si="19"/>
        <v>OK</v>
      </c>
    </row>
    <row r="263" spans="1:16" x14ac:dyDescent="0.35">
      <c r="A263" t="s">
        <v>505</v>
      </c>
      <c r="B263" s="3">
        <v>45395</v>
      </c>
      <c r="C263" t="s">
        <v>41</v>
      </c>
      <c r="D263" t="s">
        <v>13</v>
      </c>
      <c r="E263" t="s">
        <v>506</v>
      </c>
      <c r="F263" t="s">
        <v>44</v>
      </c>
      <c r="G263" t="s">
        <v>94</v>
      </c>
      <c r="H263">
        <v>6</v>
      </c>
      <c r="I263">
        <v>86.95</v>
      </c>
      <c r="J263">
        <v>0</v>
      </c>
      <c r="K263">
        <v>521.70000000000005</v>
      </c>
      <c r="M263" t="str">
        <f t="shared" si="16"/>
        <v>Apr</v>
      </c>
      <c r="N263">
        <f t="shared" si="17"/>
        <v>4</v>
      </c>
      <c r="O263">
        <f t="shared" si="18"/>
        <v>521.70000000000005</v>
      </c>
      <c r="P263" t="str">
        <f t="shared" si="19"/>
        <v>OK</v>
      </c>
    </row>
    <row r="264" spans="1:16" x14ac:dyDescent="0.35">
      <c r="A264" t="s">
        <v>507</v>
      </c>
      <c r="B264" s="3">
        <v>45477</v>
      </c>
      <c r="C264" t="s">
        <v>33</v>
      </c>
      <c r="D264" t="s">
        <v>57</v>
      </c>
      <c r="E264" t="s">
        <v>508</v>
      </c>
      <c r="F264" t="s">
        <v>44</v>
      </c>
      <c r="G264" t="s">
        <v>94</v>
      </c>
      <c r="H264">
        <v>4</v>
      </c>
      <c r="I264">
        <v>63.67</v>
      </c>
      <c r="J264">
        <v>0.1</v>
      </c>
      <c r="K264">
        <v>229.21</v>
      </c>
      <c r="M264" t="str">
        <f t="shared" si="16"/>
        <v>Jul</v>
      </c>
      <c r="N264">
        <f t="shared" si="17"/>
        <v>7</v>
      </c>
      <c r="O264">
        <f t="shared" si="18"/>
        <v>229.21200000000002</v>
      </c>
      <c r="P264" t="str">
        <f t="shared" si="19"/>
        <v>OK</v>
      </c>
    </row>
    <row r="265" spans="1:16" x14ac:dyDescent="0.35">
      <c r="A265" t="s">
        <v>509</v>
      </c>
      <c r="B265" s="3">
        <v>45586</v>
      </c>
      <c r="C265" t="s">
        <v>65</v>
      </c>
      <c r="D265" t="s">
        <v>25</v>
      </c>
      <c r="E265" t="s">
        <v>510</v>
      </c>
      <c r="F265" t="s">
        <v>53</v>
      </c>
      <c r="G265" t="s">
        <v>260</v>
      </c>
      <c r="H265">
        <v>2</v>
      </c>
      <c r="I265">
        <v>137.05000000000001</v>
      </c>
      <c r="J265">
        <v>0.1</v>
      </c>
      <c r="K265">
        <v>246.69</v>
      </c>
      <c r="M265" t="str">
        <f t="shared" si="16"/>
        <v>Oct</v>
      </c>
      <c r="N265">
        <f t="shared" si="17"/>
        <v>10</v>
      </c>
      <c r="O265">
        <f t="shared" si="18"/>
        <v>246.69000000000003</v>
      </c>
      <c r="P265" t="str">
        <f t="shared" si="19"/>
        <v>OK</v>
      </c>
    </row>
    <row r="266" spans="1:16" x14ac:dyDescent="0.35">
      <c r="A266" t="s">
        <v>511</v>
      </c>
      <c r="B266" s="3">
        <v>45315</v>
      </c>
      <c r="C266" t="s">
        <v>33</v>
      </c>
      <c r="D266" t="s">
        <v>57</v>
      </c>
      <c r="E266" t="s">
        <v>197</v>
      </c>
      <c r="F266" t="s">
        <v>35</v>
      </c>
      <c r="G266" t="s">
        <v>67</v>
      </c>
      <c r="H266">
        <v>12</v>
      </c>
      <c r="I266">
        <v>55.48</v>
      </c>
      <c r="J266">
        <v>0</v>
      </c>
      <c r="K266">
        <v>665.76</v>
      </c>
      <c r="M266" t="str">
        <f t="shared" si="16"/>
        <v>Jan</v>
      </c>
      <c r="N266">
        <f t="shared" si="17"/>
        <v>1</v>
      </c>
      <c r="O266">
        <f t="shared" si="18"/>
        <v>665.76</v>
      </c>
      <c r="P266" t="str">
        <f t="shared" si="19"/>
        <v>OK</v>
      </c>
    </row>
    <row r="267" spans="1:16" x14ac:dyDescent="0.35">
      <c r="A267" t="s">
        <v>512</v>
      </c>
      <c r="B267" s="3">
        <v>45372</v>
      </c>
      <c r="C267" t="s">
        <v>18</v>
      </c>
      <c r="D267" t="s">
        <v>57</v>
      </c>
      <c r="E267" t="s">
        <v>49</v>
      </c>
      <c r="F267" t="s">
        <v>35</v>
      </c>
      <c r="G267" t="s">
        <v>134</v>
      </c>
      <c r="H267">
        <v>8</v>
      </c>
      <c r="I267">
        <v>106.83</v>
      </c>
      <c r="J267">
        <v>0</v>
      </c>
      <c r="K267">
        <v>854.64</v>
      </c>
      <c r="M267" t="str">
        <f t="shared" si="16"/>
        <v>Mar</v>
      </c>
      <c r="N267">
        <f t="shared" si="17"/>
        <v>3</v>
      </c>
      <c r="O267">
        <f t="shared" si="18"/>
        <v>854.64</v>
      </c>
      <c r="P267" t="str">
        <f t="shared" si="19"/>
        <v>OK</v>
      </c>
    </row>
    <row r="268" spans="1:16" x14ac:dyDescent="0.35">
      <c r="A268" t="s">
        <v>513</v>
      </c>
      <c r="B268" s="3">
        <v>45605</v>
      </c>
      <c r="C268" t="s">
        <v>24</v>
      </c>
      <c r="D268" t="s">
        <v>19</v>
      </c>
      <c r="E268" t="s">
        <v>266</v>
      </c>
      <c r="F268" t="s">
        <v>35</v>
      </c>
      <c r="G268" t="s">
        <v>134</v>
      </c>
      <c r="H268">
        <v>2</v>
      </c>
      <c r="I268">
        <v>100.59</v>
      </c>
      <c r="J268">
        <v>0</v>
      </c>
      <c r="K268">
        <v>201.18</v>
      </c>
      <c r="M268" t="str">
        <f t="shared" si="16"/>
        <v>Nov</v>
      </c>
      <c r="N268">
        <f t="shared" si="17"/>
        <v>11</v>
      </c>
      <c r="O268">
        <f t="shared" si="18"/>
        <v>201.18</v>
      </c>
      <c r="P268" t="str">
        <f t="shared" si="19"/>
        <v>OK</v>
      </c>
    </row>
    <row r="269" spans="1:16" x14ac:dyDescent="0.35">
      <c r="A269" t="s">
        <v>514</v>
      </c>
      <c r="B269" s="3">
        <v>45592</v>
      </c>
      <c r="C269" t="s">
        <v>41</v>
      </c>
      <c r="D269" t="s">
        <v>19</v>
      </c>
      <c r="E269" t="s">
        <v>489</v>
      </c>
      <c r="F269" t="s">
        <v>35</v>
      </c>
      <c r="G269" t="s">
        <v>67</v>
      </c>
      <c r="H269">
        <v>11</v>
      </c>
      <c r="I269">
        <v>76.900000000000006</v>
      </c>
      <c r="J269">
        <v>0.1</v>
      </c>
      <c r="K269">
        <v>761.31</v>
      </c>
      <c r="M269" t="str">
        <f t="shared" si="16"/>
        <v>Oct</v>
      </c>
      <c r="N269">
        <f t="shared" si="17"/>
        <v>10</v>
      </c>
      <c r="O269">
        <f t="shared" si="18"/>
        <v>761.31000000000006</v>
      </c>
      <c r="P269" t="str">
        <f t="shared" si="19"/>
        <v>OK</v>
      </c>
    </row>
    <row r="270" spans="1:16" x14ac:dyDescent="0.35">
      <c r="A270" t="s">
        <v>515</v>
      </c>
      <c r="B270" s="3">
        <v>45310</v>
      </c>
      <c r="C270" t="s">
        <v>65</v>
      </c>
      <c r="D270" t="s">
        <v>13</v>
      </c>
      <c r="E270" t="s">
        <v>454</v>
      </c>
      <c r="F270" t="s">
        <v>44</v>
      </c>
      <c r="G270" t="s">
        <v>86</v>
      </c>
      <c r="H270">
        <v>3</v>
      </c>
      <c r="I270">
        <v>198.05</v>
      </c>
      <c r="J270">
        <v>0.15</v>
      </c>
      <c r="K270">
        <v>505.03</v>
      </c>
      <c r="M270" t="str">
        <f t="shared" si="16"/>
        <v>Jan</v>
      </c>
      <c r="N270">
        <f t="shared" si="17"/>
        <v>1</v>
      </c>
      <c r="O270">
        <f t="shared" si="18"/>
        <v>505.02750000000009</v>
      </c>
      <c r="P270" t="str">
        <f t="shared" si="19"/>
        <v>OK</v>
      </c>
    </row>
    <row r="271" spans="1:16" x14ac:dyDescent="0.35">
      <c r="A271" t="s">
        <v>516</v>
      </c>
      <c r="B271" s="3">
        <v>45357</v>
      </c>
      <c r="C271" t="s">
        <v>18</v>
      </c>
      <c r="D271" t="s">
        <v>57</v>
      </c>
      <c r="E271" t="s">
        <v>517</v>
      </c>
      <c r="F271" t="s">
        <v>35</v>
      </c>
      <c r="G271" t="s">
        <v>36</v>
      </c>
      <c r="H271">
        <v>4</v>
      </c>
      <c r="I271">
        <v>69.37</v>
      </c>
      <c r="J271">
        <v>0</v>
      </c>
      <c r="K271">
        <v>277.48</v>
      </c>
      <c r="M271" t="str">
        <f t="shared" si="16"/>
        <v>Mar</v>
      </c>
      <c r="N271">
        <f t="shared" si="17"/>
        <v>3</v>
      </c>
      <c r="O271">
        <f t="shared" si="18"/>
        <v>277.48</v>
      </c>
      <c r="P271" t="str">
        <f t="shared" si="19"/>
        <v>OK</v>
      </c>
    </row>
    <row r="272" spans="1:16" x14ac:dyDescent="0.35">
      <c r="A272" t="s">
        <v>518</v>
      </c>
      <c r="B272" s="3">
        <v>45420</v>
      </c>
      <c r="C272" t="s">
        <v>18</v>
      </c>
      <c r="D272" t="s">
        <v>57</v>
      </c>
      <c r="E272" t="s">
        <v>357</v>
      </c>
      <c r="F272" t="s">
        <v>35</v>
      </c>
      <c r="G272" t="s">
        <v>67</v>
      </c>
      <c r="H272">
        <v>12</v>
      </c>
      <c r="I272">
        <v>48.09</v>
      </c>
      <c r="J272">
        <v>0.1</v>
      </c>
      <c r="K272">
        <v>519.37</v>
      </c>
      <c r="M272" t="str">
        <f t="shared" si="16"/>
        <v>May</v>
      </c>
      <c r="N272">
        <f t="shared" si="17"/>
        <v>5</v>
      </c>
      <c r="O272">
        <f t="shared" si="18"/>
        <v>519.37200000000007</v>
      </c>
      <c r="P272" t="str">
        <f t="shared" si="19"/>
        <v>OK</v>
      </c>
    </row>
    <row r="273" spans="1:16" x14ac:dyDescent="0.35">
      <c r="A273" t="s">
        <v>519</v>
      </c>
      <c r="B273" s="3">
        <v>45447</v>
      </c>
      <c r="C273" t="s">
        <v>65</v>
      </c>
      <c r="D273" t="s">
        <v>13</v>
      </c>
      <c r="E273" t="s">
        <v>388</v>
      </c>
      <c r="F273" t="s">
        <v>44</v>
      </c>
      <c r="G273" t="s">
        <v>45</v>
      </c>
      <c r="H273">
        <v>9</v>
      </c>
      <c r="I273">
        <v>247.15</v>
      </c>
      <c r="J273">
        <v>0</v>
      </c>
      <c r="K273">
        <v>2224.35</v>
      </c>
      <c r="M273" t="str">
        <f t="shared" si="16"/>
        <v>Jun</v>
      </c>
      <c r="N273">
        <f t="shared" si="17"/>
        <v>6</v>
      </c>
      <c r="O273">
        <f t="shared" si="18"/>
        <v>2224.35</v>
      </c>
      <c r="P273" t="str">
        <f t="shared" si="19"/>
        <v>OK</v>
      </c>
    </row>
    <row r="274" spans="1:16" x14ac:dyDescent="0.35">
      <c r="A274" t="s">
        <v>520</v>
      </c>
      <c r="B274" s="3">
        <v>45487</v>
      </c>
      <c r="C274" t="s">
        <v>65</v>
      </c>
      <c r="D274" t="s">
        <v>42</v>
      </c>
      <c r="E274" t="s">
        <v>521</v>
      </c>
      <c r="F274" t="s">
        <v>21</v>
      </c>
      <c r="G274" t="s">
        <v>194</v>
      </c>
      <c r="H274">
        <v>9</v>
      </c>
      <c r="I274">
        <v>134.63</v>
      </c>
      <c r="J274">
        <v>0</v>
      </c>
      <c r="K274">
        <v>1211.67</v>
      </c>
      <c r="M274" t="str">
        <f t="shared" si="16"/>
        <v>Jul</v>
      </c>
      <c r="N274">
        <f t="shared" si="17"/>
        <v>7</v>
      </c>
      <c r="O274">
        <f t="shared" si="18"/>
        <v>1211.67</v>
      </c>
      <c r="P274" t="str">
        <f t="shared" si="19"/>
        <v>OK</v>
      </c>
    </row>
    <row r="275" spans="1:16" x14ac:dyDescent="0.35">
      <c r="A275" t="s">
        <v>522</v>
      </c>
      <c r="B275" s="3">
        <v>45516</v>
      </c>
      <c r="C275" t="s">
        <v>18</v>
      </c>
      <c r="D275" t="s">
        <v>57</v>
      </c>
      <c r="E275" t="s">
        <v>351</v>
      </c>
      <c r="F275" t="s">
        <v>35</v>
      </c>
      <c r="G275" t="s">
        <v>83</v>
      </c>
      <c r="H275">
        <v>6</v>
      </c>
      <c r="I275">
        <v>204.51</v>
      </c>
      <c r="J275">
        <v>0</v>
      </c>
      <c r="K275">
        <v>1227.06</v>
      </c>
      <c r="M275" t="str">
        <f t="shared" si="16"/>
        <v>Aug</v>
      </c>
      <c r="N275">
        <f t="shared" si="17"/>
        <v>8</v>
      </c>
      <c r="O275">
        <f t="shared" si="18"/>
        <v>1227.06</v>
      </c>
      <c r="P275" t="str">
        <f t="shared" si="19"/>
        <v>OK</v>
      </c>
    </row>
    <row r="276" spans="1:16" x14ac:dyDescent="0.35">
      <c r="A276" t="s">
        <v>523</v>
      </c>
      <c r="B276" s="3">
        <v>45415</v>
      </c>
      <c r="C276" t="s">
        <v>41</v>
      </c>
      <c r="D276" t="s">
        <v>19</v>
      </c>
      <c r="E276" t="s">
        <v>180</v>
      </c>
      <c r="F276" t="s">
        <v>15</v>
      </c>
      <c r="G276" t="s">
        <v>27</v>
      </c>
      <c r="H276">
        <v>12</v>
      </c>
      <c r="I276">
        <v>194.02</v>
      </c>
      <c r="J276">
        <v>0</v>
      </c>
      <c r="K276">
        <v>2328.2399999999998</v>
      </c>
      <c r="M276" t="str">
        <f t="shared" si="16"/>
        <v>May</v>
      </c>
      <c r="N276">
        <f t="shared" si="17"/>
        <v>5</v>
      </c>
      <c r="O276">
        <f t="shared" si="18"/>
        <v>2328.2400000000002</v>
      </c>
      <c r="P276" t="str">
        <f t="shared" si="19"/>
        <v>OK</v>
      </c>
    </row>
    <row r="277" spans="1:16" x14ac:dyDescent="0.35">
      <c r="A277" t="s">
        <v>524</v>
      </c>
      <c r="B277" s="3">
        <v>45478</v>
      </c>
      <c r="C277" t="s">
        <v>65</v>
      </c>
      <c r="D277" t="s">
        <v>57</v>
      </c>
      <c r="E277" t="s">
        <v>110</v>
      </c>
      <c r="F277" t="s">
        <v>35</v>
      </c>
      <c r="G277" t="s">
        <v>83</v>
      </c>
      <c r="H277">
        <v>10</v>
      </c>
      <c r="I277">
        <v>95.89</v>
      </c>
      <c r="J277">
        <v>0.05</v>
      </c>
      <c r="K277">
        <v>910.95</v>
      </c>
      <c r="M277" t="str">
        <f t="shared" si="16"/>
        <v>Jul</v>
      </c>
      <c r="N277">
        <f t="shared" si="17"/>
        <v>7</v>
      </c>
      <c r="O277">
        <f t="shared" si="18"/>
        <v>910.95499999999993</v>
      </c>
      <c r="P277" t="str">
        <f t="shared" si="19"/>
        <v>MISMATCH</v>
      </c>
    </row>
    <row r="278" spans="1:16" x14ac:dyDescent="0.35">
      <c r="A278" t="s">
        <v>525</v>
      </c>
      <c r="B278" s="3">
        <v>45629</v>
      </c>
      <c r="C278" t="s">
        <v>41</v>
      </c>
      <c r="D278" t="s">
        <v>13</v>
      </c>
      <c r="E278" t="s">
        <v>526</v>
      </c>
      <c r="F278" t="s">
        <v>35</v>
      </c>
      <c r="G278" t="s">
        <v>36</v>
      </c>
      <c r="H278">
        <v>3</v>
      </c>
      <c r="I278">
        <v>236.98</v>
      </c>
      <c r="J278">
        <v>0</v>
      </c>
      <c r="K278">
        <v>710.94</v>
      </c>
      <c r="M278" t="str">
        <f t="shared" si="16"/>
        <v>Dec</v>
      </c>
      <c r="N278">
        <f t="shared" si="17"/>
        <v>12</v>
      </c>
      <c r="O278">
        <f t="shared" si="18"/>
        <v>710.93999999999994</v>
      </c>
      <c r="P278" t="str">
        <f t="shared" si="19"/>
        <v>OK</v>
      </c>
    </row>
    <row r="279" spans="1:16" x14ac:dyDescent="0.35">
      <c r="A279" t="s">
        <v>527</v>
      </c>
      <c r="B279" s="3">
        <v>45575</v>
      </c>
      <c r="C279" t="s">
        <v>18</v>
      </c>
      <c r="D279" t="s">
        <v>42</v>
      </c>
      <c r="E279" t="s">
        <v>204</v>
      </c>
      <c r="F279" t="s">
        <v>53</v>
      </c>
      <c r="G279" t="s">
        <v>63</v>
      </c>
      <c r="H279">
        <v>2</v>
      </c>
      <c r="I279">
        <v>248.85</v>
      </c>
      <c r="J279">
        <v>0</v>
      </c>
      <c r="K279">
        <v>497.7</v>
      </c>
      <c r="M279" t="str">
        <f t="shared" si="16"/>
        <v>Oct</v>
      </c>
      <c r="N279">
        <f t="shared" si="17"/>
        <v>10</v>
      </c>
      <c r="O279">
        <f t="shared" si="18"/>
        <v>497.7</v>
      </c>
      <c r="P279" t="str">
        <f t="shared" si="19"/>
        <v>OK</v>
      </c>
    </row>
    <row r="280" spans="1:16" x14ac:dyDescent="0.35">
      <c r="A280" t="s">
        <v>528</v>
      </c>
      <c r="B280" s="3">
        <v>45461</v>
      </c>
      <c r="C280" t="s">
        <v>24</v>
      </c>
      <c r="D280" t="s">
        <v>13</v>
      </c>
      <c r="E280" t="s">
        <v>492</v>
      </c>
      <c r="F280" t="s">
        <v>21</v>
      </c>
      <c r="G280" t="s">
        <v>167</v>
      </c>
      <c r="H280">
        <v>4</v>
      </c>
      <c r="I280">
        <v>17.34</v>
      </c>
      <c r="J280">
        <v>0.1</v>
      </c>
      <c r="K280">
        <v>62.42</v>
      </c>
      <c r="M280" t="str">
        <f t="shared" si="16"/>
        <v>Jun</v>
      </c>
      <c r="N280">
        <f t="shared" si="17"/>
        <v>6</v>
      </c>
      <c r="O280">
        <f t="shared" si="18"/>
        <v>62.423999999999999</v>
      </c>
      <c r="P280" t="str">
        <f t="shared" si="19"/>
        <v>OK</v>
      </c>
    </row>
    <row r="281" spans="1:16" x14ac:dyDescent="0.35">
      <c r="A281" t="s">
        <v>529</v>
      </c>
      <c r="B281" s="3">
        <v>45299</v>
      </c>
      <c r="C281" t="s">
        <v>33</v>
      </c>
      <c r="D281" t="s">
        <v>57</v>
      </c>
      <c r="E281" t="s">
        <v>62</v>
      </c>
      <c r="F281" t="s">
        <v>21</v>
      </c>
      <c r="G281" t="s">
        <v>167</v>
      </c>
      <c r="H281">
        <v>11</v>
      </c>
      <c r="I281">
        <v>206.03</v>
      </c>
      <c r="J281">
        <v>0.15</v>
      </c>
      <c r="K281">
        <v>1926.38</v>
      </c>
      <c r="M281" t="str">
        <f t="shared" si="16"/>
        <v>Jan</v>
      </c>
      <c r="N281">
        <f t="shared" si="17"/>
        <v>1</v>
      </c>
      <c r="O281">
        <f t="shared" si="18"/>
        <v>1926.3805</v>
      </c>
      <c r="P281" t="str">
        <f t="shared" si="19"/>
        <v>OK</v>
      </c>
    </row>
    <row r="282" spans="1:16" x14ac:dyDescent="0.35">
      <c r="A282" t="s">
        <v>530</v>
      </c>
      <c r="B282" s="3">
        <v>45399</v>
      </c>
      <c r="C282" t="s">
        <v>24</v>
      </c>
      <c r="D282" t="s">
        <v>25</v>
      </c>
      <c r="E282" t="s">
        <v>531</v>
      </c>
      <c r="F282" t="s">
        <v>44</v>
      </c>
      <c r="G282" t="s">
        <v>50</v>
      </c>
      <c r="H282">
        <v>11</v>
      </c>
      <c r="I282">
        <v>90</v>
      </c>
      <c r="J282">
        <v>0</v>
      </c>
      <c r="K282">
        <v>990</v>
      </c>
      <c r="M282" t="str">
        <f t="shared" si="16"/>
        <v>Apr</v>
      </c>
      <c r="N282">
        <f t="shared" si="17"/>
        <v>4</v>
      </c>
      <c r="O282">
        <f t="shared" si="18"/>
        <v>990</v>
      </c>
      <c r="P282" t="str">
        <f t="shared" si="19"/>
        <v>OK</v>
      </c>
    </row>
    <row r="283" spans="1:16" x14ac:dyDescent="0.35">
      <c r="A283" t="s">
        <v>532</v>
      </c>
      <c r="B283" s="3">
        <v>45435</v>
      </c>
      <c r="C283" t="s">
        <v>65</v>
      </c>
      <c r="D283" t="s">
        <v>57</v>
      </c>
      <c r="E283" t="s">
        <v>250</v>
      </c>
      <c r="F283" t="s">
        <v>15</v>
      </c>
      <c r="G283" t="s">
        <v>74</v>
      </c>
      <c r="H283">
        <v>8</v>
      </c>
      <c r="I283">
        <v>32.22</v>
      </c>
      <c r="J283">
        <v>0.05</v>
      </c>
      <c r="K283">
        <v>244.87</v>
      </c>
      <c r="M283" t="str">
        <f t="shared" si="16"/>
        <v>May</v>
      </c>
      <c r="N283">
        <f t="shared" si="17"/>
        <v>5</v>
      </c>
      <c r="O283">
        <f t="shared" si="18"/>
        <v>244.87199999999999</v>
      </c>
      <c r="P283" t="str">
        <f t="shared" si="19"/>
        <v>OK</v>
      </c>
    </row>
    <row r="284" spans="1:16" x14ac:dyDescent="0.35">
      <c r="A284" t="s">
        <v>534</v>
      </c>
      <c r="B284" s="3">
        <v>45370</v>
      </c>
      <c r="C284" t="s">
        <v>24</v>
      </c>
      <c r="D284" t="s">
        <v>19</v>
      </c>
      <c r="E284" t="s">
        <v>535</v>
      </c>
      <c r="F284" t="s">
        <v>53</v>
      </c>
      <c r="G284" t="s">
        <v>125</v>
      </c>
      <c r="H284">
        <v>2</v>
      </c>
      <c r="I284">
        <v>157.38</v>
      </c>
      <c r="J284">
        <v>0</v>
      </c>
      <c r="K284">
        <v>314.76</v>
      </c>
      <c r="M284" t="str">
        <f t="shared" si="16"/>
        <v>Mar</v>
      </c>
      <c r="N284">
        <f t="shared" si="17"/>
        <v>3</v>
      </c>
      <c r="O284">
        <f t="shared" si="18"/>
        <v>314.76</v>
      </c>
      <c r="P284" t="str">
        <f t="shared" si="19"/>
        <v>OK</v>
      </c>
    </row>
    <row r="285" spans="1:16" x14ac:dyDescent="0.35">
      <c r="A285" t="s">
        <v>536</v>
      </c>
      <c r="B285" s="3">
        <v>45325</v>
      </c>
      <c r="C285" t="s">
        <v>24</v>
      </c>
      <c r="D285" t="s">
        <v>25</v>
      </c>
      <c r="E285" t="s">
        <v>43</v>
      </c>
      <c r="F285" t="s">
        <v>21</v>
      </c>
      <c r="G285" t="s">
        <v>194</v>
      </c>
      <c r="H285">
        <v>11</v>
      </c>
      <c r="I285">
        <v>90.22</v>
      </c>
      <c r="J285">
        <v>0</v>
      </c>
      <c r="K285">
        <v>992.42</v>
      </c>
      <c r="M285" t="str">
        <f t="shared" si="16"/>
        <v>Feb</v>
      </c>
      <c r="N285">
        <f t="shared" si="17"/>
        <v>2</v>
      </c>
      <c r="O285">
        <f t="shared" si="18"/>
        <v>992.42</v>
      </c>
      <c r="P285" t="str">
        <f t="shared" si="19"/>
        <v>OK</v>
      </c>
    </row>
    <row r="286" spans="1:16" x14ac:dyDescent="0.35">
      <c r="A286" t="s">
        <v>537</v>
      </c>
      <c r="B286" s="3">
        <v>45398</v>
      </c>
      <c r="C286" t="s">
        <v>18</v>
      </c>
      <c r="D286" t="s">
        <v>42</v>
      </c>
      <c r="E286" t="s">
        <v>266</v>
      </c>
      <c r="F286" t="s">
        <v>53</v>
      </c>
      <c r="G286" t="s">
        <v>104</v>
      </c>
      <c r="H286">
        <v>7</v>
      </c>
      <c r="I286">
        <v>81.98</v>
      </c>
      <c r="J286">
        <v>0</v>
      </c>
      <c r="K286">
        <v>573.86</v>
      </c>
      <c r="M286" t="str">
        <f t="shared" si="16"/>
        <v>Apr</v>
      </c>
      <c r="N286">
        <f t="shared" si="17"/>
        <v>4</v>
      </c>
      <c r="O286">
        <f t="shared" si="18"/>
        <v>573.86</v>
      </c>
      <c r="P286" t="str">
        <f t="shared" si="19"/>
        <v>OK</v>
      </c>
    </row>
    <row r="287" spans="1:16" x14ac:dyDescent="0.35">
      <c r="A287" t="s">
        <v>539</v>
      </c>
      <c r="B287" s="3">
        <v>45387</v>
      </c>
      <c r="C287" t="s">
        <v>18</v>
      </c>
      <c r="D287" t="s">
        <v>25</v>
      </c>
      <c r="E287" t="s">
        <v>470</v>
      </c>
      <c r="F287" t="s">
        <v>15</v>
      </c>
      <c r="G287" t="s">
        <v>16</v>
      </c>
      <c r="H287">
        <v>2</v>
      </c>
      <c r="I287">
        <v>8.6</v>
      </c>
      <c r="J287">
        <v>0.1</v>
      </c>
      <c r="K287">
        <v>15.48</v>
      </c>
      <c r="M287" t="str">
        <f t="shared" si="16"/>
        <v>Apr</v>
      </c>
      <c r="N287">
        <f t="shared" si="17"/>
        <v>4</v>
      </c>
      <c r="O287">
        <f t="shared" si="18"/>
        <v>15.48</v>
      </c>
      <c r="P287" t="str">
        <f t="shared" si="19"/>
        <v>OK</v>
      </c>
    </row>
    <row r="288" spans="1:16" x14ac:dyDescent="0.35">
      <c r="A288" t="s">
        <v>540</v>
      </c>
      <c r="B288" s="3">
        <v>45618</v>
      </c>
      <c r="C288" t="s">
        <v>65</v>
      </c>
      <c r="D288" t="s">
        <v>13</v>
      </c>
      <c r="E288" t="s">
        <v>542</v>
      </c>
      <c r="F288" t="s">
        <v>15</v>
      </c>
      <c r="G288" t="s">
        <v>74</v>
      </c>
      <c r="H288">
        <v>9</v>
      </c>
      <c r="I288">
        <v>146.63999999999999</v>
      </c>
      <c r="J288">
        <v>0</v>
      </c>
      <c r="K288">
        <v>1319.76</v>
      </c>
      <c r="M288" t="str">
        <f t="shared" si="16"/>
        <v>Nov</v>
      </c>
      <c r="N288">
        <f t="shared" si="17"/>
        <v>11</v>
      </c>
      <c r="O288">
        <f t="shared" si="18"/>
        <v>1319.7599999999998</v>
      </c>
      <c r="P288" t="str">
        <f t="shared" si="19"/>
        <v>OK</v>
      </c>
    </row>
    <row r="289" spans="1:16" x14ac:dyDescent="0.35">
      <c r="A289" t="s">
        <v>543</v>
      </c>
      <c r="B289" s="3">
        <v>45385</v>
      </c>
      <c r="C289" t="s">
        <v>24</v>
      </c>
      <c r="D289" t="s">
        <v>2216</v>
      </c>
      <c r="E289" t="s">
        <v>43</v>
      </c>
      <c r="F289" t="s">
        <v>53</v>
      </c>
      <c r="G289" t="s">
        <v>125</v>
      </c>
      <c r="H289">
        <v>5</v>
      </c>
      <c r="I289">
        <v>95.66</v>
      </c>
      <c r="J289">
        <v>0</v>
      </c>
      <c r="K289">
        <v>478.3</v>
      </c>
      <c r="M289" t="str">
        <f t="shared" si="16"/>
        <v>Apr</v>
      </c>
      <c r="N289">
        <f t="shared" si="17"/>
        <v>4</v>
      </c>
      <c r="O289">
        <f t="shared" si="18"/>
        <v>478.29999999999995</v>
      </c>
      <c r="P289" t="str">
        <f t="shared" si="19"/>
        <v>OK</v>
      </c>
    </row>
    <row r="290" spans="1:16" x14ac:dyDescent="0.35">
      <c r="A290" t="s">
        <v>544</v>
      </c>
      <c r="B290" s="3">
        <v>45487</v>
      </c>
      <c r="C290" t="s">
        <v>33</v>
      </c>
      <c r="D290" t="s">
        <v>57</v>
      </c>
      <c r="E290" t="s">
        <v>266</v>
      </c>
      <c r="F290" t="s">
        <v>21</v>
      </c>
      <c r="G290" t="s">
        <v>22</v>
      </c>
      <c r="H290">
        <v>10</v>
      </c>
      <c r="I290">
        <v>107.25</v>
      </c>
      <c r="J290">
        <v>0</v>
      </c>
      <c r="K290">
        <v>1072.5</v>
      </c>
      <c r="M290" t="str">
        <f t="shared" si="16"/>
        <v>Jul</v>
      </c>
      <c r="N290">
        <f t="shared" si="17"/>
        <v>7</v>
      </c>
      <c r="O290">
        <f t="shared" si="18"/>
        <v>1072.5</v>
      </c>
      <c r="P290" t="str">
        <f t="shared" si="19"/>
        <v>OK</v>
      </c>
    </row>
    <row r="291" spans="1:16" x14ac:dyDescent="0.35">
      <c r="A291" t="s">
        <v>546</v>
      </c>
      <c r="B291" s="3">
        <v>45340</v>
      </c>
      <c r="C291" t="s">
        <v>65</v>
      </c>
      <c r="D291" t="s">
        <v>42</v>
      </c>
      <c r="E291" t="s">
        <v>547</v>
      </c>
      <c r="F291" t="s">
        <v>35</v>
      </c>
      <c r="G291" t="s">
        <v>67</v>
      </c>
      <c r="H291">
        <v>11</v>
      </c>
      <c r="I291">
        <v>120.84</v>
      </c>
      <c r="J291">
        <v>0</v>
      </c>
      <c r="K291">
        <v>1329.24</v>
      </c>
      <c r="M291" t="str">
        <f t="shared" si="16"/>
        <v>Feb</v>
      </c>
      <c r="N291">
        <f t="shared" si="17"/>
        <v>2</v>
      </c>
      <c r="O291">
        <f t="shared" si="18"/>
        <v>1329.24</v>
      </c>
      <c r="P291" t="str">
        <f t="shared" si="19"/>
        <v>OK</v>
      </c>
    </row>
    <row r="292" spans="1:16" x14ac:dyDescent="0.35">
      <c r="A292" t="s">
        <v>548</v>
      </c>
      <c r="B292" s="3">
        <v>45365</v>
      </c>
      <c r="C292" t="s">
        <v>65</v>
      </c>
      <c r="D292" t="s">
        <v>13</v>
      </c>
      <c r="E292" t="s">
        <v>103</v>
      </c>
      <c r="F292" t="s">
        <v>15</v>
      </c>
      <c r="G292" t="s">
        <v>147</v>
      </c>
      <c r="H292">
        <v>12</v>
      </c>
      <c r="I292">
        <v>204.43</v>
      </c>
      <c r="J292">
        <v>0.15</v>
      </c>
      <c r="K292">
        <v>2085.19</v>
      </c>
      <c r="M292" t="str">
        <f t="shared" si="16"/>
        <v>Mar</v>
      </c>
      <c r="N292">
        <f t="shared" si="17"/>
        <v>3</v>
      </c>
      <c r="O292">
        <f t="shared" si="18"/>
        <v>2085.1859999999997</v>
      </c>
      <c r="P292" t="str">
        <f t="shared" si="19"/>
        <v>OK</v>
      </c>
    </row>
    <row r="293" spans="1:16" x14ac:dyDescent="0.35">
      <c r="A293" t="s">
        <v>549</v>
      </c>
      <c r="B293" s="3">
        <v>45347</v>
      </c>
      <c r="C293" t="s">
        <v>24</v>
      </c>
      <c r="D293" t="s">
        <v>19</v>
      </c>
      <c r="E293" t="s">
        <v>93</v>
      </c>
      <c r="F293" t="s">
        <v>53</v>
      </c>
      <c r="G293" t="s">
        <v>260</v>
      </c>
      <c r="H293">
        <v>11</v>
      </c>
      <c r="I293">
        <v>76.66</v>
      </c>
      <c r="J293">
        <v>0.05</v>
      </c>
      <c r="K293">
        <v>801.1</v>
      </c>
      <c r="M293" t="str">
        <f t="shared" si="16"/>
        <v>Feb</v>
      </c>
      <c r="N293">
        <f t="shared" si="17"/>
        <v>2</v>
      </c>
      <c r="O293">
        <f t="shared" si="18"/>
        <v>801.09699999999998</v>
      </c>
      <c r="P293" t="str">
        <f t="shared" si="19"/>
        <v>OK</v>
      </c>
    </row>
    <row r="294" spans="1:16" x14ac:dyDescent="0.35">
      <c r="A294" t="s">
        <v>550</v>
      </c>
      <c r="B294" s="3">
        <v>45442</v>
      </c>
      <c r="C294" t="s">
        <v>24</v>
      </c>
      <c r="D294" t="s">
        <v>13</v>
      </c>
      <c r="E294" t="s">
        <v>124</v>
      </c>
      <c r="F294" t="s">
        <v>21</v>
      </c>
      <c r="G294" t="s">
        <v>194</v>
      </c>
      <c r="H294">
        <v>4</v>
      </c>
      <c r="I294">
        <v>224.14</v>
      </c>
      <c r="J294">
        <v>0.1</v>
      </c>
      <c r="K294">
        <v>806.9</v>
      </c>
      <c r="M294" t="str">
        <f t="shared" si="16"/>
        <v>May</v>
      </c>
      <c r="N294">
        <f t="shared" si="17"/>
        <v>5</v>
      </c>
      <c r="O294">
        <f t="shared" si="18"/>
        <v>806.904</v>
      </c>
      <c r="P294" t="str">
        <f t="shared" si="19"/>
        <v>OK</v>
      </c>
    </row>
    <row r="295" spans="1:16" x14ac:dyDescent="0.35">
      <c r="A295" t="s">
        <v>551</v>
      </c>
      <c r="B295" s="3">
        <v>45628</v>
      </c>
      <c r="C295" t="s">
        <v>65</v>
      </c>
      <c r="D295" t="s">
        <v>25</v>
      </c>
      <c r="E295" t="s">
        <v>26</v>
      </c>
      <c r="F295" t="s">
        <v>15</v>
      </c>
      <c r="G295" t="s">
        <v>27</v>
      </c>
      <c r="H295">
        <v>12</v>
      </c>
      <c r="I295">
        <v>22.05</v>
      </c>
      <c r="J295">
        <v>0.15</v>
      </c>
      <c r="K295">
        <v>224.91</v>
      </c>
      <c r="M295" t="str">
        <f t="shared" si="16"/>
        <v>Dec</v>
      </c>
      <c r="N295">
        <f t="shared" si="17"/>
        <v>12</v>
      </c>
      <c r="O295">
        <f t="shared" si="18"/>
        <v>224.91000000000003</v>
      </c>
      <c r="P295" t="str">
        <f t="shared" si="19"/>
        <v>OK</v>
      </c>
    </row>
    <row r="296" spans="1:16" x14ac:dyDescent="0.35">
      <c r="A296" t="s">
        <v>552</v>
      </c>
      <c r="B296" s="3">
        <v>45472</v>
      </c>
      <c r="C296" t="s">
        <v>65</v>
      </c>
      <c r="D296" t="s">
        <v>42</v>
      </c>
      <c r="E296" t="s">
        <v>131</v>
      </c>
      <c r="F296" t="s">
        <v>21</v>
      </c>
      <c r="G296" t="s">
        <v>129</v>
      </c>
      <c r="H296">
        <v>10</v>
      </c>
      <c r="I296">
        <v>107.45</v>
      </c>
      <c r="J296">
        <v>0</v>
      </c>
      <c r="K296">
        <v>1074.5</v>
      </c>
      <c r="M296" t="str">
        <f t="shared" si="16"/>
        <v>Jun</v>
      </c>
      <c r="N296">
        <f t="shared" si="17"/>
        <v>6</v>
      </c>
      <c r="O296">
        <f t="shared" si="18"/>
        <v>1074.5</v>
      </c>
      <c r="P296" t="str">
        <f t="shared" si="19"/>
        <v>OK</v>
      </c>
    </row>
    <row r="297" spans="1:16" x14ac:dyDescent="0.35">
      <c r="A297" t="s">
        <v>554</v>
      </c>
      <c r="B297" s="3">
        <v>45559</v>
      </c>
      <c r="C297" t="s">
        <v>24</v>
      </c>
      <c r="D297" t="s">
        <v>13</v>
      </c>
      <c r="E297" t="s">
        <v>2217</v>
      </c>
      <c r="F297" t="s">
        <v>53</v>
      </c>
      <c r="G297" t="s">
        <v>125</v>
      </c>
      <c r="H297">
        <v>11</v>
      </c>
      <c r="I297">
        <v>122.28</v>
      </c>
      <c r="J297">
        <v>0</v>
      </c>
      <c r="K297">
        <v>1345.08</v>
      </c>
      <c r="M297" t="str">
        <f t="shared" si="16"/>
        <v>Sep</v>
      </c>
      <c r="N297">
        <f t="shared" si="17"/>
        <v>9</v>
      </c>
      <c r="O297">
        <f t="shared" si="18"/>
        <v>1345.08</v>
      </c>
      <c r="P297" t="str">
        <f t="shared" si="19"/>
        <v>OK</v>
      </c>
    </row>
    <row r="298" spans="1:16" x14ac:dyDescent="0.35">
      <c r="A298" t="s">
        <v>555</v>
      </c>
      <c r="B298" s="3">
        <v>45577</v>
      </c>
      <c r="C298" t="s">
        <v>24</v>
      </c>
      <c r="D298" t="s">
        <v>42</v>
      </c>
      <c r="E298" t="s">
        <v>133</v>
      </c>
      <c r="F298" t="s">
        <v>35</v>
      </c>
      <c r="G298" t="s">
        <v>36</v>
      </c>
      <c r="H298">
        <v>7</v>
      </c>
      <c r="I298">
        <v>27.12</v>
      </c>
      <c r="J298">
        <v>0</v>
      </c>
      <c r="K298">
        <v>189.84</v>
      </c>
      <c r="M298" t="str">
        <f t="shared" si="16"/>
        <v>Oct</v>
      </c>
      <c r="N298">
        <f t="shared" si="17"/>
        <v>10</v>
      </c>
      <c r="O298">
        <f t="shared" si="18"/>
        <v>189.84</v>
      </c>
      <c r="P298" t="str">
        <f t="shared" si="19"/>
        <v>OK</v>
      </c>
    </row>
    <row r="299" spans="1:16" x14ac:dyDescent="0.35">
      <c r="A299" t="s">
        <v>556</v>
      </c>
      <c r="B299" s="3">
        <v>45319</v>
      </c>
      <c r="C299" t="s">
        <v>18</v>
      </c>
      <c r="D299" t="s">
        <v>13</v>
      </c>
      <c r="E299" t="s">
        <v>139</v>
      </c>
      <c r="F299" t="s">
        <v>35</v>
      </c>
      <c r="G299" t="s">
        <v>36</v>
      </c>
      <c r="H299">
        <v>4</v>
      </c>
      <c r="I299">
        <v>134.55000000000001</v>
      </c>
      <c r="J299">
        <v>0.15</v>
      </c>
      <c r="K299">
        <v>457.47</v>
      </c>
      <c r="M299" t="str">
        <f t="shared" si="16"/>
        <v>Jan</v>
      </c>
      <c r="N299">
        <f t="shared" si="17"/>
        <v>1</v>
      </c>
      <c r="O299">
        <f t="shared" si="18"/>
        <v>457.47</v>
      </c>
      <c r="P299" t="str">
        <f t="shared" si="19"/>
        <v>OK</v>
      </c>
    </row>
    <row r="300" spans="1:16" x14ac:dyDescent="0.35">
      <c r="A300" t="s">
        <v>558</v>
      </c>
      <c r="B300" s="3">
        <v>45297</v>
      </c>
      <c r="C300" t="s">
        <v>24</v>
      </c>
      <c r="D300" t="s">
        <v>57</v>
      </c>
      <c r="E300" t="s">
        <v>429</v>
      </c>
      <c r="F300" t="s">
        <v>15</v>
      </c>
      <c r="G300" t="s">
        <v>16</v>
      </c>
      <c r="H300">
        <v>3</v>
      </c>
      <c r="I300">
        <v>33.1</v>
      </c>
      <c r="J300">
        <v>0</v>
      </c>
      <c r="K300">
        <v>99.3</v>
      </c>
      <c r="M300" t="str">
        <f t="shared" si="16"/>
        <v>Jan</v>
      </c>
      <c r="N300">
        <f t="shared" si="17"/>
        <v>1</v>
      </c>
      <c r="O300">
        <f t="shared" si="18"/>
        <v>99.300000000000011</v>
      </c>
      <c r="P300" t="str">
        <f t="shared" si="19"/>
        <v>OK</v>
      </c>
    </row>
    <row r="301" spans="1:16" x14ac:dyDescent="0.35">
      <c r="A301" t="s">
        <v>559</v>
      </c>
      <c r="B301" s="3">
        <v>45571</v>
      </c>
      <c r="C301" t="s">
        <v>24</v>
      </c>
      <c r="D301" t="s">
        <v>19</v>
      </c>
      <c r="E301" t="s">
        <v>150</v>
      </c>
      <c r="F301" t="s">
        <v>35</v>
      </c>
      <c r="G301" t="s">
        <v>83</v>
      </c>
      <c r="H301">
        <v>7</v>
      </c>
      <c r="I301">
        <v>14.53</v>
      </c>
      <c r="J301">
        <v>0.05</v>
      </c>
      <c r="K301">
        <v>96.62</v>
      </c>
      <c r="M301" t="str">
        <f t="shared" si="16"/>
        <v>Oct</v>
      </c>
      <c r="N301">
        <f t="shared" si="17"/>
        <v>10</v>
      </c>
      <c r="O301">
        <f t="shared" si="18"/>
        <v>96.624499999999983</v>
      </c>
      <c r="P301" t="str">
        <f t="shared" si="19"/>
        <v>OK</v>
      </c>
    </row>
    <row r="302" spans="1:16" x14ac:dyDescent="0.35">
      <c r="A302" t="s">
        <v>560</v>
      </c>
      <c r="B302" s="3">
        <v>45490</v>
      </c>
      <c r="C302" t="s">
        <v>24</v>
      </c>
      <c r="D302" t="s">
        <v>13</v>
      </c>
      <c r="E302" t="s">
        <v>117</v>
      </c>
      <c r="F302" t="s">
        <v>53</v>
      </c>
      <c r="G302" t="s">
        <v>260</v>
      </c>
      <c r="H302">
        <v>12</v>
      </c>
      <c r="I302">
        <v>95.9</v>
      </c>
      <c r="J302">
        <v>0.15</v>
      </c>
      <c r="K302">
        <v>978.18</v>
      </c>
      <c r="M302" t="str">
        <f t="shared" si="16"/>
        <v>Jul</v>
      </c>
      <c r="N302">
        <f t="shared" si="17"/>
        <v>7</v>
      </c>
      <c r="O302">
        <f t="shared" si="18"/>
        <v>978.18000000000018</v>
      </c>
      <c r="P302" t="str">
        <f t="shared" si="19"/>
        <v>OK</v>
      </c>
    </row>
    <row r="303" spans="1:16" x14ac:dyDescent="0.35">
      <c r="A303" t="s">
        <v>561</v>
      </c>
      <c r="B303" s="3">
        <v>45600</v>
      </c>
      <c r="C303" t="s">
        <v>18</v>
      </c>
      <c r="D303" t="s">
        <v>13</v>
      </c>
      <c r="E303" t="s">
        <v>562</v>
      </c>
      <c r="F303" t="s">
        <v>35</v>
      </c>
      <c r="G303" t="s">
        <v>67</v>
      </c>
      <c r="H303">
        <v>2</v>
      </c>
      <c r="I303">
        <v>21.51</v>
      </c>
      <c r="J303">
        <v>0</v>
      </c>
      <c r="K303">
        <v>43.02</v>
      </c>
      <c r="M303" t="str">
        <f t="shared" si="16"/>
        <v>Nov</v>
      </c>
      <c r="N303">
        <f t="shared" si="17"/>
        <v>11</v>
      </c>
      <c r="O303">
        <f t="shared" si="18"/>
        <v>43.02</v>
      </c>
      <c r="P303" t="str">
        <f t="shared" si="19"/>
        <v>OK</v>
      </c>
    </row>
    <row r="304" spans="1:16" x14ac:dyDescent="0.35">
      <c r="A304" t="s">
        <v>563</v>
      </c>
      <c r="B304" s="3">
        <v>45445</v>
      </c>
      <c r="C304" t="s">
        <v>18</v>
      </c>
      <c r="D304" t="s">
        <v>19</v>
      </c>
      <c r="E304" t="s">
        <v>62</v>
      </c>
      <c r="F304" t="s">
        <v>53</v>
      </c>
      <c r="G304" t="s">
        <v>260</v>
      </c>
      <c r="H304">
        <v>12</v>
      </c>
      <c r="I304">
        <v>178.69</v>
      </c>
      <c r="J304">
        <v>0</v>
      </c>
      <c r="K304">
        <v>2144.2800000000002</v>
      </c>
      <c r="M304" t="str">
        <f t="shared" si="16"/>
        <v>Jun</v>
      </c>
      <c r="N304">
        <f t="shared" si="17"/>
        <v>6</v>
      </c>
      <c r="O304">
        <f t="shared" si="18"/>
        <v>2144.2799999999997</v>
      </c>
      <c r="P304" t="str">
        <f t="shared" si="19"/>
        <v>OK</v>
      </c>
    </row>
    <row r="305" spans="1:16" x14ac:dyDescent="0.35">
      <c r="A305" t="s">
        <v>564</v>
      </c>
      <c r="B305" s="3">
        <v>45413</v>
      </c>
      <c r="C305" t="s">
        <v>33</v>
      </c>
      <c r="D305" t="s">
        <v>19</v>
      </c>
      <c r="E305" t="s">
        <v>82</v>
      </c>
      <c r="F305" t="s">
        <v>35</v>
      </c>
      <c r="G305" t="s">
        <v>177</v>
      </c>
      <c r="H305">
        <v>6</v>
      </c>
      <c r="I305">
        <v>44.37</v>
      </c>
      <c r="J305">
        <v>0</v>
      </c>
      <c r="K305">
        <v>266.22000000000003</v>
      </c>
      <c r="M305" t="str">
        <f t="shared" si="16"/>
        <v>May</v>
      </c>
      <c r="N305">
        <f t="shared" si="17"/>
        <v>5</v>
      </c>
      <c r="O305">
        <f t="shared" si="18"/>
        <v>266.21999999999997</v>
      </c>
      <c r="P305" t="str">
        <f t="shared" si="19"/>
        <v>OK</v>
      </c>
    </row>
    <row r="306" spans="1:16" x14ac:dyDescent="0.35">
      <c r="A306" t="s">
        <v>565</v>
      </c>
      <c r="B306" s="3">
        <v>45622</v>
      </c>
      <c r="C306" t="s">
        <v>18</v>
      </c>
      <c r="D306" t="s">
        <v>13</v>
      </c>
      <c r="E306" t="s">
        <v>407</v>
      </c>
      <c r="F306" t="s">
        <v>44</v>
      </c>
      <c r="G306" t="s">
        <v>50</v>
      </c>
      <c r="H306">
        <v>4</v>
      </c>
      <c r="I306">
        <v>207.96</v>
      </c>
      <c r="J306">
        <v>0</v>
      </c>
      <c r="K306">
        <v>831.84</v>
      </c>
      <c r="M306" t="str">
        <f t="shared" si="16"/>
        <v>Nov</v>
      </c>
      <c r="N306">
        <f t="shared" si="17"/>
        <v>11</v>
      </c>
      <c r="O306">
        <f t="shared" si="18"/>
        <v>831.84</v>
      </c>
      <c r="P306" t="str">
        <f t="shared" si="19"/>
        <v>OK</v>
      </c>
    </row>
    <row r="307" spans="1:16" x14ac:dyDescent="0.35">
      <c r="A307" t="s">
        <v>566</v>
      </c>
      <c r="B307" s="3">
        <v>45468</v>
      </c>
      <c r="C307" t="s">
        <v>24</v>
      </c>
      <c r="D307" t="s">
        <v>19</v>
      </c>
      <c r="E307" t="s">
        <v>567</v>
      </c>
      <c r="F307" t="s">
        <v>44</v>
      </c>
      <c r="G307" t="s">
        <v>50</v>
      </c>
      <c r="H307">
        <v>10</v>
      </c>
      <c r="I307">
        <v>104.11</v>
      </c>
      <c r="J307">
        <v>0.05</v>
      </c>
      <c r="K307">
        <v>989.04</v>
      </c>
      <c r="M307" t="str">
        <f t="shared" si="16"/>
        <v>Jun</v>
      </c>
      <c r="N307">
        <f t="shared" si="17"/>
        <v>6</v>
      </c>
      <c r="O307">
        <f t="shared" si="18"/>
        <v>989.04499999999985</v>
      </c>
      <c r="P307" t="str">
        <f t="shared" si="19"/>
        <v>MISMATCH</v>
      </c>
    </row>
    <row r="308" spans="1:16" x14ac:dyDescent="0.35">
      <c r="A308" t="s">
        <v>568</v>
      </c>
      <c r="B308" s="3">
        <v>45474</v>
      </c>
      <c r="C308" t="s">
        <v>65</v>
      </c>
      <c r="D308" t="s">
        <v>19</v>
      </c>
      <c r="E308" t="s">
        <v>199</v>
      </c>
      <c r="F308" t="s">
        <v>15</v>
      </c>
      <c r="G308" t="s">
        <v>16</v>
      </c>
      <c r="H308">
        <v>11</v>
      </c>
      <c r="I308">
        <v>91.06</v>
      </c>
      <c r="J308">
        <v>0</v>
      </c>
      <c r="K308">
        <v>1001.66</v>
      </c>
      <c r="M308" t="str">
        <f t="shared" si="16"/>
        <v>Jul</v>
      </c>
      <c r="N308">
        <f t="shared" si="17"/>
        <v>7</v>
      </c>
      <c r="O308">
        <f t="shared" si="18"/>
        <v>1001.6600000000001</v>
      </c>
      <c r="P308" t="str">
        <f t="shared" si="19"/>
        <v>OK</v>
      </c>
    </row>
    <row r="309" spans="1:16" x14ac:dyDescent="0.35">
      <c r="A309" t="s">
        <v>569</v>
      </c>
      <c r="B309" s="3">
        <v>45452</v>
      </c>
      <c r="C309" t="s">
        <v>33</v>
      </c>
      <c r="D309" t="s">
        <v>57</v>
      </c>
      <c r="E309" t="s">
        <v>160</v>
      </c>
      <c r="F309" t="s">
        <v>44</v>
      </c>
      <c r="G309" t="s">
        <v>50</v>
      </c>
      <c r="H309">
        <v>8</v>
      </c>
      <c r="I309">
        <v>244.74</v>
      </c>
      <c r="J309">
        <v>0</v>
      </c>
      <c r="K309">
        <v>1957.92</v>
      </c>
      <c r="M309" t="str">
        <f t="shared" si="16"/>
        <v>Jun</v>
      </c>
      <c r="N309">
        <f t="shared" si="17"/>
        <v>6</v>
      </c>
      <c r="O309">
        <f t="shared" si="18"/>
        <v>1957.92</v>
      </c>
      <c r="P309" t="str">
        <f t="shared" si="19"/>
        <v>OK</v>
      </c>
    </row>
    <row r="310" spans="1:16" x14ac:dyDescent="0.35">
      <c r="A310" t="s">
        <v>570</v>
      </c>
      <c r="B310" s="3">
        <v>45603</v>
      </c>
      <c r="C310" t="s">
        <v>65</v>
      </c>
      <c r="D310" t="s">
        <v>25</v>
      </c>
      <c r="E310" t="s">
        <v>272</v>
      </c>
      <c r="F310" t="s">
        <v>53</v>
      </c>
      <c r="G310" t="s">
        <v>125</v>
      </c>
      <c r="H310">
        <v>12</v>
      </c>
      <c r="I310">
        <v>195.85</v>
      </c>
      <c r="J310">
        <v>0</v>
      </c>
      <c r="K310">
        <v>2350.1999999999998</v>
      </c>
      <c r="M310" t="str">
        <f t="shared" si="16"/>
        <v>Nov</v>
      </c>
      <c r="N310">
        <f t="shared" si="17"/>
        <v>11</v>
      </c>
      <c r="O310">
        <f t="shared" si="18"/>
        <v>2350.1999999999998</v>
      </c>
      <c r="P310" t="str">
        <f t="shared" si="19"/>
        <v>OK</v>
      </c>
    </row>
    <row r="311" spans="1:16" x14ac:dyDescent="0.35">
      <c r="A311" t="s">
        <v>571</v>
      </c>
      <c r="B311" s="3">
        <v>45332</v>
      </c>
      <c r="C311" t="s">
        <v>41</v>
      </c>
      <c r="D311" t="s">
        <v>19</v>
      </c>
      <c r="E311" t="s">
        <v>233</v>
      </c>
      <c r="F311" t="s">
        <v>15</v>
      </c>
      <c r="G311" t="s">
        <v>16</v>
      </c>
      <c r="H311">
        <v>3</v>
      </c>
      <c r="I311">
        <v>240.43</v>
      </c>
      <c r="J311">
        <v>0</v>
      </c>
      <c r="K311">
        <v>721.29</v>
      </c>
      <c r="M311" t="str">
        <f t="shared" si="16"/>
        <v>Feb</v>
      </c>
      <c r="N311">
        <f t="shared" si="17"/>
        <v>2</v>
      </c>
      <c r="O311">
        <f t="shared" si="18"/>
        <v>721.29</v>
      </c>
      <c r="P311" t="str">
        <f t="shared" si="19"/>
        <v>OK</v>
      </c>
    </row>
    <row r="312" spans="1:16" x14ac:dyDescent="0.35">
      <c r="A312" t="s">
        <v>572</v>
      </c>
      <c r="B312" s="3">
        <v>45637</v>
      </c>
      <c r="C312" t="s">
        <v>33</v>
      </c>
      <c r="D312" t="s">
        <v>57</v>
      </c>
      <c r="E312" t="s">
        <v>39</v>
      </c>
      <c r="F312" t="s">
        <v>53</v>
      </c>
      <c r="G312" t="s">
        <v>125</v>
      </c>
      <c r="H312">
        <v>11</v>
      </c>
      <c r="I312">
        <v>71.67</v>
      </c>
      <c r="J312">
        <v>0.05</v>
      </c>
      <c r="K312">
        <v>748.95</v>
      </c>
      <c r="M312" t="str">
        <f t="shared" si="16"/>
        <v>Dec</v>
      </c>
      <c r="N312">
        <f t="shared" si="17"/>
        <v>12</v>
      </c>
      <c r="O312">
        <f t="shared" si="18"/>
        <v>748.95150000000001</v>
      </c>
      <c r="P312" t="str">
        <f t="shared" si="19"/>
        <v>OK</v>
      </c>
    </row>
    <row r="313" spans="1:16" x14ac:dyDescent="0.35">
      <c r="A313" t="s">
        <v>573</v>
      </c>
      <c r="B313" s="3">
        <v>45397</v>
      </c>
      <c r="C313" t="s">
        <v>18</v>
      </c>
      <c r="D313" t="s">
        <v>13</v>
      </c>
      <c r="E313" t="s">
        <v>133</v>
      </c>
      <c r="F313" t="s">
        <v>15</v>
      </c>
      <c r="G313" t="s">
        <v>111</v>
      </c>
      <c r="H313">
        <v>1</v>
      </c>
      <c r="I313">
        <v>49.49</v>
      </c>
      <c r="J313">
        <v>0.1</v>
      </c>
      <c r="K313">
        <v>44.54</v>
      </c>
      <c r="M313" t="str">
        <f t="shared" si="16"/>
        <v>Apr</v>
      </c>
      <c r="N313">
        <f t="shared" si="17"/>
        <v>4</v>
      </c>
      <c r="O313">
        <f t="shared" si="18"/>
        <v>44.541000000000004</v>
      </c>
      <c r="P313" t="str">
        <f t="shared" si="19"/>
        <v>OK</v>
      </c>
    </row>
    <row r="314" spans="1:16" x14ac:dyDescent="0.35">
      <c r="A314" t="s">
        <v>574</v>
      </c>
      <c r="B314" s="3">
        <v>45552</v>
      </c>
      <c r="C314" t="s">
        <v>24</v>
      </c>
      <c r="D314" t="s">
        <v>25</v>
      </c>
      <c r="E314" t="s">
        <v>2217</v>
      </c>
      <c r="F314" t="s">
        <v>44</v>
      </c>
      <c r="G314" t="s">
        <v>94</v>
      </c>
      <c r="H314">
        <v>9</v>
      </c>
      <c r="I314">
        <v>40.340000000000003</v>
      </c>
      <c r="J314">
        <v>0.15</v>
      </c>
      <c r="K314">
        <v>308.60000000000002</v>
      </c>
      <c r="M314" t="str">
        <f t="shared" si="16"/>
        <v>Sep</v>
      </c>
      <c r="N314">
        <f t="shared" si="17"/>
        <v>9</v>
      </c>
      <c r="O314">
        <f t="shared" si="18"/>
        <v>308.60100000000006</v>
      </c>
      <c r="P314" t="str">
        <f t="shared" si="19"/>
        <v>OK</v>
      </c>
    </row>
    <row r="315" spans="1:16" x14ac:dyDescent="0.35">
      <c r="A315" t="s">
        <v>575</v>
      </c>
      <c r="B315" s="3">
        <v>45335</v>
      </c>
      <c r="C315" t="s">
        <v>18</v>
      </c>
      <c r="D315" t="s">
        <v>19</v>
      </c>
      <c r="E315" t="s">
        <v>457</v>
      </c>
      <c r="F315" t="s">
        <v>35</v>
      </c>
      <c r="G315" t="s">
        <v>67</v>
      </c>
      <c r="H315">
        <v>3</v>
      </c>
      <c r="I315">
        <v>150.91</v>
      </c>
      <c r="J315">
        <v>0.05</v>
      </c>
      <c r="K315">
        <v>430.09</v>
      </c>
      <c r="M315" t="str">
        <f t="shared" si="16"/>
        <v>Feb</v>
      </c>
      <c r="N315">
        <f t="shared" si="17"/>
        <v>2</v>
      </c>
      <c r="O315">
        <f t="shared" si="18"/>
        <v>430.09350000000001</v>
      </c>
      <c r="P315" t="str">
        <f t="shared" si="19"/>
        <v>OK</v>
      </c>
    </row>
    <row r="316" spans="1:16" x14ac:dyDescent="0.35">
      <c r="A316" t="s">
        <v>577</v>
      </c>
      <c r="B316" s="3">
        <v>45414</v>
      </c>
      <c r="C316" t="s">
        <v>33</v>
      </c>
      <c r="D316" t="s">
        <v>25</v>
      </c>
      <c r="E316" t="s">
        <v>233</v>
      </c>
      <c r="F316" t="s">
        <v>21</v>
      </c>
      <c r="G316" t="s">
        <v>167</v>
      </c>
      <c r="H316">
        <v>11</v>
      </c>
      <c r="I316">
        <v>181.65</v>
      </c>
      <c r="J316">
        <v>0.1</v>
      </c>
      <c r="K316">
        <v>1798.34</v>
      </c>
      <c r="M316" t="str">
        <f t="shared" si="16"/>
        <v>May</v>
      </c>
      <c r="N316">
        <f t="shared" si="17"/>
        <v>5</v>
      </c>
      <c r="O316">
        <f t="shared" si="18"/>
        <v>1798.335</v>
      </c>
      <c r="P316" t="str">
        <f t="shared" si="19"/>
        <v>OK</v>
      </c>
    </row>
    <row r="317" spans="1:16" x14ac:dyDescent="0.35">
      <c r="A317" t="s">
        <v>578</v>
      </c>
      <c r="B317" s="3">
        <v>45331</v>
      </c>
      <c r="C317" t="s">
        <v>33</v>
      </c>
      <c r="D317" t="s">
        <v>19</v>
      </c>
      <c r="E317" t="s">
        <v>100</v>
      </c>
      <c r="F317" t="s">
        <v>44</v>
      </c>
      <c r="G317" t="s">
        <v>86</v>
      </c>
      <c r="H317">
        <v>1</v>
      </c>
      <c r="I317">
        <v>201.48</v>
      </c>
      <c r="J317">
        <v>0.15</v>
      </c>
      <c r="K317">
        <v>171.26</v>
      </c>
      <c r="M317" t="str">
        <f t="shared" si="16"/>
        <v>Feb</v>
      </c>
      <c r="N317">
        <f t="shared" si="17"/>
        <v>2</v>
      </c>
      <c r="O317">
        <f t="shared" si="18"/>
        <v>171.25799999999998</v>
      </c>
      <c r="P317" t="str">
        <f t="shared" si="19"/>
        <v>OK</v>
      </c>
    </row>
    <row r="318" spans="1:16" x14ac:dyDescent="0.35">
      <c r="A318" t="s">
        <v>579</v>
      </c>
      <c r="B318" s="3">
        <v>45606</v>
      </c>
      <c r="C318" t="s">
        <v>41</v>
      </c>
      <c r="D318" t="s">
        <v>19</v>
      </c>
      <c r="E318" t="s">
        <v>199</v>
      </c>
      <c r="F318" t="s">
        <v>53</v>
      </c>
      <c r="G318" t="s">
        <v>63</v>
      </c>
      <c r="H318">
        <v>5</v>
      </c>
      <c r="I318">
        <v>66.2</v>
      </c>
      <c r="J318">
        <v>0</v>
      </c>
      <c r="K318">
        <v>331</v>
      </c>
      <c r="M318" t="str">
        <f t="shared" si="16"/>
        <v>Nov</v>
      </c>
      <c r="N318">
        <f t="shared" si="17"/>
        <v>11</v>
      </c>
      <c r="O318">
        <f t="shared" si="18"/>
        <v>331</v>
      </c>
      <c r="P318" t="str">
        <f t="shared" si="19"/>
        <v>OK</v>
      </c>
    </row>
    <row r="319" spans="1:16" x14ac:dyDescent="0.35">
      <c r="A319" t="s">
        <v>580</v>
      </c>
      <c r="B319" s="3">
        <v>45440</v>
      </c>
      <c r="C319" t="s">
        <v>33</v>
      </c>
      <c r="D319" t="s">
        <v>25</v>
      </c>
      <c r="E319" t="s">
        <v>407</v>
      </c>
      <c r="F319" t="s">
        <v>21</v>
      </c>
      <c r="G319" t="s">
        <v>22</v>
      </c>
      <c r="H319">
        <v>9</v>
      </c>
      <c r="I319">
        <v>118.85</v>
      </c>
      <c r="J319">
        <v>0</v>
      </c>
      <c r="K319">
        <v>1069.6500000000001</v>
      </c>
      <c r="M319" t="str">
        <f t="shared" si="16"/>
        <v>May</v>
      </c>
      <c r="N319">
        <f t="shared" si="17"/>
        <v>5</v>
      </c>
      <c r="O319">
        <f t="shared" si="18"/>
        <v>1069.6499999999999</v>
      </c>
      <c r="P319" t="str">
        <f t="shared" si="19"/>
        <v>OK</v>
      </c>
    </row>
    <row r="320" spans="1:16" x14ac:dyDescent="0.35">
      <c r="A320" t="s">
        <v>582</v>
      </c>
      <c r="B320" s="3">
        <v>45480</v>
      </c>
      <c r="C320" t="s">
        <v>24</v>
      </c>
      <c r="D320" t="s">
        <v>25</v>
      </c>
      <c r="E320" t="s">
        <v>348</v>
      </c>
      <c r="F320" t="s">
        <v>35</v>
      </c>
      <c r="G320" t="s">
        <v>67</v>
      </c>
      <c r="H320">
        <v>10</v>
      </c>
      <c r="I320">
        <v>191.84</v>
      </c>
      <c r="J320">
        <v>0</v>
      </c>
      <c r="K320">
        <v>1918.4</v>
      </c>
      <c r="M320" t="str">
        <f t="shared" si="16"/>
        <v>Jul</v>
      </c>
      <c r="N320">
        <f t="shared" si="17"/>
        <v>7</v>
      </c>
      <c r="O320">
        <f t="shared" si="18"/>
        <v>1918.4</v>
      </c>
      <c r="P320" t="str">
        <f t="shared" si="19"/>
        <v>OK</v>
      </c>
    </row>
    <row r="321" spans="1:16" x14ac:dyDescent="0.35">
      <c r="A321" t="s">
        <v>583</v>
      </c>
      <c r="B321" s="3">
        <v>45301</v>
      </c>
      <c r="C321" t="s">
        <v>33</v>
      </c>
      <c r="D321" t="s">
        <v>57</v>
      </c>
      <c r="E321" t="s">
        <v>124</v>
      </c>
      <c r="F321" t="s">
        <v>21</v>
      </c>
      <c r="G321" t="s">
        <v>167</v>
      </c>
      <c r="H321">
        <v>12</v>
      </c>
      <c r="I321">
        <v>51.93</v>
      </c>
      <c r="J321">
        <v>0.05</v>
      </c>
      <c r="K321">
        <v>592</v>
      </c>
      <c r="M321" t="str">
        <f t="shared" si="16"/>
        <v>Jan</v>
      </c>
      <c r="N321">
        <f t="shared" si="17"/>
        <v>1</v>
      </c>
      <c r="O321">
        <f t="shared" si="18"/>
        <v>592.00199999999995</v>
      </c>
      <c r="P321" t="str">
        <f t="shared" si="19"/>
        <v>OK</v>
      </c>
    </row>
    <row r="322" spans="1:16" x14ac:dyDescent="0.35">
      <c r="A322" t="s">
        <v>584</v>
      </c>
      <c r="B322" s="3">
        <v>45447</v>
      </c>
      <c r="C322" t="s">
        <v>41</v>
      </c>
      <c r="D322" t="s">
        <v>19</v>
      </c>
      <c r="E322" t="s">
        <v>52</v>
      </c>
      <c r="F322" t="s">
        <v>35</v>
      </c>
      <c r="G322" t="s">
        <v>134</v>
      </c>
      <c r="H322">
        <v>8</v>
      </c>
      <c r="I322">
        <v>73.680000000000007</v>
      </c>
      <c r="J322">
        <v>0.15</v>
      </c>
      <c r="K322">
        <v>501.02</v>
      </c>
      <c r="M322" t="str">
        <f t="shared" si="16"/>
        <v>Jun</v>
      </c>
      <c r="N322">
        <f t="shared" si="17"/>
        <v>6</v>
      </c>
      <c r="O322">
        <f t="shared" si="18"/>
        <v>501.02400000000006</v>
      </c>
      <c r="P322" t="str">
        <f t="shared" si="19"/>
        <v>OK</v>
      </c>
    </row>
    <row r="323" spans="1:16" x14ac:dyDescent="0.35">
      <c r="A323" t="s">
        <v>585</v>
      </c>
      <c r="B323" s="3">
        <v>45548</v>
      </c>
      <c r="C323" t="s">
        <v>33</v>
      </c>
      <c r="D323" t="s">
        <v>19</v>
      </c>
      <c r="E323" t="s">
        <v>586</v>
      </c>
      <c r="F323" t="s">
        <v>35</v>
      </c>
      <c r="G323" t="s">
        <v>67</v>
      </c>
      <c r="H323">
        <v>12</v>
      </c>
      <c r="I323">
        <v>148.59</v>
      </c>
      <c r="J323">
        <v>0.05</v>
      </c>
      <c r="K323">
        <v>1693.93</v>
      </c>
      <c r="M323" t="str">
        <f t="shared" ref="M323:M386" si="20">TEXT(B323,"mmm")</f>
        <v>Sep</v>
      </c>
      <c r="N323">
        <f t="shared" ref="N323:N386" si="21">MONTH(B323)</f>
        <v>9</v>
      </c>
      <c r="O323">
        <f t="shared" ref="O323:O386" si="22">H323*I323*(1-J323)</f>
        <v>1693.9259999999999</v>
      </c>
      <c r="P323" t="str">
        <f t="shared" ref="P323:P386" si="23">IF(ROUND(K323,2)=ROUND(O323,2),"OK","MISMATCH")</f>
        <v>OK</v>
      </c>
    </row>
    <row r="324" spans="1:16" x14ac:dyDescent="0.35">
      <c r="A324" t="s">
        <v>587</v>
      </c>
      <c r="B324" s="3">
        <v>45533</v>
      </c>
      <c r="C324" t="s">
        <v>18</v>
      </c>
      <c r="D324" t="s">
        <v>19</v>
      </c>
      <c r="E324" t="s">
        <v>199</v>
      </c>
      <c r="F324" t="s">
        <v>21</v>
      </c>
      <c r="G324" t="s">
        <v>167</v>
      </c>
      <c r="H324">
        <v>3</v>
      </c>
      <c r="I324">
        <v>171.89</v>
      </c>
      <c r="J324">
        <v>0</v>
      </c>
      <c r="K324">
        <v>515.66999999999996</v>
      </c>
      <c r="M324" t="str">
        <f t="shared" si="20"/>
        <v>Aug</v>
      </c>
      <c r="N324">
        <f t="shared" si="21"/>
        <v>8</v>
      </c>
      <c r="O324">
        <f t="shared" si="22"/>
        <v>515.66999999999996</v>
      </c>
      <c r="P324" t="str">
        <f t="shared" si="23"/>
        <v>OK</v>
      </c>
    </row>
    <row r="325" spans="1:16" x14ac:dyDescent="0.35">
      <c r="A325" t="s">
        <v>588</v>
      </c>
      <c r="B325" s="3">
        <v>45638</v>
      </c>
      <c r="C325" t="s">
        <v>41</v>
      </c>
      <c r="D325" t="s">
        <v>19</v>
      </c>
      <c r="E325" t="s">
        <v>567</v>
      </c>
      <c r="F325" t="s">
        <v>21</v>
      </c>
      <c r="G325" t="s">
        <v>70</v>
      </c>
      <c r="H325">
        <v>1</v>
      </c>
      <c r="I325">
        <v>81.75</v>
      </c>
      <c r="J325">
        <v>0.15</v>
      </c>
      <c r="K325">
        <v>69.489999999999995</v>
      </c>
      <c r="M325" t="str">
        <f t="shared" si="20"/>
        <v>Dec</v>
      </c>
      <c r="N325">
        <f t="shared" si="21"/>
        <v>12</v>
      </c>
      <c r="O325">
        <f t="shared" si="22"/>
        <v>69.487499999999997</v>
      </c>
      <c r="P325" t="str">
        <f t="shared" si="23"/>
        <v>OK</v>
      </c>
    </row>
    <row r="326" spans="1:16" x14ac:dyDescent="0.35">
      <c r="A326" t="s">
        <v>589</v>
      </c>
      <c r="B326" s="3">
        <v>45635</v>
      </c>
      <c r="C326" t="s">
        <v>65</v>
      </c>
      <c r="D326" t="s">
        <v>25</v>
      </c>
      <c r="E326" t="s">
        <v>590</v>
      </c>
      <c r="F326" t="s">
        <v>53</v>
      </c>
      <c r="G326" t="s">
        <v>63</v>
      </c>
      <c r="H326">
        <v>12</v>
      </c>
      <c r="I326">
        <v>166.9</v>
      </c>
      <c r="J326">
        <v>0.05</v>
      </c>
      <c r="K326">
        <v>1902.66</v>
      </c>
      <c r="M326" t="str">
        <f t="shared" si="20"/>
        <v>Dec</v>
      </c>
      <c r="N326">
        <f t="shared" si="21"/>
        <v>12</v>
      </c>
      <c r="O326">
        <f t="shared" si="22"/>
        <v>1902.66</v>
      </c>
      <c r="P326" t="str">
        <f t="shared" si="23"/>
        <v>OK</v>
      </c>
    </row>
    <row r="327" spans="1:16" x14ac:dyDescent="0.35">
      <c r="A327" t="s">
        <v>591</v>
      </c>
      <c r="B327" s="3">
        <v>45354</v>
      </c>
      <c r="C327" t="s">
        <v>18</v>
      </c>
      <c r="D327" t="s">
        <v>19</v>
      </c>
      <c r="E327" t="s">
        <v>139</v>
      </c>
      <c r="F327" t="s">
        <v>21</v>
      </c>
      <c r="G327" t="s">
        <v>194</v>
      </c>
      <c r="H327">
        <v>1</v>
      </c>
      <c r="I327">
        <v>235.86</v>
      </c>
      <c r="J327">
        <v>0</v>
      </c>
      <c r="K327">
        <v>235.86</v>
      </c>
      <c r="M327" t="str">
        <f t="shared" si="20"/>
        <v>Mar</v>
      </c>
      <c r="N327">
        <f t="shared" si="21"/>
        <v>3</v>
      </c>
      <c r="O327">
        <f t="shared" si="22"/>
        <v>235.86</v>
      </c>
      <c r="P327" t="str">
        <f t="shared" si="23"/>
        <v>OK</v>
      </c>
    </row>
    <row r="328" spans="1:16" x14ac:dyDescent="0.35">
      <c r="A328" t="s">
        <v>592</v>
      </c>
      <c r="B328" s="3">
        <v>45402</v>
      </c>
      <c r="C328" t="s">
        <v>18</v>
      </c>
      <c r="D328" t="s">
        <v>19</v>
      </c>
      <c r="E328" t="s">
        <v>164</v>
      </c>
      <c r="F328" t="s">
        <v>44</v>
      </c>
      <c r="G328" t="s">
        <v>107</v>
      </c>
      <c r="H328">
        <v>12</v>
      </c>
      <c r="I328">
        <v>242.88</v>
      </c>
      <c r="J328">
        <v>0</v>
      </c>
      <c r="K328">
        <v>2914.56</v>
      </c>
      <c r="M328" t="str">
        <f t="shared" si="20"/>
        <v>Apr</v>
      </c>
      <c r="N328">
        <f t="shared" si="21"/>
        <v>4</v>
      </c>
      <c r="O328">
        <f t="shared" si="22"/>
        <v>2914.56</v>
      </c>
      <c r="P328" t="str">
        <f t="shared" si="23"/>
        <v>OK</v>
      </c>
    </row>
    <row r="329" spans="1:16" x14ac:dyDescent="0.35">
      <c r="A329" t="s">
        <v>594</v>
      </c>
      <c r="B329" s="3">
        <v>45558</v>
      </c>
      <c r="C329" t="s">
        <v>33</v>
      </c>
      <c r="D329" t="s">
        <v>13</v>
      </c>
      <c r="E329" t="s">
        <v>595</v>
      </c>
      <c r="F329" t="s">
        <v>21</v>
      </c>
      <c r="G329" t="s">
        <v>22</v>
      </c>
      <c r="H329">
        <v>6</v>
      </c>
      <c r="I329">
        <v>176.71</v>
      </c>
      <c r="J329">
        <v>0.05</v>
      </c>
      <c r="K329">
        <v>1007.25</v>
      </c>
      <c r="M329" t="str">
        <f t="shared" si="20"/>
        <v>Sep</v>
      </c>
      <c r="N329">
        <f t="shared" si="21"/>
        <v>9</v>
      </c>
      <c r="O329">
        <f t="shared" si="22"/>
        <v>1007.247</v>
      </c>
      <c r="P329" t="str">
        <f t="shared" si="23"/>
        <v>OK</v>
      </c>
    </row>
    <row r="330" spans="1:16" x14ac:dyDescent="0.35">
      <c r="A330" t="s">
        <v>596</v>
      </c>
      <c r="B330" s="3">
        <v>45473</v>
      </c>
      <c r="C330" t="s">
        <v>24</v>
      </c>
      <c r="D330" t="s">
        <v>42</v>
      </c>
      <c r="E330" t="s">
        <v>510</v>
      </c>
      <c r="F330" t="s">
        <v>44</v>
      </c>
      <c r="G330" t="s">
        <v>86</v>
      </c>
      <c r="H330">
        <v>10</v>
      </c>
      <c r="I330">
        <v>48.14</v>
      </c>
      <c r="J330">
        <v>0</v>
      </c>
      <c r="K330">
        <v>481.4</v>
      </c>
      <c r="M330" t="str">
        <f t="shared" si="20"/>
        <v>Jun</v>
      </c>
      <c r="N330">
        <f t="shared" si="21"/>
        <v>6</v>
      </c>
      <c r="O330">
        <f t="shared" si="22"/>
        <v>481.4</v>
      </c>
      <c r="P330" t="str">
        <f t="shared" si="23"/>
        <v>OK</v>
      </c>
    </row>
    <row r="331" spans="1:16" x14ac:dyDescent="0.35">
      <c r="A331" t="s">
        <v>598</v>
      </c>
      <c r="B331" s="3">
        <v>45513</v>
      </c>
      <c r="C331" t="s">
        <v>18</v>
      </c>
      <c r="D331" t="s">
        <v>42</v>
      </c>
      <c r="E331" t="s">
        <v>110</v>
      </c>
      <c r="F331" t="s">
        <v>44</v>
      </c>
      <c r="G331" t="s">
        <v>86</v>
      </c>
      <c r="H331">
        <v>11</v>
      </c>
      <c r="I331">
        <v>120.99</v>
      </c>
      <c r="J331">
        <v>0.1</v>
      </c>
      <c r="K331">
        <v>1197.8</v>
      </c>
      <c r="M331" t="str">
        <f t="shared" si="20"/>
        <v>Aug</v>
      </c>
      <c r="N331">
        <f t="shared" si="21"/>
        <v>8</v>
      </c>
      <c r="O331">
        <f t="shared" si="22"/>
        <v>1197.8009999999999</v>
      </c>
      <c r="P331" t="str">
        <f t="shared" si="23"/>
        <v>OK</v>
      </c>
    </row>
    <row r="332" spans="1:16" x14ac:dyDescent="0.35">
      <c r="A332" t="s">
        <v>599</v>
      </c>
      <c r="B332" s="3">
        <v>45338</v>
      </c>
      <c r="C332" t="s">
        <v>41</v>
      </c>
      <c r="D332" t="s">
        <v>19</v>
      </c>
      <c r="E332" t="s">
        <v>20</v>
      </c>
      <c r="F332" t="s">
        <v>15</v>
      </c>
      <c r="G332" t="s">
        <v>16</v>
      </c>
      <c r="H332">
        <v>7</v>
      </c>
      <c r="I332">
        <v>50.3</v>
      </c>
      <c r="J332">
        <v>0</v>
      </c>
      <c r="K332">
        <v>352.1</v>
      </c>
      <c r="M332" t="str">
        <f t="shared" si="20"/>
        <v>Feb</v>
      </c>
      <c r="N332">
        <f t="shared" si="21"/>
        <v>2</v>
      </c>
      <c r="O332">
        <f t="shared" si="22"/>
        <v>352.09999999999997</v>
      </c>
      <c r="P332" t="str">
        <f t="shared" si="23"/>
        <v>OK</v>
      </c>
    </row>
    <row r="333" spans="1:16" x14ac:dyDescent="0.35">
      <c r="A333" t="s">
        <v>600</v>
      </c>
      <c r="B333" s="3">
        <v>45583</v>
      </c>
      <c r="C333" t="s">
        <v>24</v>
      </c>
      <c r="D333" t="s">
        <v>57</v>
      </c>
      <c r="E333" t="s">
        <v>272</v>
      </c>
      <c r="F333" t="s">
        <v>21</v>
      </c>
      <c r="G333" t="s">
        <v>70</v>
      </c>
      <c r="H333">
        <v>9</v>
      </c>
      <c r="I333">
        <v>188.89</v>
      </c>
      <c r="J333">
        <v>0</v>
      </c>
      <c r="K333">
        <v>1700.01</v>
      </c>
      <c r="M333" t="str">
        <f t="shared" si="20"/>
        <v>Oct</v>
      </c>
      <c r="N333">
        <f t="shared" si="21"/>
        <v>10</v>
      </c>
      <c r="O333">
        <f t="shared" si="22"/>
        <v>1700.0099999999998</v>
      </c>
      <c r="P333" t="str">
        <f t="shared" si="23"/>
        <v>OK</v>
      </c>
    </row>
    <row r="334" spans="1:16" x14ac:dyDescent="0.35">
      <c r="A334" t="s">
        <v>602</v>
      </c>
      <c r="B334" s="3">
        <v>45487</v>
      </c>
      <c r="C334" t="s">
        <v>65</v>
      </c>
      <c r="D334" t="s">
        <v>42</v>
      </c>
      <c r="E334" t="s">
        <v>412</v>
      </c>
      <c r="F334" t="s">
        <v>44</v>
      </c>
      <c r="G334" t="s">
        <v>50</v>
      </c>
      <c r="H334">
        <v>11</v>
      </c>
      <c r="I334">
        <v>240.63</v>
      </c>
      <c r="J334">
        <v>0</v>
      </c>
      <c r="K334">
        <v>2646.93</v>
      </c>
      <c r="M334" t="str">
        <f t="shared" si="20"/>
        <v>Jul</v>
      </c>
      <c r="N334">
        <f t="shared" si="21"/>
        <v>7</v>
      </c>
      <c r="O334">
        <f t="shared" si="22"/>
        <v>2646.93</v>
      </c>
      <c r="P334" t="str">
        <f t="shared" si="23"/>
        <v>OK</v>
      </c>
    </row>
    <row r="335" spans="1:16" x14ac:dyDescent="0.35">
      <c r="A335" t="s">
        <v>603</v>
      </c>
      <c r="B335" s="3">
        <v>45654</v>
      </c>
      <c r="C335" t="s">
        <v>33</v>
      </c>
      <c r="D335" t="s">
        <v>13</v>
      </c>
      <c r="E335" t="s">
        <v>480</v>
      </c>
      <c r="F335" t="s">
        <v>53</v>
      </c>
      <c r="G335" t="s">
        <v>104</v>
      </c>
      <c r="H335">
        <v>9</v>
      </c>
      <c r="I335">
        <v>247.79</v>
      </c>
      <c r="J335">
        <v>0.1</v>
      </c>
      <c r="K335">
        <v>2007.1</v>
      </c>
      <c r="M335" t="str">
        <f t="shared" si="20"/>
        <v>Dec</v>
      </c>
      <c r="N335">
        <f t="shared" si="21"/>
        <v>12</v>
      </c>
      <c r="O335">
        <f t="shared" si="22"/>
        <v>2007.0990000000002</v>
      </c>
      <c r="P335" t="str">
        <f t="shared" si="23"/>
        <v>OK</v>
      </c>
    </row>
    <row r="336" spans="1:16" x14ac:dyDescent="0.35">
      <c r="A336" t="s">
        <v>604</v>
      </c>
      <c r="B336" s="3">
        <v>45528</v>
      </c>
      <c r="C336" t="s">
        <v>24</v>
      </c>
      <c r="D336" t="s">
        <v>57</v>
      </c>
      <c r="E336" t="s">
        <v>77</v>
      </c>
      <c r="F336" t="s">
        <v>53</v>
      </c>
      <c r="G336" t="s">
        <v>104</v>
      </c>
      <c r="H336">
        <v>3</v>
      </c>
      <c r="I336">
        <v>69.14</v>
      </c>
      <c r="J336">
        <v>0</v>
      </c>
      <c r="K336">
        <v>207.42</v>
      </c>
      <c r="M336" t="str">
        <f t="shared" si="20"/>
        <v>Aug</v>
      </c>
      <c r="N336">
        <f t="shared" si="21"/>
        <v>8</v>
      </c>
      <c r="O336">
        <f t="shared" si="22"/>
        <v>207.42000000000002</v>
      </c>
      <c r="P336" t="str">
        <f t="shared" si="23"/>
        <v>OK</v>
      </c>
    </row>
    <row r="337" spans="1:16" x14ac:dyDescent="0.35">
      <c r="A337" t="s">
        <v>606</v>
      </c>
      <c r="B337" s="3">
        <v>45463</v>
      </c>
      <c r="C337" t="s">
        <v>65</v>
      </c>
      <c r="D337" t="s">
        <v>57</v>
      </c>
      <c r="E337" t="s">
        <v>197</v>
      </c>
      <c r="F337" t="s">
        <v>53</v>
      </c>
      <c r="G337" t="s">
        <v>59</v>
      </c>
      <c r="H337">
        <v>11</v>
      </c>
      <c r="I337">
        <v>116.32</v>
      </c>
      <c r="J337">
        <v>0.1</v>
      </c>
      <c r="K337">
        <v>1151.57</v>
      </c>
      <c r="M337" t="str">
        <f t="shared" si="20"/>
        <v>Jun</v>
      </c>
      <c r="N337">
        <f t="shared" si="21"/>
        <v>6</v>
      </c>
      <c r="O337">
        <f t="shared" si="22"/>
        <v>1151.568</v>
      </c>
      <c r="P337" t="str">
        <f t="shared" si="23"/>
        <v>OK</v>
      </c>
    </row>
    <row r="338" spans="1:16" x14ac:dyDescent="0.35">
      <c r="A338" t="s">
        <v>607</v>
      </c>
      <c r="B338" s="3">
        <v>45652</v>
      </c>
      <c r="C338" t="s">
        <v>33</v>
      </c>
      <c r="D338" t="s">
        <v>25</v>
      </c>
      <c r="E338" t="s">
        <v>608</v>
      </c>
      <c r="F338" t="s">
        <v>15</v>
      </c>
      <c r="G338" t="s">
        <v>147</v>
      </c>
      <c r="H338">
        <v>11</v>
      </c>
      <c r="I338">
        <v>154.86000000000001</v>
      </c>
      <c r="J338">
        <v>0.1</v>
      </c>
      <c r="K338">
        <v>1533.11</v>
      </c>
      <c r="M338" t="str">
        <f t="shared" si="20"/>
        <v>Dec</v>
      </c>
      <c r="N338">
        <f t="shared" si="21"/>
        <v>12</v>
      </c>
      <c r="O338">
        <f t="shared" si="22"/>
        <v>1533.114</v>
      </c>
      <c r="P338" t="str">
        <f t="shared" si="23"/>
        <v>OK</v>
      </c>
    </row>
    <row r="339" spans="1:16" x14ac:dyDescent="0.35">
      <c r="A339" t="s">
        <v>609</v>
      </c>
      <c r="B339" s="3">
        <v>45631</v>
      </c>
      <c r="C339" t="s">
        <v>24</v>
      </c>
      <c r="D339" t="s">
        <v>13</v>
      </c>
      <c r="E339" t="s">
        <v>360</v>
      </c>
      <c r="F339" t="s">
        <v>15</v>
      </c>
      <c r="G339" t="s">
        <v>16</v>
      </c>
      <c r="H339">
        <v>8</v>
      </c>
      <c r="I339">
        <v>33.380000000000003</v>
      </c>
      <c r="J339">
        <v>0</v>
      </c>
      <c r="K339">
        <v>267.04000000000002</v>
      </c>
      <c r="M339" t="str">
        <f t="shared" si="20"/>
        <v>Dec</v>
      </c>
      <c r="N339">
        <f t="shared" si="21"/>
        <v>12</v>
      </c>
      <c r="O339">
        <f t="shared" si="22"/>
        <v>267.04000000000002</v>
      </c>
      <c r="P339" t="str">
        <f t="shared" si="23"/>
        <v>OK</v>
      </c>
    </row>
    <row r="340" spans="1:16" x14ac:dyDescent="0.35">
      <c r="A340" t="s">
        <v>610</v>
      </c>
      <c r="B340" s="3">
        <v>45559</v>
      </c>
      <c r="C340" t="s">
        <v>18</v>
      </c>
      <c r="D340" t="s">
        <v>57</v>
      </c>
      <c r="E340" t="s">
        <v>517</v>
      </c>
      <c r="F340" t="s">
        <v>15</v>
      </c>
      <c r="G340" t="s">
        <v>74</v>
      </c>
      <c r="H340">
        <v>8</v>
      </c>
      <c r="I340">
        <v>89.25</v>
      </c>
      <c r="J340">
        <v>0.1</v>
      </c>
      <c r="K340">
        <v>642.6</v>
      </c>
      <c r="M340" t="str">
        <f t="shared" si="20"/>
        <v>Sep</v>
      </c>
      <c r="N340">
        <f t="shared" si="21"/>
        <v>9</v>
      </c>
      <c r="O340">
        <f t="shared" si="22"/>
        <v>642.6</v>
      </c>
      <c r="P340" t="str">
        <f t="shared" si="23"/>
        <v>OK</v>
      </c>
    </row>
    <row r="341" spans="1:16" x14ac:dyDescent="0.35">
      <c r="A341" t="s">
        <v>611</v>
      </c>
      <c r="B341" s="3">
        <v>45616</v>
      </c>
      <c r="C341" t="s">
        <v>24</v>
      </c>
      <c r="D341" t="s">
        <v>19</v>
      </c>
      <c r="E341" t="s">
        <v>351</v>
      </c>
      <c r="F341" t="s">
        <v>21</v>
      </c>
      <c r="G341" t="s">
        <v>70</v>
      </c>
      <c r="H341">
        <v>10</v>
      </c>
      <c r="I341">
        <v>180.04</v>
      </c>
      <c r="J341">
        <v>0.15</v>
      </c>
      <c r="K341">
        <v>1530.34</v>
      </c>
      <c r="M341" t="str">
        <f t="shared" si="20"/>
        <v>Nov</v>
      </c>
      <c r="N341">
        <f t="shared" si="21"/>
        <v>11</v>
      </c>
      <c r="O341">
        <f t="shared" si="22"/>
        <v>1530.34</v>
      </c>
      <c r="P341" t="str">
        <f t="shared" si="23"/>
        <v>OK</v>
      </c>
    </row>
    <row r="342" spans="1:16" x14ac:dyDescent="0.35">
      <c r="A342" t="s">
        <v>613</v>
      </c>
      <c r="B342" s="3">
        <v>45316</v>
      </c>
      <c r="C342" t="s">
        <v>24</v>
      </c>
      <c r="D342" t="s">
        <v>19</v>
      </c>
      <c r="E342" t="s">
        <v>492</v>
      </c>
      <c r="F342" t="s">
        <v>15</v>
      </c>
      <c r="G342" t="s">
        <v>74</v>
      </c>
      <c r="H342">
        <v>8</v>
      </c>
      <c r="I342">
        <v>91.51</v>
      </c>
      <c r="J342">
        <v>0</v>
      </c>
      <c r="K342">
        <v>732.08</v>
      </c>
      <c r="M342" t="str">
        <f t="shared" si="20"/>
        <v>Jan</v>
      </c>
      <c r="N342">
        <f t="shared" si="21"/>
        <v>1</v>
      </c>
      <c r="O342">
        <f t="shared" si="22"/>
        <v>732.08</v>
      </c>
      <c r="P342" t="str">
        <f t="shared" si="23"/>
        <v>OK</v>
      </c>
    </row>
    <row r="343" spans="1:16" x14ac:dyDescent="0.35">
      <c r="A343" t="s">
        <v>615</v>
      </c>
      <c r="B343" s="3">
        <v>45359</v>
      </c>
      <c r="C343" t="s">
        <v>18</v>
      </c>
      <c r="D343" t="s">
        <v>13</v>
      </c>
      <c r="E343" t="s">
        <v>259</v>
      </c>
      <c r="F343" t="s">
        <v>53</v>
      </c>
      <c r="G343" t="s">
        <v>63</v>
      </c>
      <c r="H343">
        <v>12</v>
      </c>
      <c r="I343">
        <v>18.07</v>
      </c>
      <c r="J343">
        <v>0</v>
      </c>
      <c r="K343">
        <v>216.84</v>
      </c>
      <c r="M343" t="str">
        <f t="shared" si="20"/>
        <v>Mar</v>
      </c>
      <c r="N343">
        <f t="shared" si="21"/>
        <v>3</v>
      </c>
      <c r="O343">
        <f t="shared" si="22"/>
        <v>216.84</v>
      </c>
      <c r="P343" t="str">
        <f t="shared" si="23"/>
        <v>OK</v>
      </c>
    </row>
    <row r="344" spans="1:16" x14ac:dyDescent="0.35">
      <c r="A344" t="s">
        <v>616</v>
      </c>
      <c r="B344" s="3">
        <v>45497</v>
      </c>
      <c r="C344" t="s">
        <v>18</v>
      </c>
      <c r="D344" t="s">
        <v>42</v>
      </c>
      <c r="E344" t="s">
        <v>370</v>
      </c>
      <c r="F344" t="s">
        <v>53</v>
      </c>
      <c r="G344" t="s">
        <v>260</v>
      </c>
      <c r="H344">
        <v>3</v>
      </c>
      <c r="I344">
        <v>227.12</v>
      </c>
      <c r="J344">
        <v>0</v>
      </c>
      <c r="K344">
        <v>681.36</v>
      </c>
      <c r="M344" t="str">
        <f t="shared" si="20"/>
        <v>Jul</v>
      </c>
      <c r="N344">
        <f t="shared" si="21"/>
        <v>7</v>
      </c>
      <c r="O344">
        <f t="shared" si="22"/>
        <v>681.36</v>
      </c>
      <c r="P344" t="str">
        <f t="shared" si="23"/>
        <v>OK</v>
      </c>
    </row>
    <row r="345" spans="1:16" x14ac:dyDescent="0.35">
      <c r="A345" t="s">
        <v>618</v>
      </c>
      <c r="B345" s="3">
        <v>45629</v>
      </c>
      <c r="C345" t="s">
        <v>41</v>
      </c>
      <c r="D345" t="s">
        <v>42</v>
      </c>
      <c r="E345" t="s">
        <v>152</v>
      </c>
      <c r="F345" t="s">
        <v>44</v>
      </c>
      <c r="G345" t="s">
        <v>86</v>
      </c>
      <c r="H345">
        <v>5</v>
      </c>
      <c r="I345">
        <v>184.9</v>
      </c>
      <c r="J345">
        <v>0.1</v>
      </c>
      <c r="K345">
        <v>832.05</v>
      </c>
      <c r="M345" t="str">
        <f t="shared" si="20"/>
        <v>Dec</v>
      </c>
      <c r="N345">
        <f t="shared" si="21"/>
        <v>12</v>
      </c>
      <c r="O345">
        <f t="shared" si="22"/>
        <v>832.05000000000007</v>
      </c>
      <c r="P345" t="str">
        <f t="shared" si="23"/>
        <v>OK</v>
      </c>
    </row>
    <row r="346" spans="1:16" x14ac:dyDescent="0.35">
      <c r="A346" t="s">
        <v>619</v>
      </c>
      <c r="B346" s="3">
        <v>45489</v>
      </c>
      <c r="C346" t="s">
        <v>24</v>
      </c>
      <c r="D346" t="s">
        <v>19</v>
      </c>
      <c r="E346" t="s">
        <v>620</v>
      </c>
      <c r="F346" t="s">
        <v>15</v>
      </c>
      <c r="G346" t="s">
        <v>16</v>
      </c>
      <c r="H346">
        <v>6</v>
      </c>
      <c r="I346">
        <v>7.99</v>
      </c>
      <c r="J346">
        <v>0</v>
      </c>
      <c r="K346">
        <v>47.94</v>
      </c>
      <c r="M346" t="str">
        <f t="shared" si="20"/>
        <v>Jul</v>
      </c>
      <c r="N346">
        <f t="shared" si="21"/>
        <v>7</v>
      </c>
      <c r="O346">
        <f t="shared" si="22"/>
        <v>47.94</v>
      </c>
      <c r="P346" t="str">
        <f t="shared" si="23"/>
        <v>OK</v>
      </c>
    </row>
    <row r="347" spans="1:16" x14ac:dyDescent="0.35">
      <c r="A347" t="s">
        <v>621</v>
      </c>
      <c r="B347" s="3">
        <v>45588</v>
      </c>
      <c r="C347" t="s">
        <v>18</v>
      </c>
      <c r="D347" t="s">
        <v>42</v>
      </c>
      <c r="E347" t="s">
        <v>448</v>
      </c>
      <c r="F347" t="s">
        <v>53</v>
      </c>
      <c r="G347" t="s">
        <v>63</v>
      </c>
      <c r="H347">
        <v>7</v>
      </c>
      <c r="I347">
        <v>14.07</v>
      </c>
      <c r="J347">
        <v>0.05</v>
      </c>
      <c r="K347">
        <v>93.57</v>
      </c>
      <c r="M347" t="str">
        <f t="shared" si="20"/>
        <v>Oct</v>
      </c>
      <c r="N347">
        <f t="shared" si="21"/>
        <v>10</v>
      </c>
      <c r="O347">
        <f t="shared" si="22"/>
        <v>93.5655</v>
      </c>
      <c r="P347" t="str">
        <f t="shared" si="23"/>
        <v>OK</v>
      </c>
    </row>
    <row r="348" spans="1:16" x14ac:dyDescent="0.35">
      <c r="A348" t="s">
        <v>622</v>
      </c>
      <c r="B348" s="3">
        <v>45339</v>
      </c>
      <c r="C348" t="s">
        <v>24</v>
      </c>
      <c r="D348" t="s">
        <v>13</v>
      </c>
      <c r="E348" t="s">
        <v>299</v>
      </c>
      <c r="F348" t="s">
        <v>35</v>
      </c>
      <c r="G348" t="s">
        <v>134</v>
      </c>
      <c r="H348">
        <v>12</v>
      </c>
      <c r="I348">
        <v>192.72</v>
      </c>
      <c r="J348">
        <v>0</v>
      </c>
      <c r="K348">
        <v>2312.64</v>
      </c>
      <c r="M348" t="str">
        <f t="shared" si="20"/>
        <v>Feb</v>
      </c>
      <c r="N348">
        <f t="shared" si="21"/>
        <v>2</v>
      </c>
      <c r="O348">
        <f t="shared" si="22"/>
        <v>2312.64</v>
      </c>
      <c r="P348" t="str">
        <f t="shared" si="23"/>
        <v>OK</v>
      </c>
    </row>
    <row r="349" spans="1:16" x14ac:dyDescent="0.35">
      <c r="A349" t="s">
        <v>623</v>
      </c>
      <c r="B349" s="3">
        <v>45407</v>
      </c>
      <c r="C349" t="s">
        <v>33</v>
      </c>
      <c r="D349" t="s">
        <v>13</v>
      </c>
      <c r="E349" t="s">
        <v>110</v>
      </c>
      <c r="F349" t="s">
        <v>44</v>
      </c>
      <c r="G349" t="s">
        <v>86</v>
      </c>
      <c r="H349">
        <v>5</v>
      </c>
      <c r="I349">
        <v>91.41</v>
      </c>
      <c r="J349">
        <v>0.1</v>
      </c>
      <c r="K349">
        <v>411.34</v>
      </c>
      <c r="M349" t="str">
        <f t="shared" si="20"/>
        <v>Apr</v>
      </c>
      <c r="N349">
        <f t="shared" si="21"/>
        <v>4</v>
      </c>
      <c r="O349">
        <f t="shared" si="22"/>
        <v>411.34499999999997</v>
      </c>
      <c r="P349" t="str">
        <f t="shared" si="23"/>
        <v>MISMATCH</v>
      </c>
    </row>
    <row r="350" spans="1:16" x14ac:dyDescent="0.35">
      <c r="A350" t="s">
        <v>624</v>
      </c>
      <c r="B350" s="3">
        <v>45625</v>
      </c>
      <c r="C350" t="s">
        <v>18</v>
      </c>
      <c r="D350" t="s">
        <v>13</v>
      </c>
      <c r="E350" t="s">
        <v>472</v>
      </c>
      <c r="F350" t="s">
        <v>35</v>
      </c>
      <c r="G350" t="s">
        <v>134</v>
      </c>
      <c r="H350">
        <v>11</v>
      </c>
      <c r="I350">
        <v>22.89</v>
      </c>
      <c r="J350">
        <v>0.1</v>
      </c>
      <c r="K350">
        <v>226.61</v>
      </c>
      <c r="M350" t="str">
        <f t="shared" si="20"/>
        <v>Nov</v>
      </c>
      <c r="N350">
        <f t="shared" si="21"/>
        <v>11</v>
      </c>
      <c r="O350">
        <f t="shared" si="22"/>
        <v>226.61100000000002</v>
      </c>
      <c r="P350" t="str">
        <f t="shared" si="23"/>
        <v>OK</v>
      </c>
    </row>
    <row r="351" spans="1:16" x14ac:dyDescent="0.35">
      <c r="A351" t="s">
        <v>625</v>
      </c>
      <c r="B351" s="3">
        <v>45529</v>
      </c>
      <c r="C351" t="s">
        <v>33</v>
      </c>
      <c r="D351" t="s">
        <v>42</v>
      </c>
      <c r="E351" t="s">
        <v>472</v>
      </c>
      <c r="F351" t="s">
        <v>35</v>
      </c>
      <c r="G351" t="s">
        <v>177</v>
      </c>
      <c r="H351">
        <v>11</v>
      </c>
      <c r="I351">
        <v>87.76</v>
      </c>
      <c r="J351">
        <v>0.05</v>
      </c>
      <c r="K351">
        <v>917.09</v>
      </c>
      <c r="M351" t="str">
        <f t="shared" si="20"/>
        <v>Aug</v>
      </c>
      <c r="N351">
        <f t="shared" si="21"/>
        <v>8</v>
      </c>
      <c r="O351">
        <f t="shared" si="22"/>
        <v>917.09199999999998</v>
      </c>
      <c r="P351" t="str">
        <f t="shared" si="23"/>
        <v>OK</v>
      </c>
    </row>
    <row r="352" spans="1:16" x14ac:dyDescent="0.35">
      <c r="A352" t="s">
        <v>626</v>
      </c>
      <c r="B352" s="3">
        <v>45382</v>
      </c>
      <c r="C352" t="s">
        <v>41</v>
      </c>
      <c r="D352" t="s">
        <v>57</v>
      </c>
      <c r="E352" t="s">
        <v>185</v>
      </c>
      <c r="F352" t="s">
        <v>44</v>
      </c>
      <c r="G352" t="s">
        <v>107</v>
      </c>
      <c r="H352">
        <v>1</v>
      </c>
      <c r="I352">
        <v>228.11</v>
      </c>
      <c r="J352">
        <v>0.15</v>
      </c>
      <c r="K352">
        <v>193.89</v>
      </c>
      <c r="M352" t="str">
        <f t="shared" si="20"/>
        <v>Mar</v>
      </c>
      <c r="N352">
        <f t="shared" si="21"/>
        <v>3</v>
      </c>
      <c r="O352">
        <f t="shared" si="22"/>
        <v>193.89350000000002</v>
      </c>
      <c r="P352" t="str">
        <f t="shared" si="23"/>
        <v>OK</v>
      </c>
    </row>
    <row r="353" spans="1:16" x14ac:dyDescent="0.35">
      <c r="A353" t="s">
        <v>627</v>
      </c>
      <c r="B353" s="3">
        <v>45504</v>
      </c>
      <c r="C353" t="s">
        <v>65</v>
      </c>
      <c r="D353" t="s">
        <v>57</v>
      </c>
      <c r="E353" t="s">
        <v>346</v>
      </c>
      <c r="F353" t="s">
        <v>15</v>
      </c>
      <c r="G353" t="s">
        <v>27</v>
      </c>
      <c r="H353">
        <v>6</v>
      </c>
      <c r="I353">
        <v>72.3</v>
      </c>
      <c r="J353">
        <v>0.05</v>
      </c>
      <c r="K353">
        <v>412.11</v>
      </c>
      <c r="M353" t="str">
        <f t="shared" si="20"/>
        <v>Jul</v>
      </c>
      <c r="N353">
        <f t="shared" si="21"/>
        <v>7</v>
      </c>
      <c r="O353">
        <f t="shared" si="22"/>
        <v>412.10999999999996</v>
      </c>
      <c r="P353" t="str">
        <f t="shared" si="23"/>
        <v>OK</v>
      </c>
    </row>
    <row r="354" spans="1:16" x14ac:dyDescent="0.35">
      <c r="A354" t="s">
        <v>628</v>
      </c>
      <c r="B354" s="3">
        <v>45405</v>
      </c>
      <c r="C354" t="s">
        <v>65</v>
      </c>
      <c r="D354" t="s">
        <v>57</v>
      </c>
      <c r="E354" t="s">
        <v>468</v>
      </c>
      <c r="F354" t="s">
        <v>35</v>
      </c>
      <c r="G354" t="s">
        <v>83</v>
      </c>
      <c r="H354">
        <v>7</v>
      </c>
      <c r="I354">
        <v>76</v>
      </c>
      <c r="J354">
        <v>0</v>
      </c>
      <c r="K354">
        <v>532</v>
      </c>
      <c r="M354" t="str">
        <f t="shared" si="20"/>
        <v>Apr</v>
      </c>
      <c r="N354">
        <f t="shared" si="21"/>
        <v>4</v>
      </c>
      <c r="O354">
        <f t="shared" si="22"/>
        <v>532</v>
      </c>
      <c r="P354" t="str">
        <f t="shared" si="23"/>
        <v>OK</v>
      </c>
    </row>
    <row r="355" spans="1:16" x14ac:dyDescent="0.35">
      <c r="A355" t="s">
        <v>629</v>
      </c>
      <c r="B355" s="3">
        <v>45371</v>
      </c>
      <c r="C355" t="s">
        <v>65</v>
      </c>
      <c r="D355" t="s">
        <v>25</v>
      </c>
      <c r="E355" t="s">
        <v>272</v>
      </c>
      <c r="F355" t="s">
        <v>44</v>
      </c>
      <c r="G355" t="s">
        <v>45</v>
      </c>
      <c r="H355">
        <v>6</v>
      </c>
      <c r="I355">
        <v>14.25</v>
      </c>
      <c r="J355">
        <v>0</v>
      </c>
      <c r="K355">
        <v>85.5</v>
      </c>
      <c r="M355" t="str">
        <f t="shared" si="20"/>
        <v>Mar</v>
      </c>
      <c r="N355">
        <f t="shared" si="21"/>
        <v>3</v>
      </c>
      <c r="O355">
        <f t="shared" si="22"/>
        <v>85.5</v>
      </c>
      <c r="P355" t="str">
        <f t="shared" si="23"/>
        <v>OK</v>
      </c>
    </row>
    <row r="356" spans="1:16" x14ac:dyDescent="0.35">
      <c r="A356" t="s">
        <v>630</v>
      </c>
      <c r="B356" s="3">
        <v>45505</v>
      </c>
      <c r="C356" t="s">
        <v>41</v>
      </c>
      <c r="D356" t="s">
        <v>19</v>
      </c>
      <c r="E356" t="s">
        <v>360</v>
      </c>
      <c r="F356" t="s">
        <v>21</v>
      </c>
      <c r="G356" t="s">
        <v>22</v>
      </c>
      <c r="H356">
        <v>4</v>
      </c>
      <c r="I356">
        <v>51.04</v>
      </c>
      <c r="J356">
        <v>0.05</v>
      </c>
      <c r="K356">
        <v>193.95</v>
      </c>
      <c r="M356" t="str">
        <f t="shared" si="20"/>
        <v>Aug</v>
      </c>
      <c r="N356">
        <f t="shared" si="21"/>
        <v>8</v>
      </c>
      <c r="O356">
        <f t="shared" si="22"/>
        <v>193.952</v>
      </c>
      <c r="P356" t="str">
        <f t="shared" si="23"/>
        <v>OK</v>
      </c>
    </row>
    <row r="357" spans="1:16" x14ac:dyDescent="0.35">
      <c r="A357" t="s">
        <v>631</v>
      </c>
      <c r="B357" s="3">
        <v>45605</v>
      </c>
      <c r="C357" t="s">
        <v>65</v>
      </c>
      <c r="D357" t="s">
        <v>57</v>
      </c>
      <c r="E357" t="s">
        <v>128</v>
      </c>
      <c r="F357" t="s">
        <v>21</v>
      </c>
      <c r="G357" t="s">
        <v>22</v>
      </c>
      <c r="H357">
        <v>7</v>
      </c>
      <c r="I357">
        <v>164.33</v>
      </c>
      <c r="J357">
        <v>0.05</v>
      </c>
      <c r="K357">
        <v>1092.79</v>
      </c>
      <c r="M357" t="str">
        <f t="shared" si="20"/>
        <v>Nov</v>
      </c>
      <c r="N357">
        <f t="shared" si="21"/>
        <v>11</v>
      </c>
      <c r="O357">
        <f t="shared" si="22"/>
        <v>1092.7945000000002</v>
      </c>
      <c r="P357" t="str">
        <f t="shared" si="23"/>
        <v>OK</v>
      </c>
    </row>
    <row r="358" spans="1:16" x14ac:dyDescent="0.35">
      <c r="A358" t="s">
        <v>632</v>
      </c>
      <c r="B358" s="3">
        <v>45510</v>
      </c>
      <c r="C358" t="s">
        <v>24</v>
      </c>
      <c r="D358" t="s">
        <v>19</v>
      </c>
      <c r="E358" t="s">
        <v>317</v>
      </c>
      <c r="F358" t="s">
        <v>15</v>
      </c>
      <c r="G358" t="s">
        <v>111</v>
      </c>
      <c r="H358">
        <v>5</v>
      </c>
      <c r="I358">
        <v>41.12</v>
      </c>
      <c r="J358">
        <v>0.1</v>
      </c>
      <c r="K358">
        <v>185.04</v>
      </c>
      <c r="M358" t="str">
        <f t="shared" si="20"/>
        <v>Aug</v>
      </c>
      <c r="N358">
        <f t="shared" si="21"/>
        <v>8</v>
      </c>
      <c r="O358">
        <f t="shared" si="22"/>
        <v>185.04</v>
      </c>
      <c r="P358" t="str">
        <f t="shared" si="23"/>
        <v>OK</v>
      </c>
    </row>
    <row r="359" spans="1:16" x14ac:dyDescent="0.35">
      <c r="A359" t="s">
        <v>633</v>
      </c>
      <c r="B359" s="3">
        <v>45565</v>
      </c>
      <c r="C359" t="s">
        <v>65</v>
      </c>
      <c r="D359" t="s">
        <v>57</v>
      </c>
      <c r="E359" t="s">
        <v>144</v>
      </c>
      <c r="F359" t="s">
        <v>44</v>
      </c>
      <c r="G359" t="s">
        <v>50</v>
      </c>
      <c r="H359">
        <v>3</v>
      </c>
      <c r="I359">
        <v>35.880000000000003</v>
      </c>
      <c r="J359">
        <v>0.15</v>
      </c>
      <c r="K359">
        <v>91.49</v>
      </c>
      <c r="M359" t="str">
        <f t="shared" si="20"/>
        <v>Sep</v>
      </c>
      <c r="N359">
        <f t="shared" si="21"/>
        <v>9</v>
      </c>
      <c r="O359">
        <f t="shared" si="22"/>
        <v>91.494000000000014</v>
      </c>
      <c r="P359" t="str">
        <f t="shared" si="23"/>
        <v>OK</v>
      </c>
    </row>
    <row r="360" spans="1:16" x14ac:dyDescent="0.35">
      <c r="A360" t="s">
        <v>634</v>
      </c>
      <c r="B360" s="3">
        <v>45640</v>
      </c>
      <c r="C360" t="s">
        <v>33</v>
      </c>
      <c r="D360" t="s">
        <v>13</v>
      </c>
      <c r="E360" t="s">
        <v>404</v>
      </c>
      <c r="F360" t="s">
        <v>53</v>
      </c>
      <c r="G360" t="s">
        <v>59</v>
      </c>
      <c r="H360">
        <v>8</v>
      </c>
      <c r="I360">
        <v>21.42</v>
      </c>
      <c r="J360">
        <v>0</v>
      </c>
      <c r="K360">
        <v>171.36</v>
      </c>
      <c r="M360" t="str">
        <f t="shared" si="20"/>
        <v>Dec</v>
      </c>
      <c r="N360">
        <f t="shared" si="21"/>
        <v>12</v>
      </c>
      <c r="O360">
        <f t="shared" si="22"/>
        <v>171.36</v>
      </c>
      <c r="P360" t="str">
        <f t="shared" si="23"/>
        <v>OK</v>
      </c>
    </row>
    <row r="361" spans="1:16" x14ac:dyDescent="0.35">
      <c r="A361" t="s">
        <v>635</v>
      </c>
      <c r="B361" s="3">
        <v>45508</v>
      </c>
      <c r="C361" t="s">
        <v>33</v>
      </c>
      <c r="D361" t="s">
        <v>19</v>
      </c>
      <c r="E361" t="s">
        <v>474</v>
      </c>
      <c r="F361" t="s">
        <v>53</v>
      </c>
      <c r="G361" t="s">
        <v>125</v>
      </c>
      <c r="H361">
        <v>10</v>
      </c>
      <c r="I361">
        <v>109.44</v>
      </c>
      <c r="J361">
        <v>0</v>
      </c>
      <c r="K361">
        <v>1094.4000000000001</v>
      </c>
      <c r="M361" t="str">
        <f t="shared" si="20"/>
        <v>Aug</v>
      </c>
      <c r="N361">
        <f t="shared" si="21"/>
        <v>8</v>
      </c>
      <c r="O361">
        <f t="shared" si="22"/>
        <v>1094.4000000000001</v>
      </c>
      <c r="P361" t="str">
        <f t="shared" si="23"/>
        <v>OK</v>
      </c>
    </row>
    <row r="362" spans="1:16" x14ac:dyDescent="0.35">
      <c r="A362" t="s">
        <v>636</v>
      </c>
      <c r="B362" s="3">
        <v>45500</v>
      </c>
      <c r="C362" t="s">
        <v>65</v>
      </c>
      <c r="D362" t="s">
        <v>42</v>
      </c>
      <c r="E362" t="s">
        <v>638</v>
      </c>
      <c r="F362" t="s">
        <v>44</v>
      </c>
      <c r="G362" t="s">
        <v>45</v>
      </c>
      <c r="H362">
        <v>11</v>
      </c>
      <c r="I362">
        <v>28.11</v>
      </c>
      <c r="J362">
        <v>0.05</v>
      </c>
      <c r="K362">
        <v>293.75</v>
      </c>
      <c r="M362" t="str">
        <f t="shared" si="20"/>
        <v>Jul</v>
      </c>
      <c r="N362">
        <f t="shared" si="21"/>
        <v>7</v>
      </c>
      <c r="O362">
        <f t="shared" si="22"/>
        <v>293.74949999999995</v>
      </c>
      <c r="P362" t="str">
        <f t="shared" si="23"/>
        <v>OK</v>
      </c>
    </row>
    <row r="363" spans="1:16" x14ac:dyDescent="0.35">
      <c r="A363" t="s">
        <v>639</v>
      </c>
      <c r="B363" s="3">
        <v>45357</v>
      </c>
      <c r="C363" t="s">
        <v>65</v>
      </c>
      <c r="D363" t="s">
        <v>19</v>
      </c>
      <c r="E363" t="s">
        <v>113</v>
      </c>
      <c r="F363" t="s">
        <v>15</v>
      </c>
      <c r="G363" t="s">
        <v>27</v>
      </c>
      <c r="H363">
        <v>11</v>
      </c>
      <c r="I363">
        <v>231.81</v>
      </c>
      <c r="J363">
        <v>0.05</v>
      </c>
      <c r="K363">
        <v>2422.41</v>
      </c>
      <c r="M363" t="str">
        <f t="shared" si="20"/>
        <v>Mar</v>
      </c>
      <c r="N363">
        <f t="shared" si="21"/>
        <v>3</v>
      </c>
      <c r="O363">
        <f t="shared" si="22"/>
        <v>2422.4144999999999</v>
      </c>
      <c r="P363" t="str">
        <f t="shared" si="23"/>
        <v>OK</v>
      </c>
    </row>
    <row r="364" spans="1:16" x14ac:dyDescent="0.35">
      <c r="A364" t="s">
        <v>640</v>
      </c>
      <c r="B364" s="3">
        <v>45624</v>
      </c>
      <c r="C364" t="s">
        <v>65</v>
      </c>
      <c r="D364" t="s">
        <v>19</v>
      </c>
      <c r="E364" t="s">
        <v>343</v>
      </c>
      <c r="F364" t="s">
        <v>21</v>
      </c>
      <c r="G364" t="s">
        <v>70</v>
      </c>
      <c r="H364">
        <v>2</v>
      </c>
      <c r="I364">
        <v>106.16</v>
      </c>
      <c r="J364">
        <v>0</v>
      </c>
      <c r="K364">
        <v>212.32</v>
      </c>
      <c r="M364" t="str">
        <f t="shared" si="20"/>
        <v>Nov</v>
      </c>
      <c r="N364">
        <f t="shared" si="21"/>
        <v>11</v>
      </c>
      <c r="O364">
        <f t="shared" si="22"/>
        <v>212.32</v>
      </c>
      <c r="P364" t="str">
        <f t="shared" si="23"/>
        <v>OK</v>
      </c>
    </row>
    <row r="365" spans="1:16" x14ac:dyDescent="0.35">
      <c r="A365" t="s">
        <v>641</v>
      </c>
      <c r="B365" s="3">
        <v>45537</v>
      </c>
      <c r="C365" t="s">
        <v>24</v>
      </c>
      <c r="D365" t="s">
        <v>13</v>
      </c>
      <c r="E365" t="s">
        <v>642</v>
      </c>
      <c r="F365" t="s">
        <v>44</v>
      </c>
      <c r="G365" t="s">
        <v>94</v>
      </c>
      <c r="H365">
        <v>4</v>
      </c>
      <c r="I365">
        <v>123.13</v>
      </c>
      <c r="J365">
        <v>0</v>
      </c>
      <c r="K365">
        <v>492.52</v>
      </c>
      <c r="M365" t="str">
        <f t="shared" si="20"/>
        <v>Sep</v>
      </c>
      <c r="N365">
        <f t="shared" si="21"/>
        <v>9</v>
      </c>
      <c r="O365">
        <f t="shared" si="22"/>
        <v>492.52</v>
      </c>
      <c r="P365" t="str">
        <f t="shared" si="23"/>
        <v>OK</v>
      </c>
    </row>
    <row r="366" spans="1:16" x14ac:dyDescent="0.35">
      <c r="A366" t="s">
        <v>643</v>
      </c>
      <c r="B366" s="3">
        <v>45437</v>
      </c>
      <c r="C366" t="s">
        <v>41</v>
      </c>
      <c r="D366" t="s">
        <v>57</v>
      </c>
      <c r="E366" t="s">
        <v>221</v>
      </c>
      <c r="F366" t="s">
        <v>53</v>
      </c>
      <c r="G366" t="s">
        <v>104</v>
      </c>
      <c r="H366">
        <v>6</v>
      </c>
      <c r="I366">
        <v>13.62</v>
      </c>
      <c r="J366">
        <v>0</v>
      </c>
      <c r="K366">
        <v>81.72</v>
      </c>
      <c r="M366" t="str">
        <f t="shared" si="20"/>
        <v>May</v>
      </c>
      <c r="N366">
        <f t="shared" si="21"/>
        <v>5</v>
      </c>
      <c r="O366">
        <f t="shared" si="22"/>
        <v>81.72</v>
      </c>
      <c r="P366" t="str">
        <f t="shared" si="23"/>
        <v>OK</v>
      </c>
    </row>
    <row r="367" spans="1:16" x14ac:dyDescent="0.35">
      <c r="A367" t="s">
        <v>644</v>
      </c>
      <c r="B367" s="3">
        <v>45313</v>
      </c>
      <c r="C367" t="s">
        <v>24</v>
      </c>
      <c r="D367" t="s">
        <v>57</v>
      </c>
      <c r="E367" t="s">
        <v>620</v>
      </c>
      <c r="F367" t="s">
        <v>53</v>
      </c>
      <c r="G367" t="s">
        <v>63</v>
      </c>
      <c r="H367">
        <v>1</v>
      </c>
      <c r="I367">
        <v>219.33</v>
      </c>
      <c r="J367">
        <v>0.1</v>
      </c>
      <c r="K367">
        <v>197.4</v>
      </c>
      <c r="M367" t="str">
        <f t="shared" si="20"/>
        <v>Jan</v>
      </c>
      <c r="N367">
        <f t="shared" si="21"/>
        <v>1</v>
      </c>
      <c r="O367">
        <f t="shared" si="22"/>
        <v>197.39700000000002</v>
      </c>
      <c r="P367" t="str">
        <f t="shared" si="23"/>
        <v>OK</v>
      </c>
    </row>
    <row r="368" spans="1:16" x14ac:dyDescent="0.35">
      <c r="A368" t="s">
        <v>646</v>
      </c>
      <c r="B368" s="3">
        <v>45582</v>
      </c>
      <c r="C368" t="s">
        <v>18</v>
      </c>
      <c r="D368" t="s">
        <v>42</v>
      </c>
      <c r="E368" t="s">
        <v>348</v>
      </c>
      <c r="F368" t="s">
        <v>44</v>
      </c>
      <c r="G368" t="s">
        <v>94</v>
      </c>
      <c r="H368">
        <v>8</v>
      </c>
      <c r="I368">
        <v>143.72</v>
      </c>
      <c r="J368">
        <v>0</v>
      </c>
      <c r="K368">
        <v>1149.76</v>
      </c>
      <c r="M368" t="str">
        <f t="shared" si="20"/>
        <v>Oct</v>
      </c>
      <c r="N368">
        <f t="shared" si="21"/>
        <v>10</v>
      </c>
      <c r="O368">
        <f t="shared" si="22"/>
        <v>1149.76</v>
      </c>
      <c r="P368" t="str">
        <f t="shared" si="23"/>
        <v>OK</v>
      </c>
    </row>
    <row r="369" spans="1:16" x14ac:dyDescent="0.35">
      <c r="A369" t="s">
        <v>647</v>
      </c>
      <c r="B369" s="3">
        <v>45350</v>
      </c>
      <c r="C369" t="s">
        <v>65</v>
      </c>
      <c r="D369" t="s">
        <v>25</v>
      </c>
      <c r="E369" t="s">
        <v>278</v>
      </c>
      <c r="F369" t="s">
        <v>35</v>
      </c>
      <c r="G369" t="s">
        <v>177</v>
      </c>
      <c r="H369">
        <v>5</v>
      </c>
      <c r="I369">
        <v>110.33</v>
      </c>
      <c r="J369">
        <v>0.15</v>
      </c>
      <c r="K369">
        <v>468.9</v>
      </c>
      <c r="M369" t="str">
        <f t="shared" si="20"/>
        <v>Feb</v>
      </c>
      <c r="N369">
        <f t="shared" si="21"/>
        <v>2</v>
      </c>
      <c r="O369">
        <f t="shared" si="22"/>
        <v>468.90249999999997</v>
      </c>
      <c r="P369" t="str">
        <f t="shared" si="23"/>
        <v>OK</v>
      </c>
    </row>
    <row r="370" spans="1:16" x14ac:dyDescent="0.35">
      <c r="A370" t="s">
        <v>648</v>
      </c>
      <c r="B370" s="3">
        <v>45521</v>
      </c>
      <c r="C370" t="s">
        <v>41</v>
      </c>
      <c r="D370" t="s">
        <v>25</v>
      </c>
      <c r="E370" t="s">
        <v>426</v>
      </c>
      <c r="F370" t="s">
        <v>21</v>
      </c>
      <c r="G370" t="s">
        <v>22</v>
      </c>
      <c r="H370">
        <v>4</v>
      </c>
      <c r="I370">
        <v>88.94</v>
      </c>
      <c r="J370">
        <v>0.05</v>
      </c>
      <c r="K370">
        <v>337.97</v>
      </c>
      <c r="M370" t="str">
        <f t="shared" si="20"/>
        <v>Aug</v>
      </c>
      <c r="N370">
        <f t="shared" si="21"/>
        <v>8</v>
      </c>
      <c r="O370">
        <f t="shared" si="22"/>
        <v>337.97199999999998</v>
      </c>
      <c r="P370" t="str">
        <f t="shared" si="23"/>
        <v>OK</v>
      </c>
    </row>
    <row r="371" spans="1:16" x14ac:dyDescent="0.35">
      <c r="A371" t="s">
        <v>650</v>
      </c>
      <c r="B371" s="3">
        <v>45602</v>
      </c>
      <c r="C371" t="s">
        <v>41</v>
      </c>
      <c r="D371" t="s">
        <v>25</v>
      </c>
      <c r="E371" t="s">
        <v>366</v>
      </c>
      <c r="F371" t="s">
        <v>35</v>
      </c>
      <c r="G371" t="s">
        <v>134</v>
      </c>
      <c r="H371">
        <v>3</v>
      </c>
      <c r="I371">
        <v>195.56</v>
      </c>
      <c r="J371">
        <v>0</v>
      </c>
      <c r="K371">
        <v>586.67999999999995</v>
      </c>
      <c r="M371" t="str">
        <f t="shared" si="20"/>
        <v>Nov</v>
      </c>
      <c r="N371">
        <f t="shared" si="21"/>
        <v>11</v>
      </c>
      <c r="O371">
        <f t="shared" si="22"/>
        <v>586.68000000000006</v>
      </c>
      <c r="P371" t="str">
        <f t="shared" si="23"/>
        <v>OK</v>
      </c>
    </row>
    <row r="372" spans="1:16" x14ac:dyDescent="0.35">
      <c r="A372" t="s">
        <v>651</v>
      </c>
      <c r="B372" s="3">
        <v>45514</v>
      </c>
      <c r="C372" t="s">
        <v>65</v>
      </c>
      <c r="D372" t="s">
        <v>25</v>
      </c>
      <c r="E372" t="s">
        <v>508</v>
      </c>
      <c r="F372" t="s">
        <v>15</v>
      </c>
      <c r="G372" t="s">
        <v>16</v>
      </c>
      <c r="H372">
        <v>10</v>
      </c>
      <c r="I372">
        <v>11.43</v>
      </c>
      <c r="J372">
        <v>0</v>
      </c>
      <c r="K372">
        <v>114.3</v>
      </c>
      <c r="M372" t="str">
        <f t="shared" si="20"/>
        <v>Aug</v>
      </c>
      <c r="N372">
        <f t="shared" si="21"/>
        <v>8</v>
      </c>
      <c r="O372">
        <f t="shared" si="22"/>
        <v>114.3</v>
      </c>
      <c r="P372" t="str">
        <f t="shared" si="23"/>
        <v>OK</v>
      </c>
    </row>
    <row r="373" spans="1:16" x14ac:dyDescent="0.35">
      <c r="A373" t="s">
        <v>652</v>
      </c>
      <c r="B373" s="3">
        <v>45473</v>
      </c>
      <c r="C373" t="s">
        <v>18</v>
      </c>
      <c r="D373" t="s">
        <v>19</v>
      </c>
      <c r="E373" t="s">
        <v>171</v>
      </c>
      <c r="F373" t="s">
        <v>35</v>
      </c>
      <c r="G373" t="s">
        <v>36</v>
      </c>
      <c r="H373">
        <v>9</v>
      </c>
      <c r="I373">
        <v>148.46</v>
      </c>
      <c r="J373">
        <v>0</v>
      </c>
      <c r="K373">
        <v>1336.14</v>
      </c>
      <c r="M373" t="str">
        <f t="shared" si="20"/>
        <v>Jun</v>
      </c>
      <c r="N373">
        <f t="shared" si="21"/>
        <v>6</v>
      </c>
      <c r="O373">
        <f t="shared" si="22"/>
        <v>1336.14</v>
      </c>
      <c r="P373" t="str">
        <f t="shared" si="23"/>
        <v>OK</v>
      </c>
    </row>
    <row r="374" spans="1:16" x14ac:dyDescent="0.35">
      <c r="A374" t="s">
        <v>653</v>
      </c>
      <c r="B374" s="3">
        <v>45521</v>
      </c>
      <c r="C374" t="s">
        <v>18</v>
      </c>
      <c r="D374" t="s">
        <v>25</v>
      </c>
      <c r="E374" t="s">
        <v>472</v>
      </c>
      <c r="F374" t="s">
        <v>21</v>
      </c>
      <c r="G374" t="s">
        <v>167</v>
      </c>
      <c r="H374">
        <v>8</v>
      </c>
      <c r="I374">
        <v>214.86</v>
      </c>
      <c r="J374">
        <v>0</v>
      </c>
      <c r="K374">
        <v>1718.88</v>
      </c>
      <c r="M374" t="str">
        <f t="shared" si="20"/>
        <v>Aug</v>
      </c>
      <c r="N374">
        <f t="shared" si="21"/>
        <v>8</v>
      </c>
      <c r="O374">
        <f t="shared" si="22"/>
        <v>1718.88</v>
      </c>
      <c r="P374" t="str">
        <f t="shared" si="23"/>
        <v>OK</v>
      </c>
    </row>
    <row r="375" spans="1:16" x14ac:dyDescent="0.35">
      <c r="A375" t="s">
        <v>654</v>
      </c>
      <c r="B375" s="3">
        <v>45293</v>
      </c>
      <c r="C375" t="s">
        <v>24</v>
      </c>
      <c r="D375" t="s">
        <v>42</v>
      </c>
      <c r="E375" t="s">
        <v>470</v>
      </c>
      <c r="F375" t="s">
        <v>21</v>
      </c>
      <c r="G375" t="s">
        <v>194</v>
      </c>
      <c r="H375">
        <v>9</v>
      </c>
      <c r="I375">
        <v>132.08000000000001</v>
      </c>
      <c r="J375">
        <v>0</v>
      </c>
      <c r="K375">
        <v>1188.72</v>
      </c>
      <c r="M375" t="str">
        <f t="shared" si="20"/>
        <v>Jan</v>
      </c>
      <c r="N375">
        <f t="shared" si="21"/>
        <v>1</v>
      </c>
      <c r="O375">
        <f t="shared" si="22"/>
        <v>1188.72</v>
      </c>
      <c r="P375" t="str">
        <f t="shared" si="23"/>
        <v>OK</v>
      </c>
    </row>
    <row r="376" spans="1:16" x14ac:dyDescent="0.35">
      <c r="A376" t="s">
        <v>655</v>
      </c>
      <c r="B376" s="3">
        <v>45638</v>
      </c>
      <c r="C376" t="s">
        <v>24</v>
      </c>
      <c r="D376" t="s">
        <v>13</v>
      </c>
      <c r="E376" t="s">
        <v>656</v>
      </c>
      <c r="F376" t="s">
        <v>21</v>
      </c>
      <c r="G376" t="s">
        <v>129</v>
      </c>
      <c r="H376">
        <v>10</v>
      </c>
      <c r="I376">
        <v>124.92</v>
      </c>
      <c r="J376">
        <v>0.15</v>
      </c>
      <c r="K376">
        <v>1061.82</v>
      </c>
      <c r="M376" t="str">
        <f t="shared" si="20"/>
        <v>Dec</v>
      </c>
      <c r="N376">
        <f t="shared" si="21"/>
        <v>12</v>
      </c>
      <c r="O376">
        <f t="shared" si="22"/>
        <v>1061.82</v>
      </c>
      <c r="P376" t="str">
        <f t="shared" si="23"/>
        <v>OK</v>
      </c>
    </row>
    <row r="377" spans="1:16" x14ac:dyDescent="0.35">
      <c r="A377" t="s">
        <v>657</v>
      </c>
      <c r="B377" s="3">
        <v>45518</v>
      </c>
      <c r="C377" t="s">
        <v>18</v>
      </c>
      <c r="D377" t="s">
        <v>42</v>
      </c>
      <c r="E377" t="s">
        <v>204</v>
      </c>
      <c r="F377" t="s">
        <v>44</v>
      </c>
      <c r="G377" t="s">
        <v>86</v>
      </c>
      <c r="H377">
        <v>12</v>
      </c>
      <c r="I377">
        <v>45.13</v>
      </c>
      <c r="J377">
        <v>0.05</v>
      </c>
      <c r="K377">
        <v>514.48</v>
      </c>
      <c r="M377" t="str">
        <f t="shared" si="20"/>
        <v>Aug</v>
      </c>
      <c r="N377">
        <f t="shared" si="21"/>
        <v>8</v>
      </c>
      <c r="O377">
        <f t="shared" si="22"/>
        <v>514.48200000000008</v>
      </c>
      <c r="P377" t="str">
        <f t="shared" si="23"/>
        <v>OK</v>
      </c>
    </row>
    <row r="378" spans="1:16" x14ac:dyDescent="0.35">
      <c r="A378" t="s">
        <v>658</v>
      </c>
      <c r="B378" s="3">
        <v>45629</v>
      </c>
      <c r="C378" t="s">
        <v>24</v>
      </c>
      <c r="D378" t="s">
        <v>19</v>
      </c>
      <c r="E378" t="s">
        <v>659</v>
      </c>
      <c r="F378" t="s">
        <v>15</v>
      </c>
      <c r="G378" t="s">
        <v>74</v>
      </c>
      <c r="H378">
        <v>7</v>
      </c>
      <c r="I378">
        <v>80.31</v>
      </c>
      <c r="J378">
        <v>0.15</v>
      </c>
      <c r="K378">
        <v>477.84</v>
      </c>
      <c r="M378" t="str">
        <f t="shared" si="20"/>
        <v>Dec</v>
      </c>
      <c r="N378">
        <f t="shared" si="21"/>
        <v>12</v>
      </c>
      <c r="O378">
        <f t="shared" si="22"/>
        <v>477.84450000000004</v>
      </c>
      <c r="P378" t="str">
        <f t="shared" si="23"/>
        <v>OK</v>
      </c>
    </row>
    <row r="379" spans="1:16" x14ac:dyDescent="0.35">
      <c r="A379" t="s">
        <v>660</v>
      </c>
      <c r="B379" s="3">
        <v>45318</v>
      </c>
      <c r="C379" t="s">
        <v>24</v>
      </c>
      <c r="D379" t="s">
        <v>13</v>
      </c>
      <c r="E379" t="s">
        <v>309</v>
      </c>
      <c r="F379" t="s">
        <v>35</v>
      </c>
      <c r="G379" t="s">
        <v>134</v>
      </c>
      <c r="H379">
        <v>10</v>
      </c>
      <c r="I379">
        <v>97.41</v>
      </c>
      <c r="J379">
        <v>0.1</v>
      </c>
      <c r="K379">
        <v>876.69</v>
      </c>
      <c r="M379" t="str">
        <f t="shared" si="20"/>
        <v>Jan</v>
      </c>
      <c r="N379">
        <f t="shared" si="21"/>
        <v>1</v>
      </c>
      <c r="O379">
        <f t="shared" si="22"/>
        <v>876.68999999999994</v>
      </c>
      <c r="P379" t="str">
        <f t="shared" si="23"/>
        <v>OK</v>
      </c>
    </row>
    <row r="380" spans="1:16" x14ac:dyDescent="0.35">
      <c r="A380" t="s">
        <v>661</v>
      </c>
      <c r="B380" s="3">
        <v>45428</v>
      </c>
      <c r="C380" t="s">
        <v>33</v>
      </c>
      <c r="D380" t="s">
        <v>42</v>
      </c>
      <c r="E380" t="s">
        <v>34</v>
      </c>
      <c r="F380" t="s">
        <v>35</v>
      </c>
      <c r="G380" t="s">
        <v>134</v>
      </c>
      <c r="H380">
        <v>5</v>
      </c>
      <c r="I380">
        <v>163.28</v>
      </c>
      <c r="J380">
        <v>0.15</v>
      </c>
      <c r="K380">
        <v>693.94</v>
      </c>
      <c r="M380" t="str">
        <f t="shared" si="20"/>
        <v>May</v>
      </c>
      <c r="N380">
        <f t="shared" si="21"/>
        <v>5</v>
      </c>
      <c r="O380">
        <f t="shared" si="22"/>
        <v>693.93999999999994</v>
      </c>
      <c r="P380" t="str">
        <f t="shared" si="23"/>
        <v>OK</v>
      </c>
    </row>
    <row r="381" spans="1:16" x14ac:dyDescent="0.35">
      <c r="A381" t="s">
        <v>662</v>
      </c>
      <c r="B381" s="3">
        <v>45388</v>
      </c>
      <c r="C381" t="s">
        <v>65</v>
      </c>
      <c r="D381" t="s">
        <v>13</v>
      </c>
      <c r="E381" t="s">
        <v>663</v>
      </c>
      <c r="F381" t="s">
        <v>21</v>
      </c>
      <c r="G381" t="s">
        <v>70</v>
      </c>
      <c r="H381">
        <v>3</v>
      </c>
      <c r="I381">
        <v>221.47</v>
      </c>
      <c r="J381">
        <v>0</v>
      </c>
      <c r="K381">
        <v>664.41</v>
      </c>
      <c r="M381" t="str">
        <f t="shared" si="20"/>
        <v>Apr</v>
      </c>
      <c r="N381">
        <f t="shared" si="21"/>
        <v>4</v>
      </c>
      <c r="O381">
        <f t="shared" si="22"/>
        <v>664.41</v>
      </c>
      <c r="P381" t="str">
        <f t="shared" si="23"/>
        <v>OK</v>
      </c>
    </row>
    <row r="382" spans="1:16" x14ac:dyDescent="0.35">
      <c r="A382" t="s">
        <v>664</v>
      </c>
      <c r="B382" s="3">
        <v>45591</v>
      </c>
      <c r="C382" t="s">
        <v>24</v>
      </c>
      <c r="D382" t="s">
        <v>13</v>
      </c>
      <c r="E382" t="s">
        <v>221</v>
      </c>
      <c r="F382" t="s">
        <v>15</v>
      </c>
      <c r="G382" t="s">
        <v>111</v>
      </c>
      <c r="H382">
        <v>8</v>
      </c>
      <c r="I382">
        <v>6.38</v>
      </c>
      <c r="J382">
        <v>0.15</v>
      </c>
      <c r="K382">
        <v>43.38</v>
      </c>
      <c r="M382" t="str">
        <f t="shared" si="20"/>
        <v>Oct</v>
      </c>
      <c r="N382">
        <f t="shared" si="21"/>
        <v>10</v>
      </c>
      <c r="O382">
        <f t="shared" si="22"/>
        <v>43.384</v>
      </c>
      <c r="P382" t="str">
        <f t="shared" si="23"/>
        <v>OK</v>
      </c>
    </row>
    <row r="383" spans="1:16" x14ac:dyDescent="0.35">
      <c r="A383" t="s">
        <v>665</v>
      </c>
      <c r="B383" s="3">
        <v>45533</v>
      </c>
      <c r="C383" t="s">
        <v>24</v>
      </c>
      <c r="D383" t="s">
        <v>25</v>
      </c>
      <c r="E383" t="s">
        <v>201</v>
      </c>
      <c r="F383" t="s">
        <v>44</v>
      </c>
      <c r="G383" t="s">
        <v>86</v>
      </c>
      <c r="H383">
        <v>1</v>
      </c>
      <c r="I383">
        <v>165.04</v>
      </c>
      <c r="J383">
        <v>0</v>
      </c>
      <c r="K383">
        <v>165.04</v>
      </c>
      <c r="M383" t="str">
        <f t="shared" si="20"/>
        <v>Aug</v>
      </c>
      <c r="N383">
        <f t="shared" si="21"/>
        <v>8</v>
      </c>
      <c r="O383">
        <f t="shared" si="22"/>
        <v>165.04</v>
      </c>
      <c r="P383" t="str">
        <f t="shared" si="23"/>
        <v>OK</v>
      </c>
    </row>
    <row r="384" spans="1:16" x14ac:dyDescent="0.35">
      <c r="A384" t="s">
        <v>666</v>
      </c>
      <c r="B384" s="3">
        <v>45533</v>
      </c>
      <c r="C384" t="s">
        <v>33</v>
      </c>
      <c r="D384" t="s">
        <v>57</v>
      </c>
      <c r="E384" t="s">
        <v>293</v>
      </c>
      <c r="F384" t="s">
        <v>44</v>
      </c>
      <c r="G384" t="s">
        <v>94</v>
      </c>
      <c r="H384">
        <v>2</v>
      </c>
      <c r="I384">
        <v>220.81</v>
      </c>
      <c r="J384">
        <v>0</v>
      </c>
      <c r="K384">
        <v>441.62</v>
      </c>
      <c r="M384" t="str">
        <f t="shared" si="20"/>
        <v>Aug</v>
      </c>
      <c r="N384">
        <f t="shared" si="21"/>
        <v>8</v>
      </c>
      <c r="O384">
        <f t="shared" si="22"/>
        <v>441.62</v>
      </c>
      <c r="P384" t="str">
        <f t="shared" si="23"/>
        <v>OK</v>
      </c>
    </row>
    <row r="385" spans="1:16" x14ac:dyDescent="0.35">
      <c r="A385" t="s">
        <v>668</v>
      </c>
      <c r="B385" s="3">
        <v>45596</v>
      </c>
      <c r="C385" t="s">
        <v>41</v>
      </c>
      <c r="D385" t="s">
        <v>19</v>
      </c>
      <c r="E385" t="s">
        <v>20</v>
      </c>
      <c r="F385" t="s">
        <v>53</v>
      </c>
      <c r="G385" t="s">
        <v>54</v>
      </c>
      <c r="H385">
        <v>1</v>
      </c>
      <c r="I385">
        <v>85.71</v>
      </c>
      <c r="J385">
        <v>0.15</v>
      </c>
      <c r="K385">
        <v>72.849999999999994</v>
      </c>
      <c r="M385" t="str">
        <f t="shared" si="20"/>
        <v>Oct</v>
      </c>
      <c r="N385">
        <f t="shared" si="21"/>
        <v>10</v>
      </c>
      <c r="O385">
        <f t="shared" si="22"/>
        <v>72.853499999999997</v>
      </c>
      <c r="P385" t="str">
        <f t="shared" si="23"/>
        <v>OK</v>
      </c>
    </row>
    <row r="386" spans="1:16" x14ac:dyDescent="0.35">
      <c r="A386" t="s">
        <v>669</v>
      </c>
      <c r="B386" s="3">
        <v>45598</v>
      </c>
      <c r="C386" t="s">
        <v>41</v>
      </c>
      <c r="D386" t="s">
        <v>25</v>
      </c>
      <c r="E386" t="s">
        <v>480</v>
      </c>
      <c r="F386" t="s">
        <v>44</v>
      </c>
      <c r="G386" t="s">
        <v>45</v>
      </c>
      <c r="H386">
        <v>2</v>
      </c>
      <c r="I386">
        <v>21.79</v>
      </c>
      <c r="J386">
        <v>0.15</v>
      </c>
      <c r="K386">
        <v>37.04</v>
      </c>
      <c r="M386" t="str">
        <f t="shared" si="20"/>
        <v>Nov</v>
      </c>
      <c r="N386">
        <f t="shared" si="21"/>
        <v>11</v>
      </c>
      <c r="O386">
        <f t="shared" si="22"/>
        <v>37.042999999999999</v>
      </c>
      <c r="P386" t="str">
        <f t="shared" si="23"/>
        <v>OK</v>
      </c>
    </row>
    <row r="387" spans="1:16" x14ac:dyDescent="0.35">
      <c r="A387" t="s">
        <v>670</v>
      </c>
      <c r="B387" s="3">
        <v>45417</v>
      </c>
      <c r="C387" t="s">
        <v>33</v>
      </c>
      <c r="D387" t="s">
        <v>13</v>
      </c>
      <c r="E387" t="s">
        <v>468</v>
      </c>
      <c r="F387" t="s">
        <v>53</v>
      </c>
      <c r="G387" t="s">
        <v>54</v>
      </c>
      <c r="H387">
        <v>3</v>
      </c>
      <c r="I387">
        <v>200.33</v>
      </c>
      <c r="J387">
        <v>0.15</v>
      </c>
      <c r="K387">
        <v>510.84</v>
      </c>
      <c r="M387" t="str">
        <f t="shared" ref="M387:M450" si="24">TEXT(B387,"mmm")</f>
        <v>May</v>
      </c>
      <c r="N387">
        <f t="shared" ref="N387:N450" si="25">MONTH(B387)</f>
        <v>5</v>
      </c>
      <c r="O387">
        <f t="shared" ref="O387:O450" si="26">H387*I387*(1-J387)</f>
        <v>510.8415</v>
      </c>
      <c r="P387" t="str">
        <f t="shared" ref="P387:P450" si="27">IF(ROUND(K387,2)=ROUND(O387,2),"OK","MISMATCH")</f>
        <v>OK</v>
      </c>
    </row>
    <row r="388" spans="1:16" x14ac:dyDescent="0.35">
      <c r="A388" t="s">
        <v>671</v>
      </c>
      <c r="B388" s="3">
        <v>45474</v>
      </c>
      <c r="C388" t="s">
        <v>41</v>
      </c>
      <c r="D388" t="s">
        <v>19</v>
      </c>
      <c r="E388" t="s">
        <v>457</v>
      </c>
      <c r="F388" t="s">
        <v>15</v>
      </c>
      <c r="G388" t="s">
        <v>74</v>
      </c>
      <c r="H388">
        <v>6</v>
      </c>
      <c r="I388">
        <v>208.25</v>
      </c>
      <c r="J388">
        <v>0</v>
      </c>
      <c r="K388">
        <v>1249.5</v>
      </c>
      <c r="M388" t="str">
        <f t="shared" si="24"/>
        <v>Jul</v>
      </c>
      <c r="N388">
        <f t="shared" si="25"/>
        <v>7</v>
      </c>
      <c r="O388">
        <f t="shared" si="26"/>
        <v>1249.5</v>
      </c>
      <c r="P388" t="str">
        <f t="shared" si="27"/>
        <v>OK</v>
      </c>
    </row>
    <row r="389" spans="1:16" x14ac:dyDescent="0.35">
      <c r="A389" t="s">
        <v>672</v>
      </c>
      <c r="B389" s="3">
        <v>45643</v>
      </c>
      <c r="C389" t="s">
        <v>33</v>
      </c>
      <c r="D389" t="s">
        <v>19</v>
      </c>
      <c r="E389" t="s">
        <v>96</v>
      </c>
      <c r="F389" t="s">
        <v>44</v>
      </c>
      <c r="G389" t="s">
        <v>94</v>
      </c>
      <c r="H389">
        <v>6</v>
      </c>
      <c r="I389">
        <v>40.89</v>
      </c>
      <c r="J389">
        <v>0.05</v>
      </c>
      <c r="K389">
        <v>233.07</v>
      </c>
      <c r="M389" t="str">
        <f t="shared" si="24"/>
        <v>Dec</v>
      </c>
      <c r="N389">
        <f t="shared" si="25"/>
        <v>12</v>
      </c>
      <c r="O389">
        <f t="shared" si="26"/>
        <v>233.07299999999998</v>
      </c>
      <c r="P389" t="str">
        <f t="shared" si="27"/>
        <v>OK</v>
      </c>
    </row>
    <row r="390" spans="1:16" x14ac:dyDescent="0.35">
      <c r="A390" t="s">
        <v>673</v>
      </c>
      <c r="B390" s="3">
        <v>45298</v>
      </c>
      <c r="C390" t="s">
        <v>65</v>
      </c>
      <c r="D390" t="s">
        <v>19</v>
      </c>
      <c r="E390" t="s">
        <v>674</v>
      </c>
      <c r="F390" t="s">
        <v>21</v>
      </c>
      <c r="G390" t="s">
        <v>129</v>
      </c>
      <c r="H390">
        <v>8</v>
      </c>
      <c r="I390">
        <v>126.92</v>
      </c>
      <c r="J390">
        <v>0.1</v>
      </c>
      <c r="K390">
        <v>913.82</v>
      </c>
      <c r="M390" t="str">
        <f t="shared" si="24"/>
        <v>Jan</v>
      </c>
      <c r="N390">
        <f t="shared" si="25"/>
        <v>1</v>
      </c>
      <c r="O390">
        <f t="shared" si="26"/>
        <v>913.82400000000007</v>
      </c>
      <c r="P390" t="str">
        <f t="shared" si="27"/>
        <v>OK</v>
      </c>
    </row>
    <row r="391" spans="1:16" x14ac:dyDescent="0.35">
      <c r="A391" t="s">
        <v>675</v>
      </c>
      <c r="B391" s="3">
        <v>45565</v>
      </c>
      <c r="C391" t="s">
        <v>18</v>
      </c>
      <c r="D391" t="s">
        <v>19</v>
      </c>
      <c r="E391" t="s">
        <v>150</v>
      </c>
      <c r="F391" t="s">
        <v>53</v>
      </c>
      <c r="G391" t="s">
        <v>59</v>
      </c>
      <c r="H391">
        <v>1</v>
      </c>
      <c r="I391">
        <v>150.51</v>
      </c>
      <c r="J391">
        <v>0.15</v>
      </c>
      <c r="K391">
        <v>127.93</v>
      </c>
      <c r="M391" t="str">
        <f t="shared" si="24"/>
        <v>Sep</v>
      </c>
      <c r="N391">
        <f t="shared" si="25"/>
        <v>9</v>
      </c>
      <c r="O391">
        <f t="shared" si="26"/>
        <v>127.9335</v>
      </c>
      <c r="P391" t="str">
        <f t="shared" si="27"/>
        <v>OK</v>
      </c>
    </row>
    <row r="392" spans="1:16" x14ac:dyDescent="0.35">
      <c r="A392" t="s">
        <v>676</v>
      </c>
      <c r="B392" s="3">
        <v>45553</v>
      </c>
      <c r="C392" t="s">
        <v>18</v>
      </c>
      <c r="D392" t="s">
        <v>13</v>
      </c>
      <c r="E392" t="s">
        <v>133</v>
      </c>
      <c r="F392" t="s">
        <v>53</v>
      </c>
      <c r="G392" t="s">
        <v>125</v>
      </c>
      <c r="H392">
        <v>5</v>
      </c>
      <c r="I392">
        <v>121.66</v>
      </c>
      <c r="J392">
        <v>0</v>
      </c>
      <c r="K392">
        <v>608.29999999999995</v>
      </c>
      <c r="M392" t="str">
        <f t="shared" si="24"/>
        <v>Sep</v>
      </c>
      <c r="N392">
        <f t="shared" si="25"/>
        <v>9</v>
      </c>
      <c r="O392">
        <f t="shared" si="26"/>
        <v>608.29999999999995</v>
      </c>
      <c r="P392" t="str">
        <f t="shared" si="27"/>
        <v>OK</v>
      </c>
    </row>
    <row r="393" spans="1:16" x14ac:dyDescent="0.35">
      <c r="A393" t="s">
        <v>678</v>
      </c>
      <c r="B393" s="3">
        <v>45416</v>
      </c>
      <c r="C393" t="s">
        <v>18</v>
      </c>
      <c r="D393" t="s">
        <v>25</v>
      </c>
      <c r="E393" t="s">
        <v>679</v>
      </c>
      <c r="F393" t="s">
        <v>35</v>
      </c>
      <c r="G393" t="s">
        <v>67</v>
      </c>
      <c r="H393">
        <v>2</v>
      </c>
      <c r="I393">
        <v>73.88</v>
      </c>
      <c r="J393">
        <v>0</v>
      </c>
      <c r="K393">
        <v>147.76</v>
      </c>
      <c r="M393" t="str">
        <f t="shared" si="24"/>
        <v>May</v>
      </c>
      <c r="N393">
        <f t="shared" si="25"/>
        <v>5</v>
      </c>
      <c r="O393">
        <f t="shared" si="26"/>
        <v>147.76</v>
      </c>
      <c r="P393" t="str">
        <f t="shared" si="27"/>
        <v>OK</v>
      </c>
    </row>
    <row r="394" spans="1:16" x14ac:dyDescent="0.35">
      <c r="A394" t="s">
        <v>680</v>
      </c>
      <c r="B394" s="3">
        <v>45536</v>
      </c>
      <c r="C394" t="s">
        <v>24</v>
      </c>
      <c r="D394" t="s">
        <v>42</v>
      </c>
      <c r="E394" t="s">
        <v>489</v>
      </c>
      <c r="F394" t="s">
        <v>44</v>
      </c>
      <c r="G394" t="s">
        <v>107</v>
      </c>
      <c r="H394">
        <v>7</v>
      </c>
      <c r="I394">
        <v>128.11000000000001</v>
      </c>
      <c r="J394">
        <v>0.15</v>
      </c>
      <c r="K394">
        <v>762.25</v>
      </c>
      <c r="M394" t="str">
        <f t="shared" si="24"/>
        <v>Sep</v>
      </c>
      <c r="N394">
        <f t="shared" si="25"/>
        <v>9</v>
      </c>
      <c r="O394">
        <f t="shared" si="26"/>
        <v>762.25450000000001</v>
      </c>
      <c r="P394" t="str">
        <f t="shared" si="27"/>
        <v>OK</v>
      </c>
    </row>
    <row r="395" spans="1:16" x14ac:dyDescent="0.35">
      <c r="A395" t="s">
        <v>681</v>
      </c>
      <c r="B395" s="3">
        <v>45570</v>
      </c>
      <c r="C395" t="s">
        <v>18</v>
      </c>
      <c r="D395" t="s">
        <v>42</v>
      </c>
      <c r="E395" t="s">
        <v>106</v>
      </c>
      <c r="F395" t="s">
        <v>21</v>
      </c>
      <c r="G395" t="s">
        <v>22</v>
      </c>
      <c r="H395">
        <v>4</v>
      </c>
      <c r="I395">
        <v>118.74</v>
      </c>
      <c r="J395">
        <v>0</v>
      </c>
      <c r="K395">
        <v>474.96</v>
      </c>
      <c r="M395" t="str">
        <f t="shared" si="24"/>
        <v>Oct</v>
      </c>
      <c r="N395">
        <f t="shared" si="25"/>
        <v>10</v>
      </c>
      <c r="O395">
        <f t="shared" si="26"/>
        <v>474.96</v>
      </c>
      <c r="P395" t="str">
        <f t="shared" si="27"/>
        <v>OK</v>
      </c>
    </row>
    <row r="396" spans="1:16" x14ac:dyDescent="0.35">
      <c r="A396" t="s">
        <v>682</v>
      </c>
      <c r="B396" s="3">
        <v>45551</v>
      </c>
      <c r="C396" t="s">
        <v>33</v>
      </c>
      <c r="D396" t="s">
        <v>42</v>
      </c>
      <c r="E396" t="s">
        <v>683</v>
      </c>
      <c r="F396" t="s">
        <v>44</v>
      </c>
      <c r="G396" t="s">
        <v>94</v>
      </c>
      <c r="H396">
        <v>10</v>
      </c>
      <c r="I396">
        <v>210.36</v>
      </c>
      <c r="J396">
        <v>0</v>
      </c>
      <c r="K396">
        <v>2103.6</v>
      </c>
      <c r="M396" t="str">
        <f t="shared" si="24"/>
        <v>Sep</v>
      </c>
      <c r="N396">
        <f t="shared" si="25"/>
        <v>9</v>
      </c>
      <c r="O396">
        <f t="shared" si="26"/>
        <v>2103.6000000000004</v>
      </c>
      <c r="P396" t="str">
        <f t="shared" si="27"/>
        <v>OK</v>
      </c>
    </row>
    <row r="397" spans="1:16" x14ac:dyDescent="0.35">
      <c r="A397" t="s">
        <v>684</v>
      </c>
      <c r="B397" s="3">
        <v>45521</v>
      </c>
      <c r="C397" t="s">
        <v>33</v>
      </c>
      <c r="D397" t="s">
        <v>42</v>
      </c>
      <c r="E397" t="s">
        <v>462</v>
      </c>
      <c r="F397" t="s">
        <v>53</v>
      </c>
      <c r="G397" t="s">
        <v>59</v>
      </c>
      <c r="H397">
        <v>1</v>
      </c>
      <c r="I397">
        <v>226.94</v>
      </c>
      <c r="J397">
        <v>0</v>
      </c>
      <c r="K397">
        <v>226.94</v>
      </c>
      <c r="M397" t="str">
        <f t="shared" si="24"/>
        <v>Aug</v>
      </c>
      <c r="N397">
        <f t="shared" si="25"/>
        <v>8</v>
      </c>
      <c r="O397">
        <f t="shared" si="26"/>
        <v>226.94</v>
      </c>
      <c r="P397" t="str">
        <f t="shared" si="27"/>
        <v>OK</v>
      </c>
    </row>
    <row r="398" spans="1:16" x14ac:dyDescent="0.35">
      <c r="A398" t="s">
        <v>685</v>
      </c>
      <c r="B398" s="3">
        <v>45418</v>
      </c>
      <c r="C398" t="s">
        <v>24</v>
      </c>
      <c r="D398" t="s">
        <v>19</v>
      </c>
      <c r="E398" t="s">
        <v>311</v>
      </c>
      <c r="F398" t="s">
        <v>44</v>
      </c>
      <c r="G398" t="s">
        <v>50</v>
      </c>
      <c r="H398">
        <v>3</v>
      </c>
      <c r="I398">
        <v>25.1</v>
      </c>
      <c r="J398">
        <v>0.05</v>
      </c>
      <c r="K398">
        <v>71.540000000000006</v>
      </c>
      <c r="M398" t="str">
        <f t="shared" si="24"/>
        <v>May</v>
      </c>
      <c r="N398">
        <f t="shared" si="25"/>
        <v>5</v>
      </c>
      <c r="O398">
        <f t="shared" si="26"/>
        <v>71.535000000000011</v>
      </c>
      <c r="P398" t="str">
        <f t="shared" si="27"/>
        <v>OK</v>
      </c>
    </row>
    <row r="399" spans="1:16" x14ac:dyDescent="0.35">
      <c r="A399" t="s">
        <v>686</v>
      </c>
      <c r="B399" s="3">
        <v>45425</v>
      </c>
      <c r="C399" t="s">
        <v>18</v>
      </c>
      <c r="D399" t="s">
        <v>19</v>
      </c>
      <c r="E399" t="s">
        <v>146</v>
      </c>
      <c r="F399" t="s">
        <v>35</v>
      </c>
      <c r="G399" t="s">
        <v>177</v>
      </c>
      <c r="H399">
        <v>8</v>
      </c>
      <c r="I399">
        <v>130.63999999999999</v>
      </c>
      <c r="J399">
        <v>0.05</v>
      </c>
      <c r="K399">
        <v>992.86</v>
      </c>
      <c r="M399" t="str">
        <f t="shared" si="24"/>
        <v>May</v>
      </c>
      <c r="N399">
        <f t="shared" si="25"/>
        <v>5</v>
      </c>
      <c r="O399">
        <f t="shared" si="26"/>
        <v>992.86399999999981</v>
      </c>
      <c r="P399" t="str">
        <f t="shared" si="27"/>
        <v>OK</v>
      </c>
    </row>
    <row r="400" spans="1:16" x14ac:dyDescent="0.35">
      <c r="A400" t="s">
        <v>687</v>
      </c>
      <c r="B400" s="3">
        <v>45294</v>
      </c>
      <c r="C400" t="s">
        <v>18</v>
      </c>
      <c r="D400" t="s">
        <v>25</v>
      </c>
      <c r="E400" t="s">
        <v>595</v>
      </c>
      <c r="F400" t="s">
        <v>21</v>
      </c>
      <c r="G400" t="s">
        <v>167</v>
      </c>
      <c r="H400">
        <v>8</v>
      </c>
      <c r="I400">
        <v>31.38</v>
      </c>
      <c r="J400">
        <v>0</v>
      </c>
      <c r="K400">
        <v>251.04</v>
      </c>
      <c r="M400" t="str">
        <f t="shared" si="24"/>
        <v>Jan</v>
      </c>
      <c r="N400">
        <f t="shared" si="25"/>
        <v>1</v>
      </c>
      <c r="O400">
        <f t="shared" si="26"/>
        <v>251.04</v>
      </c>
      <c r="P400" t="str">
        <f t="shared" si="27"/>
        <v>OK</v>
      </c>
    </row>
    <row r="401" spans="1:16" x14ac:dyDescent="0.35">
      <c r="A401" t="s">
        <v>688</v>
      </c>
      <c r="B401" s="3">
        <v>45498</v>
      </c>
      <c r="C401" t="s">
        <v>65</v>
      </c>
      <c r="D401" t="s">
        <v>13</v>
      </c>
      <c r="E401" t="s">
        <v>39</v>
      </c>
      <c r="F401" t="s">
        <v>15</v>
      </c>
      <c r="G401" t="s">
        <v>16</v>
      </c>
      <c r="H401">
        <v>4</v>
      </c>
      <c r="I401">
        <v>217.74</v>
      </c>
      <c r="J401">
        <v>0</v>
      </c>
      <c r="K401">
        <v>870.96</v>
      </c>
      <c r="M401" t="str">
        <f t="shared" si="24"/>
        <v>Jul</v>
      </c>
      <c r="N401">
        <f t="shared" si="25"/>
        <v>7</v>
      </c>
      <c r="O401">
        <f t="shared" si="26"/>
        <v>870.96</v>
      </c>
      <c r="P401" t="str">
        <f t="shared" si="27"/>
        <v>OK</v>
      </c>
    </row>
    <row r="402" spans="1:16" x14ac:dyDescent="0.35">
      <c r="A402" t="s">
        <v>690</v>
      </c>
      <c r="B402" s="3">
        <v>45346</v>
      </c>
      <c r="C402" t="s">
        <v>33</v>
      </c>
      <c r="D402" t="s">
        <v>13</v>
      </c>
      <c r="E402" t="s">
        <v>480</v>
      </c>
      <c r="F402" t="s">
        <v>53</v>
      </c>
      <c r="G402" t="s">
        <v>125</v>
      </c>
      <c r="H402">
        <v>1</v>
      </c>
      <c r="I402">
        <v>51.95</v>
      </c>
      <c r="J402">
        <v>0.1</v>
      </c>
      <c r="K402">
        <v>46.76</v>
      </c>
      <c r="M402" t="str">
        <f t="shared" si="24"/>
        <v>Feb</v>
      </c>
      <c r="N402">
        <f t="shared" si="25"/>
        <v>2</v>
      </c>
      <c r="O402">
        <f t="shared" si="26"/>
        <v>46.755000000000003</v>
      </c>
      <c r="P402" t="str">
        <f t="shared" si="27"/>
        <v>OK</v>
      </c>
    </row>
    <row r="403" spans="1:16" x14ac:dyDescent="0.35">
      <c r="A403" t="s">
        <v>691</v>
      </c>
      <c r="B403" s="3">
        <v>45339</v>
      </c>
      <c r="C403" t="s">
        <v>65</v>
      </c>
      <c r="D403" t="s">
        <v>13</v>
      </c>
      <c r="E403" t="s">
        <v>66</v>
      </c>
      <c r="F403" t="s">
        <v>15</v>
      </c>
      <c r="G403" t="s">
        <v>74</v>
      </c>
      <c r="H403">
        <v>12</v>
      </c>
      <c r="I403">
        <v>145.29</v>
      </c>
      <c r="J403">
        <v>0</v>
      </c>
      <c r="K403">
        <v>1743.48</v>
      </c>
      <c r="M403" t="str">
        <f t="shared" si="24"/>
        <v>Feb</v>
      </c>
      <c r="N403">
        <f t="shared" si="25"/>
        <v>2</v>
      </c>
      <c r="O403">
        <f t="shared" si="26"/>
        <v>1743.48</v>
      </c>
      <c r="P403" t="str">
        <f t="shared" si="27"/>
        <v>OK</v>
      </c>
    </row>
    <row r="404" spans="1:16" x14ac:dyDescent="0.35">
      <c r="A404" t="s">
        <v>692</v>
      </c>
      <c r="B404" s="3">
        <v>45418</v>
      </c>
      <c r="C404" t="s">
        <v>65</v>
      </c>
      <c r="D404" t="s">
        <v>19</v>
      </c>
      <c r="E404" t="s">
        <v>693</v>
      </c>
      <c r="F404" t="s">
        <v>35</v>
      </c>
      <c r="G404" t="s">
        <v>36</v>
      </c>
      <c r="H404">
        <v>6</v>
      </c>
      <c r="I404">
        <v>121.03</v>
      </c>
      <c r="J404">
        <v>0</v>
      </c>
      <c r="K404">
        <v>726.18</v>
      </c>
      <c r="M404" t="str">
        <f t="shared" si="24"/>
        <v>May</v>
      </c>
      <c r="N404">
        <f t="shared" si="25"/>
        <v>5</v>
      </c>
      <c r="O404">
        <f t="shared" si="26"/>
        <v>726.18000000000006</v>
      </c>
      <c r="P404" t="str">
        <f t="shared" si="27"/>
        <v>OK</v>
      </c>
    </row>
    <row r="405" spans="1:16" x14ac:dyDescent="0.35">
      <c r="A405" t="s">
        <v>694</v>
      </c>
      <c r="B405" s="3">
        <v>45575</v>
      </c>
      <c r="C405" t="s">
        <v>33</v>
      </c>
      <c r="D405" t="s">
        <v>25</v>
      </c>
      <c r="E405" t="s">
        <v>683</v>
      </c>
      <c r="F405" t="s">
        <v>21</v>
      </c>
      <c r="G405" t="s">
        <v>167</v>
      </c>
      <c r="H405">
        <v>1</v>
      </c>
      <c r="I405">
        <v>149.16999999999999</v>
      </c>
      <c r="J405">
        <v>0</v>
      </c>
      <c r="K405">
        <v>149.16999999999999</v>
      </c>
      <c r="M405" t="str">
        <f t="shared" si="24"/>
        <v>Oct</v>
      </c>
      <c r="N405">
        <f t="shared" si="25"/>
        <v>10</v>
      </c>
      <c r="O405">
        <f t="shared" si="26"/>
        <v>149.16999999999999</v>
      </c>
      <c r="P405" t="str">
        <f t="shared" si="27"/>
        <v>OK</v>
      </c>
    </row>
    <row r="406" spans="1:16" x14ac:dyDescent="0.35">
      <c r="A406" t="s">
        <v>695</v>
      </c>
      <c r="B406" s="3">
        <v>45377</v>
      </c>
      <c r="C406" t="s">
        <v>18</v>
      </c>
      <c r="D406" t="s">
        <v>57</v>
      </c>
      <c r="E406" t="s">
        <v>696</v>
      </c>
      <c r="F406" t="s">
        <v>21</v>
      </c>
      <c r="G406" t="s">
        <v>70</v>
      </c>
      <c r="H406">
        <v>12</v>
      </c>
      <c r="I406">
        <v>113.56</v>
      </c>
      <c r="J406">
        <v>0</v>
      </c>
      <c r="K406">
        <v>1362.72</v>
      </c>
      <c r="M406" t="str">
        <f t="shared" si="24"/>
        <v>Mar</v>
      </c>
      <c r="N406">
        <f t="shared" si="25"/>
        <v>3</v>
      </c>
      <c r="O406">
        <f t="shared" si="26"/>
        <v>1362.72</v>
      </c>
      <c r="P406" t="str">
        <f t="shared" si="27"/>
        <v>OK</v>
      </c>
    </row>
    <row r="407" spans="1:16" x14ac:dyDescent="0.35">
      <c r="A407" t="s">
        <v>697</v>
      </c>
      <c r="B407" s="3">
        <v>45595</v>
      </c>
      <c r="C407" t="s">
        <v>18</v>
      </c>
      <c r="D407" t="s">
        <v>13</v>
      </c>
      <c r="E407" t="s">
        <v>176</v>
      </c>
      <c r="F407" t="s">
        <v>21</v>
      </c>
      <c r="G407" t="s">
        <v>129</v>
      </c>
      <c r="H407">
        <v>1</v>
      </c>
      <c r="I407">
        <v>93.43</v>
      </c>
      <c r="J407">
        <v>0.15</v>
      </c>
      <c r="K407">
        <v>79.42</v>
      </c>
      <c r="M407" t="str">
        <f t="shared" si="24"/>
        <v>Oct</v>
      </c>
      <c r="N407">
        <f t="shared" si="25"/>
        <v>10</v>
      </c>
      <c r="O407">
        <f t="shared" si="26"/>
        <v>79.415500000000009</v>
      </c>
      <c r="P407" t="str">
        <f t="shared" si="27"/>
        <v>OK</v>
      </c>
    </row>
    <row r="408" spans="1:16" x14ac:dyDescent="0.35">
      <c r="A408" t="s">
        <v>698</v>
      </c>
      <c r="B408" s="3">
        <v>45531</v>
      </c>
      <c r="C408" t="s">
        <v>33</v>
      </c>
      <c r="D408" t="s">
        <v>25</v>
      </c>
      <c r="E408" t="s">
        <v>400</v>
      </c>
      <c r="F408" t="s">
        <v>21</v>
      </c>
      <c r="G408" t="s">
        <v>167</v>
      </c>
      <c r="H408">
        <v>4</v>
      </c>
      <c r="I408">
        <v>181.1</v>
      </c>
      <c r="J408">
        <v>0.05</v>
      </c>
      <c r="K408">
        <v>688.18</v>
      </c>
      <c r="M408" t="str">
        <f t="shared" si="24"/>
        <v>Aug</v>
      </c>
      <c r="N408">
        <f t="shared" si="25"/>
        <v>8</v>
      </c>
      <c r="O408">
        <f t="shared" si="26"/>
        <v>688.18</v>
      </c>
      <c r="P408" t="str">
        <f t="shared" si="27"/>
        <v>OK</v>
      </c>
    </row>
    <row r="409" spans="1:16" x14ac:dyDescent="0.35">
      <c r="A409" t="s">
        <v>699</v>
      </c>
      <c r="B409" s="3">
        <v>45583</v>
      </c>
      <c r="C409" t="s">
        <v>41</v>
      </c>
      <c r="D409" t="s">
        <v>13</v>
      </c>
      <c r="E409" t="s">
        <v>288</v>
      </c>
      <c r="F409" t="s">
        <v>44</v>
      </c>
      <c r="G409" t="s">
        <v>107</v>
      </c>
      <c r="H409">
        <v>12</v>
      </c>
      <c r="I409">
        <v>237.26</v>
      </c>
      <c r="J409">
        <v>0.15</v>
      </c>
      <c r="K409">
        <v>2420.0500000000002</v>
      </c>
      <c r="M409" t="str">
        <f t="shared" si="24"/>
        <v>Oct</v>
      </c>
      <c r="N409">
        <f t="shared" si="25"/>
        <v>10</v>
      </c>
      <c r="O409">
        <f t="shared" si="26"/>
        <v>2420.0519999999997</v>
      </c>
      <c r="P409" t="str">
        <f t="shared" si="27"/>
        <v>OK</v>
      </c>
    </row>
    <row r="410" spans="1:16" x14ac:dyDescent="0.35">
      <c r="A410" t="s">
        <v>700</v>
      </c>
      <c r="B410" s="3">
        <v>45326</v>
      </c>
      <c r="C410" t="s">
        <v>33</v>
      </c>
      <c r="D410" t="s">
        <v>13</v>
      </c>
      <c r="E410" t="s">
        <v>517</v>
      </c>
      <c r="F410" t="s">
        <v>44</v>
      </c>
      <c r="G410" t="s">
        <v>45</v>
      </c>
      <c r="H410">
        <v>6</v>
      </c>
      <c r="I410">
        <v>239.51</v>
      </c>
      <c r="J410">
        <v>0.05</v>
      </c>
      <c r="K410">
        <v>1365.21</v>
      </c>
      <c r="M410" t="str">
        <f t="shared" si="24"/>
        <v>Feb</v>
      </c>
      <c r="N410">
        <f t="shared" si="25"/>
        <v>2</v>
      </c>
      <c r="O410">
        <f t="shared" si="26"/>
        <v>1365.2069999999999</v>
      </c>
      <c r="P410" t="str">
        <f t="shared" si="27"/>
        <v>OK</v>
      </c>
    </row>
    <row r="411" spans="1:16" x14ac:dyDescent="0.35">
      <c r="A411" t="s">
        <v>701</v>
      </c>
      <c r="B411" s="3">
        <v>45298</v>
      </c>
      <c r="C411" t="s">
        <v>24</v>
      </c>
      <c r="D411" t="s">
        <v>13</v>
      </c>
      <c r="E411" t="s">
        <v>266</v>
      </c>
      <c r="F411" t="s">
        <v>15</v>
      </c>
      <c r="G411" t="s">
        <v>27</v>
      </c>
      <c r="H411">
        <v>7</v>
      </c>
      <c r="I411">
        <v>207.25</v>
      </c>
      <c r="J411">
        <v>0</v>
      </c>
      <c r="K411">
        <v>1450.75</v>
      </c>
      <c r="M411" t="str">
        <f t="shared" si="24"/>
        <v>Jan</v>
      </c>
      <c r="N411">
        <f t="shared" si="25"/>
        <v>1</v>
      </c>
      <c r="O411">
        <f t="shared" si="26"/>
        <v>1450.75</v>
      </c>
      <c r="P411" t="str">
        <f t="shared" si="27"/>
        <v>OK</v>
      </c>
    </row>
    <row r="412" spans="1:16" x14ac:dyDescent="0.35">
      <c r="A412" t="s">
        <v>702</v>
      </c>
      <c r="B412" s="3">
        <v>45465</v>
      </c>
      <c r="C412" t="s">
        <v>18</v>
      </c>
      <c r="D412" t="s">
        <v>57</v>
      </c>
      <c r="E412" t="s">
        <v>309</v>
      </c>
      <c r="F412" t="s">
        <v>35</v>
      </c>
      <c r="G412" t="s">
        <v>67</v>
      </c>
      <c r="H412">
        <v>7</v>
      </c>
      <c r="I412">
        <v>177.6</v>
      </c>
      <c r="J412">
        <v>0.15</v>
      </c>
      <c r="K412">
        <v>1056.72</v>
      </c>
      <c r="M412" t="str">
        <f t="shared" si="24"/>
        <v>Jun</v>
      </c>
      <c r="N412">
        <f t="shared" si="25"/>
        <v>6</v>
      </c>
      <c r="O412">
        <f t="shared" si="26"/>
        <v>1056.72</v>
      </c>
      <c r="P412" t="str">
        <f t="shared" si="27"/>
        <v>OK</v>
      </c>
    </row>
    <row r="413" spans="1:16" x14ac:dyDescent="0.35">
      <c r="A413" t="s">
        <v>703</v>
      </c>
      <c r="B413" s="3">
        <v>45528</v>
      </c>
      <c r="C413" t="s">
        <v>65</v>
      </c>
      <c r="D413" t="s">
        <v>13</v>
      </c>
      <c r="E413" t="s">
        <v>313</v>
      </c>
      <c r="F413" t="s">
        <v>21</v>
      </c>
      <c r="G413" t="s">
        <v>70</v>
      </c>
      <c r="H413">
        <v>6</v>
      </c>
      <c r="I413">
        <v>201.9</v>
      </c>
      <c r="J413">
        <v>0</v>
      </c>
      <c r="K413">
        <v>1211.4000000000001</v>
      </c>
      <c r="M413" t="str">
        <f t="shared" si="24"/>
        <v>Aug</v>
      </c>
      <c r="N413">
        <f t="shared" si="25"/>
        <v>8</v>
      </c>
      <c r="O413">
        <f t="shared" si="26"/>
        <v>1211.4000000000001</v>
      </c>
      <c r="P413" t="str">
        <f t="shared" si="27"/>
        <v>OK</v>
      </c>
    </row>
    <row r="414" spans="1:16" x14ac:dyDescent="0.35">
      <c r="A414" t="s">
        <v>704</v>
      </c>
      <c r="B414" s="3">
        <v>45408</v>
      </c>
      <c r="C414" t="s">
        <v>41</v>
      </c>
      <c r="D414" t="s">
        <v>19</v>
      </c>
      <c r="E414" t="s">
        <v>360</v>
      </c>
      <c r="F414" t="s">
        <v>21</v>
      </c>
      <c r="G414" t="s">
        <v>129</v>
      </c>
      <c r="H414">
        <v>4</v>
      </c>
      <c r="I414">
        <v>10.8</v>
      </c>
      <c r="J414">
        <v>0.05</v>
      </c>
      <c r="K414">
        <v>41.04</v>
      </c>
      <c r="M414" t="str">
        <f t="shared" si="24"/>
        <v>Apr</v>
      </c>
      <c r="N414">
        <f t="shared" si="25"/>
        <v>4</v>
      </c>
      <c r="O414">
        <f t="shared" si="26"/>
        <v>41.04</v>
      </c>
      <c r="P414" t="str">
        <f t="shared" si="27"/>
        <v>OK</v>
      </c>
    </row>
    <row r="415" spans="1:16" x14ac:dyDescent="0.35">
      <c r="A415" t="s">
        <v>706</v>
      </c>
      <c r="B415" s="3">
        <v>45486</v>
      </c>
      <c r="C415" t="s">
        <v>24</v>
      </c>
      <c r="D415" t="s">
        <v>13</v>
      </c>
      <c r="E415" t="s">
        <v>124</v>
      </c>
      <c r="F415" t="s">
        <v>15</v>
      </c>
      <c r="G415" t="s">
        <v>74</v>
      </c>
      <c r="H415">
        <v>11</v>
      </c>
      <c r="I415">
        <v>127.33</v>
      </c>
      <c r="J415">
        <v>0.15</v>
      </c>
      <c r="K415">
        <v>1190.54</v>
      </c>
      <c r="M415" t="str">
        <f t="shared" si="24"/>
        <v>Jul</v>
      </c>
      <c r="N415">
        <f t="shared" si="25"/>
        <v>7</v>
      </c>
      <c r="O415">
        <f t="shared" si="26"/>
        <v>1190.5355</v>
      </c>
      <c r="P415" t="str">
        <f t="shared" si="27"/>
        <v>OK</v>
      </c>
    </row>
    <row r="416" spans="1:16" x14ac:dyDescent="0.35">
      <c r="A416" t="s">
        <v>708</v>
      </c>
      <c r="B416" s="3">
        <v>45395</v>
      </c>
      <c r="C416" t="s">
        <v>18</v>
      </c>
      <c r="D416" t="s">
        <v>42</v>
      </c>
      <c r="E416" t="s">
        <v>219</v>
      </c>
      <c r="F416" t="s">
        <v>44</v>
      </c>
      <c r="G416" t="s">
        <v>86</v>
      </c>
      <c r="H416">
        <v>11</v>
      </c>
      <c r="I416">
        <v>69.75</v>
      </c>
      <c r="J416">
        <v>0.1</v>
      </c>
      <c r="K416">
        <v>690.52</v>
      </c>
      <c r="M416" t="str">
        <f t="shared" si="24"/>
        <v>Apr</v>
      </c>
      <c r="N416">
        <f t="shared" si="25"/>
        <v>4</v>
      </c>
      <c r="O416">
        <f t="shared" si="26"/>
        <v>690.52499999999998</v>
      </c>
      <c r="P416" t="str">
        <f t="shared" si="27"/>
        <v>MISMATCH</v>
      </c>
    </row>
    <row r="417" spans="1:16" x14ac:dyDescent="0.35">
      <c r="A417" t="s">
        <v>709</v>
      </c>
      <c r="B417" s="3">
        <v>45332</v>
      </c>
      <c r="C417" t="s">
        <v>24</v>
      </c>
      <c r="D417" t="s">
        <v>13</v>
      </c>
      <c r="E417" t="s">
        <v>185</v>
      </c>
      <c r="F417" t="s">
        <v>15</v>
      </c>
      <c r="G417" t="s">
        <v>147</v>
      </c>
      <c r="H417">
        <v>2</v>
      </c>
      <c r="I417">
        <v>218.55</v>
      </c>
      <c r="J417">
        <v>0.05</v>
      </c>
      <c r="K417">
        <v>415.25</v>
      </c>
      <c r="M417" t="str">
        <f t="shared" si="24"/>
        <v>Feb</v>
      </c>
      <c r="N417">
        <f t="shared" si="25"/>
        <v>2</v>
      </c>
      <c r="O417">
        <f t="shared" si="26"/>
        <v>415.245</v>
      </c>
      <c r="P417" t="str">
        <f t="shared" si="27"/>
        <v>OK</v>
      </c>
    </row>
    <row r="418" spans="1:16" x14ac:dyDescent="0.35">
      <c r="A418" t="s">
        <v>710</v>
      </c>
      <c r="B418" s="3">
        <v>45496</v>
      </c>
      <c r="C418" t="s">
        <v>18</v>
      </c>
      <c r="D418" t="s">
        <v>42</v>
      </c>
      <c r="E418" t="s">
        <v>711</v>
      </c>
      <c r="F418" t="s">
        <v>15</v>
      </c>
      <c r="G418" t="s">
        <v>147</v>
      </c>
      <c r="H418">
        <v>7</v>
      </c>
      <c r="I418">
        <v>71.599999999999994</v>
      </c>
      <c r="J418">
        <v>0.15</v>
      </c>
      <c r="K418">
        <v>426.02</v>
      </c>
      <c r="M418" t="str">
        <f t="shared" si="24"/>
        <v>Jul</v>
      </c>
      <c r="N418">
        <f t="shared" si="25"/>
        <v>7</v>
      </c>
      <c r="O418">
        <f t="shared" si="26"/>
        <v>426.01999999999992</v>
      </c>
      <c r="P418" t="str">
        <f t="shared" si="27"/>
        <v>OK</v>
      </c>
    </row>
    <row r="419" spans="1:16" x14ac:dyDescent="0.35">
      <c r="A419" t="s">
        <v>712</v>
      </c>
      <c r="B419" s="3">
        <v>45493</v>
      </c>
      <c r="C419" t="s">
        <v>41</v>
      </c>
      <c r="D419" t="s">
        <v>57</v>
      </c>
      <c r="E419" t="s">
        <v>412</v>
      </c>
      <c r="F419" t="s">
        <v>53</v>
      </c>
      <c r="G419" t="s">
        <v>59</v>
      </c>
      <c r="H419">
        <v>2</v>
      </c>
      <c r="I419">
        <v>149.63</v>
      </c>
      <c r="J419">
        <v>0</v>
      </c>
      <c r="K419">
        <v>299.26</v>
      </c>
      <c r="M419" t="str">
        <f t="shared" si="24"/>
        <v>Jul</v>
      </c>
      <c r="N419">
        <f t="shared" si="25"/>
        <v>7</v>
      </c>
      <c r="O419">
        <f t="shared" si="26"/>
        <v>299.26</v>
      </c>
      <c r="P419" t="str">
        <f t="shared" si="27"/>
        <v>OK</v>
      </c>
    </row>
    <row r="420" spans="1:16" x14ac:dyDescent="0.35">
      <c r="A420" t="s">
        <v>713</v>
      </c>
      <c r="B420" s="3">
        <v>45449</v>
      </c>
      <c r="C420" t="s">
        <v>18</v>
      </c>
      <c r="D420" t="s">
        <v>42</v>
      </c>
      <c r="E420" t="s">
        <v>480</v>
      </c>
      <c r="F420" t="s">
        <v>21</v>
      </c>
      <c r="G420" t="s">
        <v>129</v>
      </c>
      <c r="H420">
        <v>8</v>
      </c>
      <c r="I420">
        <v>183.89</v>
      </c>
      <c r="J420">
        <v>0</v>
      </c>
      <c r="K420">
        <v>1471.12</v>
      </c>
      <c r="M420" t="str">
        <f t="shared" si="24"/>
        <v>Jun</v>
      </c>
      <c r="N420">
        <f t="shared" si="25"/>
        <v>6</v>
      </c>
      <c r="O420">
        <f t="shared" si="26"/>
        <v>1471.12</v>
      </c>
      <c r="P420" t="str">
        <f t="shared" si="27"/>
        <v>OK</v>
      </c>
    </row>
    <row r="421" spans="1:16" x14ac:dyDescent="0.35">
      <c r="A421" t="s">
        <v>714</v>
      </c>
      <c r="B421" s="3">
        <v>45549</v>
      </c>
      <c r="C421" t="s">
        <v>41</v>
      </c>
      <c r="D421" t="s">
        <v>13</v>
      </c>
      <c r="E421" t="s">
        <v>404</v>
      </c>
      <c r="F421" t="s">
        <v>15</v>
      </c>
      <c r="G421" t="s">
        <v>74</v>
      </c>
      <c r="H421">
        <v>9</v>
      </c>
      <c r="I421">
        <v>208.74</v>
      </c>
      <c r="J421">
        <v>0.1</v>
      </c>
      <c r="K421">
        <v>1690.79</v>
      </c>
      <c r="M421" t="str">
        <f t="shared" si="24"/>
        <v>Sep</v>
      </c>
      <c r="N421">
        <f t="shared" si="25"/>
        <v>9</v>
      </c>
      <c r="O421">
        <f t="shared" si="26"/>
        <v>1690.7940000000001</v>
      </c>
      <c r="P421" t="str">
        <f t="shared" si="27"/>
        <v>OK</v>
      </c>
    </row>
    <row r="422" spans="1:16" x14ac:dyDescent="0.35">
      <c r="A422" t="s">
        <v>715</v>
      </c>
      <c r="B422" s="3">
        <v>45550</v>
      </c>
      <c r="C422" t="s">
        <v>18</v>
      </c>
      <c r="D422" t="s">
        <v>42</v>
      </c>
      <c r="E422" t="s">
        <v>716</v>
      </c>
      <c r="F422" t="s">
        <v>35</v>
      </c>
      <c r="G422" t="s">
        <v>67</v>
      </c>
      <c r="H422">
        <v>9</v>
      </c>
      <c r="I422">
        <v>137.9</v>
      </c>
      <c r="J422">
        <v>0.1</v>
      </c>
      <c r="K422">
        <v>1116.99</v>
      </c>
      <c r="M422" t="str">
        <f t="shared" si="24"/>
        <v>Sep</v>
      </c>
      <c r="N422">
        <f t="shared" si="25"/>
        <v>9</v>
      </c>
      <c r="O422">
        <f t="shared" si="26"/>
        <v>1116.9900000000002</v>
      </c>
      <c r="P422" t="str">
        <f t="shared" si="27"/>
        <v>OK</v>
      </c>
    </row>
    <row r="423" spans="1:16" x14ac:dyDescent="0.35">
      <c r="A423" t="s">
        <v>717</v>
      </c>
      <c r="B423" s="3">
        <v>45339</v>
      </c>
      <c r="C423" t="s">
        <v>33</v>
      </c>
      <c r="D423" t="s">
        <v>19</v>
      </c>
      <c r="E423" t="s">
        <v>139</v>
      </c>
      <c r="F423" t="s">
        <v>53</v>
      </c>
      <c r="G423" t="s">
        <v>63</v>
      </c>
      <c r="H423">
        <v>3</v>
      </c>
      <c r="I423">
        <v>217.7</v>
      </c>
      <c r="J423">
        <v>0</v>
      </c>
      <c r="K423">
        <v>653.1</v>
      </c>
      <c r="M423" t="str">
        <f t="shared" si="24"/>
        <v>Feb</v>
      </c>
      <c r="N423">
        <f t="shared" si="25"/>
        <v>2</v>
      </c>
      <c r="O423">
        <f t="shared" si="26"/>
        <v>653.09999999999991</v>
      </c>
      <c r="P423" t="str">
        <f t="shared" si="27"/>
        <v>OK</v>
      </c>
    </row>
    <row r="424" spans="1:16" x14ac:dyDescent="0.35">
      <c r="A424" t="s">
        <v>719</v>
      </c>
      <c r="B424" s="3">
        <v>45483</v>
      </c>
      <c r="C424" t="s">
        <v>24</v>
      </c>
      <c r="D424" t="s">
        <v>13</v>
      </c>
      <c r="E424" t="s">
        <v>720</v>
      </c>
      <c r="F424" t="s">
        <v>35</v>
      </c>
      <c r="G424" t="s">
        <v>36</v>
      </c>
      <c r="H424">
        <v>10</v>
      </c>
      <c r="I424">
        <v>87.1</v>
      </c>
      <c r="J424">
        <v>0.05</v>
      </c>
      <c r="K424">
        <v>827.45</v>
      </c>
      <c r="M424" t="str">
        <f t="shared" si="24"/>
        <v>Jul</v>
      </c>
      <c r="N424">
        <f t="shared" si="25"/>
        <v>7</v>
      </c>
      <c r="O424">
        <f t="shared" si="26"/>
        <v>827.44999999999993</v>
      </c>
      <c r="P424" t="str">
        <f t="shared" si="27"/>
        <v>OK</v>
      </c>
    </row>
    <row r="425" spans="1:16" x14ac:dyDescent="0.35">
      <c r="A425" t="s">
        <v>721</v>
      </c>
      <c r="B425" s="3">
        <v>45343</v>
      </c>
      <c r="C425" t="s">
        <v>33</v>
      </c>
      <c r="D425" t="s">
        <v>13</v>
      </c>
      <c r="E425" t="s">
        <v>229</v>
      </c>
      <c r="F425" t="s">
        <v>21</v>
      </c>
      <c r="G425" t="s">
        <v>167</v>
      </c>
      <c r="H425">
        <v>6</v>
      </c>
      <c r="I425">
        <v>129.54</v>
      </c>
      <c r="J425">
        <v>0.1</v>
      </c>
      <c r="K425">
        <v>699.52</v>
      </c>
      <c r="M425" t="str">
        <f t="shared" si="24"/>
        <v>Feb</v>
      </c>
      <c r="N425">
        <f t="shared" si="25"/>
        <v>2</v>
      </c>
      <c r="O425">
        <f t="shared" si="26"/>
        <v>699.51600000000008</v>
      </c>
      <c r="P425" t="str">
        <f t="shared" si="27"/>
        <v>OK</v>
      </c>
    </row>
    <row r="426" spans="1:16" x14ac:dyDescent="0.35">
      <c r="A426" t="s">
        <v>723</v>
      </c>
      <c r="B426" s="3">
        <v>45337</v>
      </c>
      <c r="C426" t="s">
        <v>65</v>
      </c>
      <c r="D426" t="s">
        <v>42</v>
      </c>
      <c r="E426" t="s">
        <v>122</v>
      </c>
      <c r="F426" t="s">
        <v>15</v>
      </c>
      <c r="G426" t="s">
        <v>147</v>
      </c>
      <c r="H426">
        <v>4</v>
      </c>
      <c r="I426">
        <v>244.46</v>
      </c>
      <c r="J426">
        <v>0</v>
      </c>
      <c r="K426">
        <v>977.84</v>
      </c>
      <c r="M426" t="str">
        <f t="shared" si="24"/>
        <v>Feb</v>
      </c>
      <c r="N426">
        <f t="shared" si="25"/>
        <v>2</v>
      </c>
      <c r="O426">
        <f t="shared" si="26"/>
        <v>977.84</v>
      </c>
      <c r="P426" t="str">
        <f t="shared" si="27"/>
        <v>OK</v>
      </c>
    </row>
    <row r="427" spans="1:16" x14ac:dyDescent="0.35">
      <c r="A427" t="s">
        <v>725</v>
      </c>
      <c r="B427" s="3">
        <v>45617</v>
      </c>
      <c r="C427" t="s">
        <v>65</v>
      </c>
      <c r="D427" t="s">
        <v>13</v>
      </c>
      <c r="E427" t="s">
        <v>448</v>
      </c>
      <c r="F427" t="s">
        <v>44</v>
      </c>
      <c r="G427" t="s">
        <v>50</v>
      </c>
      <c r="H427">
        <v>3</v>
      </c>
      <c r="I427">
        <v>156.62</v>
      </c>
      <c r="J427">
        <v>0.1</v>
      </c>
      <c r="K427">
        <v>422.87</v>
      </c>
      <c r="M427" t="str">
        <f t="shared" si="24"/>
        <v>Nov</v>
      </c>
      <c r="N427">
        <f t="shared" si="25"/>
        <v>11</v>
      </c>
      <c r="O427">
        <f t="shared" si="26"/>
        <v>422.87400000000002</v>
      </c>
      <c r="P427" t="str">
        <f t="shared" si="27"/>
        <v>OK</v>
      </c>
    </row>
    <row r="428" spans="1:16" x14ac:dyDescent="0.35">
      <c r="A428" t="s">
        <v>726</v>
      </c>
      <c r="B428" s="3">
        <v>45402</v>
      </c>
      <c r="C428" t="s">
        <v>65</v>
      </c>
      <c r="D428" t="s">
        <v>42</v>
      </c>
      <c r="E428" t="s">
        <v>34</v>
      </c>
      <c r="F428" t="s">
        <v>21</v>
      </c>
      <c r="G428" t="s">
        <v>70</v>
      </c>
      <c r="H428">
        <v>6</v>
      </c>
      <c r="I428">
        <v>104.22</v>
      </c>
      <c r="J428">
        <v>0</v>
      </c>
      <c r="K428">
        <v>625.32000000000005</v>
      </c>
      <c r="M428" t="str">
        <f t="shared" si="24"/>
        <v>Apr</v>
      </c>
      <c r="N428">
        <f t="shared" si="25"/>
        <v>4</v>
      </c>
      <c r="O428">
        <f t="shared" si="26"/>
        <v>625.31999999999994</v>
      </c>
      <c r="P428" t="str">
        <f t="shared" si="27"/>
        <v>OK</v>
      </c>
    </row>
    <row r="429" spans="1:16" x14ac:dyDescent="0.35">
      <c r="A429" t="s">
        <v>727</v>
      </c>
      <c r="B429" s="3">
        <v>45577</v>
      </c>
      <c r="C429" t="s">
        <v>18</v>
      </c>
      <c r="D429" t="s">
        <v>57</v>
      </c>
      <c r="E429" t="s">
        <v>166</v>
      </c>
      <c r="F429" t="s">
        <v>53</v>
      </c>
      <c r="G429" t="s">
        <v>260</v>
      </c>
      <c r="H429">
        <v>10</v>
      </c>
      <c r="I429">
        <v>207.35</v>
      </c>
      <c r="J429">
        <v>0.1</v>
      </c>
      <c r="K429">
        <v>1866.15</v>
      </c>
      <c r="M429" t="str">
        <f t="shared" si="24"/>
        <v>Oct</v>
      </c>
      <c r="N429">
        <f t="shared" si="25"/>
        <v>10</v>
      </c>
      <c r="O429">
        <f t="shared" si="26"/>
        <v>1866.15</v>
      </c>
      <c r="P429" t="str">
        <f t="shared" si="27"/>
        <v>OK</v>
      </c>
    </row>
    <row r="430" spans="1:16" x14ac:dyDescent="0.35">
      <c r="A430" t="s">
        <v>728</v>
      </c>
      <c r="B430" s="3">
        <v>45651</v>
      </c>
      <c r="C430" t="s">
        <v>18</v>
      </c>
      <c r="D430" t="s">
        <v>25</v>
      </c>
      <c r="E430" t="s">
        <v>250</v>
      </c>
      <c r="F430" t="s">
        <v>15</v>
      </c>
      <c r="G430" t="s">
        <v>74</v>
      </c>
      <c r="H430">
        <v>2</v>
      </c>
      <c r="I430">
        <v>209.37</v>
      </c>
      <c r="J430">
        <v>0.05</v>
      </c>
      <c r="K430">
        <v>397.8</v>
      </c>
      <c r="M430" t="str">
        <f t="shared" si="24"/>
        <v>Dec</v>
      </c>
      <c r="N430">
        <f t="shared" si="25"/>
        <v>12</v>
      </c>
      <c r="O430">
        <f t="shared" si="26"/>
        <v>397.803</v>
      </c>
      <c r="P430" t="str">
        <f t="shared" si="27"/>
        <v>OK</v>
      </c>
    </row>
    <row r="431" spans="1:16" x14ac:dyDescent="0.35">
      <c r="A431" t="s">
        <v>729</v>
      </c>
      <c r="B431" s="3">
        <v>45507</v>
      </c>
      <c r="C431" t="s">
        <v>33</v>
      </c>
      <c r="D431" t="s">
        <v>25</v>
      </c>
      <c r="E431" t="s">
        <v>517</v>
      </c>
      <c r="F431" t="s">
        <v>35</v>
      </c>
      <c r="G431" t="s">
        <v>67</v>
      </c>
      <c r="H431">
        <v>7</v>
      </c>
      <c r="I431">
        <v>209.6</v>
      </c>
      <c r="J431">
        <v>0.05</v>
      </c>
      <c r="K431">
        <v>1393.84</v>
      </c>
      <c r="M431" t="str">
        <f t="shared" si="24"/>
        <v>Aug</v>
      </c>
      <c r="N431">
        <f t="shared" si="25"/>
        <v>8</v>
      </c>
      <c r="O431">
        <f t="shared" si="26"/>
        <v>1393.84</v>
      </c>
      <c r="P431" t="str">
        <f t="shared" si="27"/>
        <v>OK</v>
      </c>
    </row>
    <row r="432" spans="1:16" x14ac:dyDescent="0.35">
      <c r="A432" t="s">
        <v>730</v>
      </c>
      <c r="B432" s="3">
        <v>45452</v>
      </c>
      <c r="C432" t="s">
        <v>65</v>
      </c>
      <c r="D432" t="s">
        <v>13</v>
      </c>
      <c r="E432" t="s">
        <v>731</v>
      </c>
      <c r="F432" t="s">
        <v>15</v>
      </c>
      <c r="G432" t="s">
        <v>111</v>
      </c>
      <c r="H432">
        <v>2</v>
      </c>
      <c r="I432">
        <v>63.45</v>
      </c>
      <c r="J432">
        <v>0</v>
      </c>
      <c r="K432">
        <v>126.9</v>
      </c>
      <c r="M432" t="str">
        <f t="shared" si="24"/>
        <v>Jun</v>
      </c>
      <c r="N432">
        <f t="shared" si="25"/>
        <v>6</v>
      </c>
      <c r="O432">
        <f t="shared" si="26"/>
        <v>126.9</v>
      </c>
      <c r="P432" t="str">
        <f t="shared" si="27"/>
        <v>OK</v>
      </c>
    </row>
    <row r="433" spans="1:16" x14ac:dyDescent="0.35">
      <c r="A433" t="s">
        <v>732</v>
      </c>
      <c r="B433" s="3">
        <v>45572</v>
      </c>
      <c r="C433" t="s">
        <v>33</v>
      </c>
      <c r="D433" t="s">
        <v>25</v>
      </c>
      <c r="E433" t="s">
        <v>510</v>
      </c>
      <c r="F433" t="s">
        <v>44</v>
      </c>
      <c r="G433" t="s">
        <v>94</v>
      </c>
      <c r="H433">
        <v>10</v>
      </c>
      <c r="I433">
        <v>157.12</v>
      </c>
      <c r="J433">
        <v>0</v>
      </c>
      <c r="K433">
        <v>1571.2</v>
      </c>
      <c r="M433" t="str">
        <f t="shared" si="24"/>
        <v>Oct</v>
      </c>
      <c r="N433">
        <f t="shared" si="25"/>
        <v>10</v>
      </c>
      <c r="O433">
        <f t="shared" si="26"/>
        <v>1571.2</v>
      </c>
      <c r="P433" t="str">
        <f t="shared" si="27"/>
        <v>OK</v>
      </c>
    </row>
    <row r="434" spans="1:16" x14ac:dyDescent="0.35">
      <c r="A434" t="s">
        <v>733</v>
      </c>
      <c r="B434" s="3">
        <v>45312</v>
      </c>
      <c r="C434" t="s">
        <v>24</v>
      </c>
      <c r="D434" t="s">
        <v>25</v>
      </c>
      <c r="E434" t="s">
        <v>510</v>
      </c>
      <c r="F434" t="s">
        <v>53</v>
      </c>
      <c r="G434" t="s">
        <v>104</v>
      </c>
      <c r="H434">
        <v>10</v>
      </c>
      <c r="I434">
        <v>107.71</v>
      </c>
      <c r="J434">
        <v>0.1</v>
      </c>
      <c r="K434">
        <v>969.39</v>
      </c>
      <c r="M434" t="str">
        <f t="shared" si="24"/>
        <v>Jan</v>
      </c>
      <c r="N434">
        <f t="shared" si="25"/>
        <v>1</v>
      </c>
      <c r="O434">
        <f t="shared" si="26"/>
        <v>969.39</v>
      </c>
      <c r="P434" t="str">
        <f t="shared" si="27"/>
        <v>OK</v>
      </c>
    </row>
    <row r="435" spans="1:16" x14ac:dyDescent="0.35">
      <c r="A435" t="s">
        <v>734</v>
      </c>
      <c r="B435" s="3">
        <v>45452</v>
      </c>
      <c r="C435" t="s">
        <v>33</v>
      </c>
      <c r="D435" t="s">
        <v>42</v>
      </c>
      <c r="E435" t="s">
        <v>348</v>
      </c>
      <c r="F435" t="s">
        <v>35</v>
      </c>
      <c r="G435" t="s">
        <v>177</v>
      </c>
      <c r="H435">
        <v>3</v>
      </c>
      <c r="I435">
        <v>96.7</v>
      </c>
      <c r="J435">
        <v>0.15</v>
      </c>
      <c r="K435">
        <v>246.59</v>
      </c>
      <c r="M435" t="str">
        <f t="shared" si="24"/>
        <v>Jun</v>
      </c>
      <c r="N435">
        <f t="shared" si="25"/>
        <v>6</v>
      </c>
      <c r="O435">
        <f t="shared" si="26"/>
        <v>246.58500000000001</v>
      </c>
      <c r="P435" t="str">
        <f t="shared" si="27"/>
        <v>OK</v>
      </c>
    </row>
    <row r="436" spans="1:16" x14ac:dyDescent="0.35">
      <c r="A436" t="s">
        <v>735</v>
      </c>
      <c r="B436" s="3">
        <v>45292</v>
      </c>
      <c r="C436" t="s">
        <v>41</v>
      </c>
      <c r="D436" t="s">
        <v>13</v>
      </c>
      <c r="E436" t="s">
        <v>212</v>
      </c>
      <c r="F436" t="s">
        <v>44</v>
      </c>
      <c r="G436" t="s">
        <v>86</v>
      </c>
      <c r="H436">
        <v>8</v>
      </c>
      <c r="I436">
        <v>117.89</v>
      </c>
      <c r="J436">
        <v>0.15</v>
      </c>
      <c r="K436">
        <v>801.65</v>
      </c>
      <c r="M436" t="str">
        <f t="shared" si="24"/>
        <v>Jan</v>
      </c>
      <c r="N436">
        <f t="shared" si="25"/>
        <v>1</v>
      </c>
      <c r="O436">
        <f t="shared" si="26"/>
        <v>801.65199999999993</v>
      </c>
      <c r="P436" t="str">
        <f t="shared" si="27"/>
        <v>OK</v>
      </c>
    </row>
    <row r="437" spans="1:16" x14ac:dyDescent="0.35">
      <c r="A437" t="s">
        <v>736</v>
      </c>
      <c r="B437" s="3">
        <v>45491</v>
      </c>
      <c r="C437" t="s">
        <v>33</v>
      </c>
      <c r="D437" t="s">
        <v>25</v>
      </c>
      <c r="E437" t="s">
        <v>506</v>
      </c>
      <c r="F437" t="s">
        <v>21</v>
      </c>
      <c r="G437" t="s">
        <v>194</v>
      </c>
      <c r="H437">
        <v>4</v>
      </c>
      <c r="I437">
        <v>153.77000000000001</v>
      </c>
      <c r="J437">
        <v>0</v>
      </c>
      <c r="K437">
        <v>615.08000000000004</v>
      </c>
      <c r="M437" t="str">
        <f t="shared" si="24"/>
        <v>Jul</v>
      </c>
      <c r="N437">
        <f t="shared" si="25"/>
        <v>7</v>
      </c>
      <c r="O437">
        <f t="shared" si="26"/>
        <v>615.08000000000004</v>
      </c>
      <c r="P437" t="str">
        <f t="shared" si="27"/>
        <v>OK</v>
      </c>
    </row>
    <row r="438" spans="1:16" x14ac:dyDescent="0.35">
      <c r="A438" t="s">
        <v>737</v>
      </c>
      <c r="B438" s="3">
        <v>45349</v>
      </c>
      <c r="C438" t="s">
        <v>33</v>
      </c>
      <c r="D438" t="s">
        <v>42</v>
      </c>
      <c r="E438" t="s">
        <v>106</v>
      </c>
      <c r="F438" t="s">
        <v>21</v>
      </c>
      <c r="G438" t="s">
        <v>129</v>
      </c>
      <c r="H438">
        <v>10</v>
      </c>
      <c r="I438">
        <v>132.29</v>
      </c>
      <c r="J438">
        <v>0</v>
      </c>
      <c r="K438">
        <v>1322.9</v>
      </c>
      <c r="M438" t="str">
        <f t="shared" si="24"/>
        <v>Feb</v>
      </c>
      <c r="N438">
        <f t="shared" si="25"/>
        <v>2</v>
      </c>
      <c r="O438">
        <f t="shared" si="26"/>
        <v>1322.8999999999999</v>
      </c>
      <c r="P438" t="str">
        <f t="shared" si="27"/>
        <v>OK</v>
      </c>
    </row>
    <row r="439" spans="1:16" x14ac:dyDescent="0.35">
      <c r="A439" t="s">
        <v>738</v>
      </c>
      <c r="B439" s="3">
        <v>45430</v>
      </c>
      <c r="C439" t="s">
        <v>41</v>
      </c>
      <c r="D439" t="s">
        <v>25</v>
      </c>
      <c r="E439" t="s">
        <v>642</v>
      </c>
      <c r="F439" t="s">
        <v>53</v>
      </c>
      <c r="G439" t="s">
        <v>59</v>
      </c>
      <c r="H439">
        <v>2</v>
      </c>
      <c r="I439">
        <v>107.61</v>
      </c>
      <c r="J439">
        <v>0.1</v>
      </c>
      <c r="K439">
        <v>193.7</v>
      </c>
      <c r="M439" t="str">
        <f t="shared" si="24"/>
        <v>May</v>
      </c>
      <c r="N439">
        <f t="shared" si="25"/>
        <v>5</v>
      </c>
      <c r="O439">
        <f t="shared" si="26"/>
        <v>193.69800000000001</v>
      </c>
      <c r="P439" t="str">
        <f t="shared" si="27"/>
        <v>OK</v>
      </c>
    </row>
    <row r="440" spans="1:16" x14ac:dyDescent="0.35">
      <c r="A440" t="s">
        <v>739</v>
      </c>
      <c r="B440" s="3">
        <v>45374</v>
      </c>
      <c r="C440" t="s">
        <v>41</v>
      </c>
      <c r="D440" t="s">
        <v>13</v>
      </c>
      <c r="E440" t="s">
        <v>26</v>
      </c>
      <c r="F440" t="s">
        <v>44</v>
      </c>
      <c r="G440" t="s">
        <v>94</v>
      </c>
      <c r="H440">
        <v>6</v>
      </c>
      <c r="I440">
        <v>33.64</v>
      </c>
      <c r="J440">
        <v>0.1</v>
      </c>
      <c r="K440">
        <v>181.66</v>
      </c>
      <c r="M440" t="str">
        <f t="shared" si="24"/>
        <v>Mar</v>
      </c>
      <c r="N440">
        <f t="shared" si="25"/>
        <v>3</v>
      </c>
      <c r="O440">
        <f t="shared" si="26"/>
        <v>181.65600000000001</v>
      </c>
      <c r="P440" t="str">
        <f t="shared" si="27"/>
        <v>OK</v>
      </c>
    </row>
    <row r="441" spans="1:16" x14ac:dyDescent="0.35">
      <c r="A441" t="s">
        <v>741</v>
      </c>
      <c r="B441" s="3">
        <v>45621</v>
      </c>
      <c r="C441" t="s">
        <v>33</v>
      </c>
      <c r="D441" t="s">
        <v>25</v>
      </c>
      <c r="E441" t="s">
        <v>332</v>
      </c>
      <c r="F441" t="s">
        <v>35</v>
      </c>
      <c r="G441" t="s">
        <v>67</v>
      </c>
      <c r="H441">
        <v>3</v>
      </c>
      <c r="I441">
        <v>56.82</v>
      </c>
      <c r="J441">
        <v>0</v>
      </c>
      <c r="K441">
        <v>170.46</v>
      </c>
      <c r="M441" t="str">
        <f t="shared" si="24"/>
        <v>Nov</v>
      </c>
      <c r="N441">
        <f t="shared" si="25"/>
        <v>11</v>
      </c>
      <c r="O441">
        <f t="shared" si="26"/>
        <v>170.46</v>
      </c>
      <c r="P441" t="str">
        <f t="shared" si="27"/>
        <v>OK</v>
      </c>
    </row>
    <row r="442" spans="1:16" x14ac:dyDescent="0.35">
      <c r="A442" t="s">
        <v>742</v>
      </c>
      <c r="B442" s="3">
        <v>45545</v>
      </c>
      <c r="C442" t="s">
        <v>24</v>
      </c>
      <c r="D442" t="s">
        <v>25</v>
      </c>
      <c r="E442" t="s">
        <v>282</v>
      </c>
      <c r="F442" t="s">
        <v>15</v>
      </c>
      <c r="G442" t="s">
        <v>147</v>
      </c>
      <c r="H442">
        <v>10</v>
      </c>
      <c r="I442">
        <v>157.36000000000001</v>
      </c>
      <c r="J442">
        <v>0.05</v>
      </c>
      <c r="K442">
        <v>1494.92</v>
      </c>
      <c r="M442" t="str">
        <f t="shared" si="24"/>
        <v>Sep</v>
      </c>
      <c r="N442">
        <f t="shared" si="25"/>
        <v>9</v>
      </c>
      <c r="O442">
        <f t="shared" si="26"/>
        <v>1494.92</v>
      </c>
      <c r="P442" t="str">
        <f t="shared" si="27"/>
        <v>OK</v>
      </c>
    </row>
    <row r="443" spans="1:16" x14ac:dyDescent="0.35">
      <c r="A443" t="s">
        <v>743</v>
      </c>
      <c r="B443" s="3">
        <v>45524</v>
      </c>
      <c r="C443" t="s">
        <v>65</v>
      </c>
      <c r="D443" t="s">
        <v>13</v>
      </c>
      <c r="E443" t="s">
        <v>52</v>
      </c>
      <c r="F443" t="s">
        <v>35</v>
      </c>
      <c r="G443" t="s">
        <v>134</v>
      </c>
      <c r="H443">
        <v>10</v>
      </c>
      <c r="I443">
        <v>142.24</v>
      </c>
      <c r="J443">
        <v>0.1</v>
      </c>
      <c r="K443">
        <v>1280.1600000000001</v>
      </c>
      <c r="M443" t="str">
        <f t="shared" si="24"/>
        <v>Aug</v>
      </c>
      <c r="N443">
        <f t="shared" si="25"/>
        <v>8</v>
      </c>
      <c r="O443">
        <f t="shared" si="26"/>
        <v>1280.1600000000001</v>
      </c>
      <c r="P443" t="str">
        <f t="shared" si="27"/>
        <v>OK</v>
      </c>
    </row>
    <row r="444" spans="1:16" x14ac:dyDescent="0.35">
      <c r="A444" t="s">
        <v>744</v>
      </c>
      <c r="B444" s="3">
        <v>45561</v>
      </c>
      <c r="C444" t="s">
        <v>33</v>
      </c>
      <c r="D444" t="s">
        <v>2216</v>
      </c>
      <c r="E444" t="s">
        <v>66</v>
      </c>
      <c r="F444" t="s">
        <v>44</v>
      </c>
      <c r="G444" t="s">
        <v>86</v>
      </c>
      <c r="H444">
        <v>11</v>
      </c>
      <c r="I444">
        <v>190.45</v>
      </c>
      <c r="J444">
        <v>0</v>
      </c>
      <c r="K444">
        <v>2094.9499999999998</v>
      </c>
      <c r="M444" t="str">
        <f t="shared" si="24"/>
        <v>Sep</v>
      </c>
      <c r="N444">
        <f t="shared" si="25"/>
        <v>9</v>
      </c>
      <c r="O444">
        <f t="shared" si="26"/>
        <v>2094.9499999999998</v>
      </c>
      <c r="P444" t="str">
        <f t="shared" si="27"/>
        <v>OK</v>
      </c>
    </row>
    <row r="445" spans="1:16" x14ac:dyDescent="0.35">
      <c r="A445" t="s">
        <v>745</v>
      </c>
      <c r="B445" s="3">
        <v>45532</v>
      </c>
      <c r="C445" t="s">
        <v>41</v>
      </c>
      <c r="D445" t="s">
        <v>25</v>
      </c>
      <c r="E445" t="s">
        <v>150</v>
      </c>
      <c r="F445" t="s">
        <v>53</v>
      </c>
      <c r="G445" t="s">
        <v>260</v>
      </c>
      <c r="H445">
        <v>7</v>
      </c>
      <c r="I445">
        <v>22.24</v>
      </c>
      <c r="J445">
        <v>0</v>
      </c>
      <c r="K445">
        <v>155.68</v>
      </c>
      <c r="M445" t="str">
        <f t="shared" si="24"/>
        <v>Aug</v>
      </c>
      <c r="N445">
        <f t="shared" si="25"/>
        <v>8</v>
      </c>
      <c r="O445">
        <f t="shared" si="26"/>
        <v>155.67999999999998</v>
      </c>
      <c r="P445" t="str">
        <f t="shared" si="27"/>
        <v>OK</v>
      </c>
    </row>
    <row r="446" spans="1:16" x14ac:dyDescent="0.35">
      <c r="A446" t="s">
        <v>746</v>
      </c>
      <c r="B446" s="3">
        <v>45587</v>
      </c>
      <c r="C446" t="s">
        <v>41</v>
      </c>
      <c r="D446" t="s">
        <v>42</v>
      </c>
      <c r="E446" t="s">
        <v>457</v>
      </c>
      <c r="F446" t="s">
        <v>21</v>
      </c>
      <c r="G446" t="s">
        <v>167</v>
      </c>
      <c r="H446">
        <v>5</v>
      </c>
      <c r="I446">
        <v>140.55000000000001</v>
      </c>
      <c r="J446">
        <v>0.15</v>
      </c>
      <c r="K446">
        <v>597.34</v>
      </c>
      <c r="M446" t="str">
        <f t="shared" si="24"/>
        <v>Oct</v>
      </c>
      <c r="N446">
        <f t="shared" si="25"/>
        <v>10</v>
      </c>
      <c r="O446">
        <f t="shared" si="26"/>
        <v>597.33749999999998</v>
      </c>
      <c r="P446" t="str">
        <f t="shared" si="27"/>
        <v>OK</v>
      </c>
    </row>
    <row r="447" spans="1:16" x14ac:dyDescent="0.35">
      <c r="A447" t="s">
        <v>747</v>
      </c>
      <c r="B447" s="3">
        <v>45294</v>
      </c>
      <c r="C447" t="s">
        <v>33</v>
      </c>
      <c r="D447" t="s">
        <v>25</v>
      </c>
      <c r="E447" t="s">
        <v>351</v>
      </c>
      <c r="F447" t="s">
        <v>35</v>
      </c>
      <c r="G447" t="s">
        <v>36</v>
      </c>
      <c r="H447">
        <v>11</v>
      </c>
      <c r="I447">
        <v>53.75</v>
      </c>
      <c r="J447">
        <v>0</v>
      </c>
      <c r="K447">
        <v>591.25</v>
      </c>
      <c r="M447" t="str">
        <f t="shared" si="24"/>
        <v>Jan</v>
      </c>
      <c r="N447">
        <f t="shared" si="25"/>
        <v>1</v>
      </c>
      <c r="O447">
        <f t="shared" si="26"/>
        <v>591.25</v>
      </c>
      <c r="P447" t="str">
        <f t="shared" si="27"/>
        <v>OK</v>
      </c>
    </row>
    <row r="448" spans="1:16" x14ac:dyDescent="0.35">
      <c r="A448" t="s">
        <v>748</v>
      </c>
      <c r="B448" s="3">
        <v>45608</v>
      </c>
      <c r="C448" t="s">
        <v>41</v>
      </c>
      <c r="D448" t="s">
        <v>13</v>
      </c>
      <c r="E448" t="s">
        <v>385</v>
      </c>
      <c r="F448" t="s">
        <v>21</v>
      </c>
      <c r="G448" t="s">
        <v>70</v>
      </c>
      <c r="H448">
        <v>11</v>
      </c>
      <c r="I448">
        <v>130.18</v>
      </c>
      <c r="J448">
        <v>0.15</v>
      </c>
      <c r="K448">
        <v>1217.18</v>
      </c>
      <c r="M448" t="str">
        <f t="shared" si="24"/>
        <v>Nov</v>
      </c>
      <c r="N448">
        <f t="shared" si="25"/>
        <v>11</v>
      </c>
      <c r="O448">
        <f t="shared" si="26"/>
        <v>1217.183</v>
      </c>
      <c r="P448" t="str">
        <f t="shared" si="27"/>
        <v>OK</v>
      </c>
    </row>
    <row r="449" spans="1:16" x14ac:dyDescent="0.35">
      <c r="A449" t="s">
        <v>749</v>
      </c>
      <c r="B449" s="3">
        <v>45461</v>
      </c>
      <c r="C449" t="s">
        <v>24</v>
      </c>
      <c r="D449" t="s">
        <v>19</v>
      </c>
      <c r="E449" t="s">
        <v>508</v>
      </c>
      <c r="F449" t="s">
        <v>44</v>
      </c>
      <c r="G449" t="s">
        <v>94</v>
      </c>
      <c r="H449">
        <v>10</v>
      </c>
      <c r="I449">
        <v>245.08</v>
      </c>
      <c r="J449">
        <v>0</v>
      </c>
      <c r="K449">
        <v>2450.8000000000002</v>
      </c>
      <c r="M449" t="str">
        <f t="shared" si="24"/>
        <v>Jun</v>
      </c>
      <c r="N449">
        <f t="shared" si="25"/>
        <v>6</v>
      </c>
      <c r="O449">
        <f t="shared" si="26"/>
        <v>2450.8000000000002</v>
      </c>
      <c r="P449" t="str">
        <f t="shared" si="27"/>
        <v>OK</v>
      </c>
    </row>
    <row r="450" spans="1:16" x14ac:dyDescent="0.35">
      <c r="A450" t="s">
        <v>750</v>
      </c>
      <c r="B450" s="3">
        <v>45592</v>
      </c>
      <c r="C450" t="s">
        <v>33</v>
      </c>
      <c r="D450" t="s">
        <v>19</v>
      </c>
      <c r="E450" t="s">
        <v>751</v>
      </c>
      <c r="F450" t="s">
        <v>44</v>
      </c>
      <c r="G450" t="s">
        <v>50</v>
      </c>
      <c r="H450">
        <v>3</v>
      </c>
      <c r="I450">
        <v>106.43</v>
      </c>
      <c r="J450">
        <v>0</v>
      </c>
      <c r="K450">
        <v>319.29000000000002</v>
      </c>
      <c r="M450" t="str">
        <f t="shared" si="24"/>
        <v>Oct</v>
      </c>
      <c r="N450">
        <f t="shared" si="25"/>
        <v>10</v>
      </c>
      <c r="O450">
        <f t="shared" si="26"/>
        <v>319.29000000000002</v>
      </c>
      <c r="P450" t="str">
        <f t="shared" si="27"/>
        <v>OK</v>
      </c>
    </row>
    <row r="451" spans="1:16" x14ac:dyDescent="0.35">
      <c r="A451" t="s">
        <v>752</v>
      </c>
      <c r="B451" s="3">
        <v>45308</v>
      </c>
      <c r="C451" t="s">
        <v>18</v>
      </c>
      <c r="D451" t="s">
        <v>19</v>
      </c>
      <c r="E451" t="s">
        <v>171</v>
      </c>
      <c r="F451" t="s">
        <v>44</v>
      </c>
      <c r="G451" t="s">
        <v>94</v>
      </c>
      <c r="H451">
        <v>8</v>
      </c>
      <c r="I451">
        <v>74.22</v>
      </c>
      <c r="J451">
        <v>0</v>
      </c>
      <c r="K451">
        <v>593.76</v>
      </c>
      <c r="M451" t="str">
        <f t="shared" ref="M451:M514" si="28">TEXT(B451,"mmm")</f>
        <v>Jan</v>
      </c>
      <c r="N451">
        <f t="shared" ref="N451:N514" si="29">MONTH(B451)</f>
        <v>1</v>
      </c>
      <c r="O451">
        <f t="shared" ref="O451:O514" si="30">H451*I451*(1-J451)</f>
        <v>593.76</v>
      </c>
      <c r="P451" t="str">
        <f t="shared" ref="P451:P514" si="31">IF(ROUND(K451,2)=ROUND(O451,2),"OK","MISMATCH")</f>
        <v>OK</v>
      </c>
    </row>
    <row r="452" spans="1:16" x14ac:dyDescent="0.35">
      <c r="A452" t="s">
        <v>753</v>
      </c>
      <c r="B452" s="3">
        <v>45339</v>
      </c>
      <c r="C452" t="s">
        <v>33</v>
      </c>
      <c r="D452" t="s">
        <v>13</v>
      </c>
      <c r="E452" t="s">
        <v>88</v>
      </c>
      <c r="F452" t="s">
        <v>21</v>
      </c>
      <c r="G452" t="s">
        <v>70</v>
      </c>
      <c r="H452">
        <v>11</v>
      </c>
      <c r="I452">
        <v>132.72999999999999</v>
      </c>
      <c r="J452">
        <v>0</v>
      </c>
      <c r="K452">
        <v>1460.03</v>
      </c>
      <c r="M452" t="str">
        <f t="shared" si="28"/>
        <v>Feb</v>
      </c>
      <c r="N452">
        <f t="shared" si="29"/>
        <v>2</v>
      </c>
      <c r="O452">
        <f t="shared" si="30"/>
        <v>1460.03</v>
      </c>
      <c r="P452" t="str">
        <f t="shared" si="31"/>
        <v>OK</v>
      </c>
    </row>
    <row r="453" spans="1:16" x14ac:dyDescent="0.35">
      <c r="A453" t="s">
        <v>754</v>
      </c>
      <c r="B453" s="3">
        <v>45555</v>
      </c>
      <c r="C453" t="s">
        <v>41</v>
      </c>
      <c r="D453" t="s">
        <v>25</v>
      </c>
      <c r="E453" t="s">
        <v>304</v>
      </c>
      <c r="F453" t="s">
        <v>53</v>
      </c>
      <c r="G453" t="s">
        <v>59</v>
      </c>
      <c r="H453">
        <v>5</v>
      </c>
      <c r="I453">
        <v>191.32</v>
      </c>
      <c r="J453">
        <v>0.15</v>
      </c>
      <c r="K453">
        <v>813.11</v>
      </c>
      <c r="M453" t="str">
        <f t="shared" si="28"/>
        <v>Sep</v>
      </c>
      <c r="N453">
        <f t="shared" si="29"/>
        <v>9</v>
      </c>
      <c r="O453">
        <f t="shared" si="30"/>
        <v>813.1099999999999</v>
      </c>
      <c r="P453" t="str">
        <f t="shared" si="31"/>
        <v>OK</v>
      </c>
    </row>
    <row r="454" spans="1:16" x14ac:dyDescent="0.35">
      <c r="A454" t="s">
        <v>755</v>
      </c>
      <c r="B454" s="3">
        <v>45392</v>
      </c>
      <c r="C454" t="s">
        <v>18</v>
      </c>
      <c r="D454" t="s">
        <v>25</v>
      </c>
      <c r="E454" t="s">
        <v>155</v>
      </c>
      <c r="F454" t="s">
        <v>21</v>
      </c>
      <c r="G454" t="s">
        <v>129</v>
      </c>
      <c r="H454">
        <v>1</v>
      </c>
      <c r="I454">
        <v>248.58</v>
      </c>
      <c r="J454">
        <v>0.15</v>
      </c>
      <c r="K454">
        <v>211.29</v>
      </c>
      <c r="M454" t="str">
        <f t="shared" si="28"/>
        <v>Apr</v>
      </c>
      <c r="N454">
        <f t="shared" si="29"/>
        <v>4</v>
      </c>
      <c r="O454">
        <f t="shared" si="30"/>
        <v>211.29300000000001</v>
      </c>
      <c r="P454" t="str">
        <f t="shared" si="31"/>
        <v>OK</v>
      </c>
    </row>
    <row r="455" spans="1:16" x14ac:dyDescent="0.35">
      <c r="A455" t="s">
        <v>756</v>
      </c>
      <c r="B455" s="3">
        <v>45555</v>
      </c>
      <c r="C455" t="s">
        <v>33</v>
      </c>
      <c r="D455" t="s">
        <v>42</v>
      </c>
      <c r="E455" t="s">
        <v>241</v>
      </c>
      <c r="F455" t="s">
        <v>35</v>
      </c>
      <c r="G455" t="s">
        <v>83</v>
      </c>
      <c r="H455">
        <v>10</v>
      </c>
      <c r="I455">
        <v>104.34</v>
      </c>
      <c r="J455">
        <v>0</v>
      </c>
      <c r="K455">
        <v>1043.4000000000001</v>
      </c>
      <c r="M455" t="str">
        <f t="shared" si="28"/>
        <v>Sep</v>
      </c>
      <c r="N455">
        <f t="shared" si="29"/>
        <v>9</v>
      </c>
      <c r="O455">
        <f t="shared" si="30"/>
        <v>1043.4000000000001</v>
      </c>
      <c r="P455" t="str">
        <f t="shared" si="31"/>
        <v>OK</v>
      </c>
    </row>
    <row r="456" spans="1:16" x14ac:dyDescent="0.35">
      <c r="A456" t="s">
        <v>757</v>
      </c>
      <c r="B456" s="3">
        <v>45551</v>
      </c>
      <c r="C456" t="s">
        <v>24</v>
      </c>
      <c r="D456" t="s">
        <v>13</v>
      </c>
      <c r="E456" t="s">
        <v>608</v>
      </c>
      <c r="F456" t="s">
        <v>15</v>
      </c>
      <c r="G456" t="s">
        <v>111</v>
      </c>
      <c r="H456">
        <v>8</v>
      </c>
      <c r="I456">
        <v>204.52</v>
      </c>
      <c r="J456">
        <v>0</v>
      </c>
      <c r="K456">
        <v>1636.16</v>
      </c>
      <c r="M456" t="str">
        <f t="shared" si="28"/>
        <v>Sep</v>
      </c>
      <c r="N456">
        <f t="shared" si="29"/>
        <v>9</v>
      </c>
      <c r="O456">
        <f t="shared" si="30"/>
        <v>1636.16</v>
      </c>
      <c r="P456" t="str">
        <f t="shared" si="31"/>
        <v>OK</v>
      </c>
    </row>
    <row r="457" spans="1:16" x14ac:dyDescent="0.35">
      <c r="A457" t="s">
        <v>759</v>
      </c>
      <c r="B457" s="3">
        <v>45362</v>
      </c>
      <c r="C457" t="s">
        <v>24</v>
      </c>
      <c r="D457" t="s">
        <v>19</v>
      </c>
      <c r="E457" t="s">
        <v>311</v>
      </c>
      <c r="F457" t="s">
        <v>44</v>
      </c>
      <c r="G457" t="s">
        <v>45</v>
      </c>
      <c r="H457">
        <v>5</v>
      </c>
      <c r="I457">
        <v>118.27</v>
      </c>
      <c r="J457">
        <v>0</v>
      </c>
      <c r="K457">
        <v>591.35</v>
      </c>
      <c r="M457" t="str">
        <f t="shared" si="28"/>
        <v>Mar</v>
      </c>
      <c r="N457">
        <f t="shared" si="29"/>
        <v>3</v>
      </c>
      <c r="O457">
        <f t="shared" si="30"/>
        <v>591.35</v>
      </c>
      <c r="P457" t="str">
        <f t="shared" si="31"/>
        <v>OK</v>
      </c>
    </row>
    <row r="458" spans="1:16" x14ac:dyDescent="0.35">
      <c r="A458" t="s">
        <v>760</v>
      </c>
      <c r="B458" s="3">
        <v>45626</v>
      </c>
      <c r="C458" t="s">
        <v>41</v>
      </c>
      <c r="D458" t="s">
        <v>19</v>
      </c>
      <c r="E458" t="s">
        <v>586</v>
      </c>
      <c r="F458" t="s">
        <v>53</v>
      </c>
      <c r="G458" t="s">
        <v>63</v>
      </c>
      <c r="H458">
        <v>8</v>
      </c>
      <c r="I458">
        <v>74.88</v>
      </c>
      <c r="J458">
        <v>0</v>
      </c>
      <c r="K458">
        <v>599.04</v>
      </c>
      <c r="M458" t="str">
        <f t="shared" si="28"/>
        <v>Nov</v>
      </c>
      <c r="N458">
        <f t="shared" si="29"/>
        <v>11</v>
      </c>
      <c r="O458">
        <f t="shared" si="30"/>
        <v>599.04</v>
      </c>
      <c r="P458" t="str">
        <f t="shared" si="31"/>
        <v>OK</v>
      </c>
    </row>
    <row r="459" spans="1:16" x14ac:dyDescent="0.35">
      <c r="A459" t="s">
        <v>761</v>
      </c>
      <c r="B459" s="3">
        <v>45605</v>
      </c>
      <c r="C459" t="s">
        <v>18</v>
      </c>
      <c r="D459" t="s">
        <v>19</v>
      </c>
      <c r="E459" t="s">
        <v>315</v>
      </c>
      <c r="F459" t="s">
        <v>15</v>
      </c>
      <c r="G459" t="s">
        <v>111</v>
      </c>
      <c r="H459">
        <v>7</v>
      </c>
      <c r="I459">
        <v>247.99</v>
      </c>
      <c r="J459">
        <v>0</v>
      </c>
      <c r="K459">
        <v>1735.93</v>
      </c>
      <c r="M459" t="str">
        <f t="shared" si="28"/>
        <v>Nov</v>
      </c>
      <c r="N459">
        <f t="shared" si="29"/>
        <v>11</v>
      </c>
      <c r="O459">
        <f t="shared" si="30"/>
        <v>1735.93</v>
      </c>
      <c r="P459" t="str">
        <f t="shared" si="31"/>
        <v>OK</v>
      </c>
    </row>
    <row r="460" spans="1:16" x14ac:dyDescent="0.35">
      <c r="A460" t="s">
        <v>762</v>
      </c>
      <c r="B460" s="3">
        <v>45412</v>
      </c>
      <c r="C460" t="s">
        <v>65</v>
      </c>
      <c r="D460" t="s">
        <v>19</v>
      </c>
      <c r="E460" t="s">
        <v>49</v>
      </c>
      <c r="F460" t="s">
        <v>21</v>
      </c>
      <c r="G460" t="s">
        <v>22</v>
      </c>
      <c r="H460">
        <v>9</v>
      </c>
      <c r="I460">
        <v>87.28</v>
      </c>
      <c r="J460">
        <v>0</v>
      </c>
      <c r="K460">
        <v>785.52</v>
      </c>
      <c r="M460" t="str">
        <f t="shared" si="28"/>
        <v>Apr</v>
      </c>
      <c r="N460">
        <f t="shared" si="29"/>
        <v>4</v>
      </c>
      <c r="O460">
        <f t="shared" si="30"/>
        <v>785.52</v>
      </c>
      <c r="P460" t="str">
        <f t="shared" si="31"/>
        <v>OK</v>
      </c>
    </row>
    <row r="461" spans="1:16" x14ac:dyDescent="0.35">
      <c r="A461" t="s">
        <v>763</v>
      </c>
      <c r="B461" s="3">
        <v>45324</v>
      </c>
      <c r="C461" t="s">
        <v>33</v>
      </c>
      <c r="D461" t="s">
        <v>13</v>
      </c>
      <c r="E461" t="s">
        <v>415</v>
      </c>
      <c r="F461" t="s">
        <v>21</v>
      </c>
      <c r="G461" t="s">
        <v>70</v>
      </c>
      <c r="H461">
        <v>3</v>
      </c>
      <c r="I461">
        <v>54.04</v>
      </c>
      <c r="J461">
        <v>0.15</v>
      </c>
      <c r="K461">
        <v>137.80000000000001</v>
      </c>
      <c r="M461" t="str">
        <f t="shared" si="28"/>
        <v>Feb</v>
      </c>
      <c r="N461">
        <f t="shared" si="29"/>
        <v>2</v>
      </c>
      <c r="O461">
        <f t="shared" si="30"/>
        <v>137.80199999999999</v>
      </c>
      <c r="P461" t="str">
        <f t="shared" si="31"/>
        <v>OK</v>
      </c>
    </row>
    <row r="462" spans="1:16" x14ac:dyDescent="0.35">
      <c r="A462" t="s">
        <v>764</v>
      </c>
      <c r="B462" s="3">
        <v>45336</v>
      </c>
      <c r="C462" t="s">
        <v>24</v>
      </c>
      <c r="D462" t="s">
        <v>25</v>
      </c>
      <c r="E462" t="s">
        <v>85</v>
      </c>
      <c r="F462" t="s">
        <v>21</v>
      </c>
      <c r="G462" t="s">
        <v>22</v>
      </c>
      <c r="H462">
        <v>5</v>
      </c>
      <c r="I462">
        <v>45.48</v>
      </c>
      <c r="J462">
        <v>0</v>
      </c>
      <c r="K462">
        <v>227.4</v>
      </c>
      <c r="M462" t="str">
        <f t="shared" si="28"/>
        <v>Feb</v>
      </c>
      <c r="N462">
        <f t="shared" si="29"/>
        <v>2</v>
      </c>
      <c r="O462">
        <f t="shared" si="30"/>
        <v>227.39999999999998</v>
      </c>
      <c r="P462" t="str">
        <f t="shared" si="31"/>
        <v>OK</v>
      </c>
    </row>
    <row r="463" spans="1:16" x14ac:dyDescent="0.35">
      <c r="A463" t="s">
        <v>765</v>
      </c>
      <c r="B463" s="3">
        <v>45590</v>
      </c>
      <c r="C463" t="s">
        <v>24</v>
      </c>
      <c r="D463" t="s">
        <v>19</v>
      </c>
      <c r="E463" t="s">
        <v>370</v>
      </c>
      <c r="F463" t="s">
        <v>21</v>
      </c>
      <c r="G463" t="s">
        <v>194</v>
      </c>
      <c r="H463">
        <v>6</v>
      </c>
      <c r="I463">
        <v>69.08</v>
      </c>
      <c r="J463">
        <v>0.15</v>
      </c>
      <c r="K463">
        <v>352.31</v>
      </c>
      <c r="M463" t="str">
        <f t="shared" si="28"/>
        <v>Oct</v>
      </c>
      <c r="N463">
        <f t="shared" si="29"/>
        <v>10</v>
      </c>
      <c r="O463">
        <f t="shared" si="30"/>
        <v>352.30799999999999</v>
      </c>
      <c r="P463" t="str">
        <f t="shared" si="31"/>
        <v>OK</v>
      </c>
    </row>
    <row r="464" spans="1:16" x14ac:dyDescent="0.35">
      <c r="A464" t="s">
        <v>766</v>
      </c>
      <c r="B464" s="3">
        <v>45391</v>
      </c>
      <c r="C464" t="s">
        <v>65</v>
      </c>
      <c r="D464" t="s">
        <v>57</v>
      </c>
      <c r="E464" t="s">
        <v>542</v>
      </c>
      <c r="F464" t="s">
        <v>21</v>
      </c>
      <c r="G464" t="s">
        <v>167</v>
      </c>
      <c r="H464">
        <v>6</v>
      </c>
      <c r="I464">
        <v>124.04</v>
      </c>
      <c r="J464">
        <v>0.1</v>
      </c>
      <c r="K464">
        <v>669.82</v>
      </c>
      <c r="M464" t="str">
        <f t="shared" si="28"/>
        <v>Apr</v>
      </c>
      <c r="N464">
        <f t="shared" si="29"/>
        <v>4</v>
      </c>
      <c r="O464">
        <f t="shared" si="30"/>
        <v>669.81600000000003</v>
      </c>
      <c r="P464" t="str">
        <f t="shared" si="31"/>
        <v>OK</v>
      </c>
    </row>
    <row r="465" spans="1:16" x14ac:dyDescent="0.35">
      <c r="A465" t="s">
        <v>767</v>
      </c>
      <c r="B465" s="3">
        <v>45533</v>
      </c>
      <c r="C465" t="s">
        <v>33</v>
      </c>
      <c r="D465" t="s">
        <v>42</v>
      </c>
      <c r="E465" t="s">
        <v>233</v>
      </c>
      <c r="F465" t="s">
        <v>15</v>
      </c>
      <c r="G465" t="s">
        <v>27</v>
      </c>
      <c r="H465">
        <v>6</v>
      </c>
      <c r="I465">
        <v>96.45</v>
      </c>
      <c r="J465">
        <v>0.15</v>
      </c>
      <c r="K465">
        <v>491.9</v>
      </c>
      <c r="M465" t="str">
        <f t="shared" si="28"/>
        <v>Aug</v>
      </c>
      <c r="N465">
        <f t="shared" si="29"/>
        <v>8</v>
      </c>
      <c r="O465">
        <f t="shared" si="30"/>
        <v>491.89500000000004</v>
      </c>
      <c r="P465" t="str">
        <f t="shared" si="31"/>
        <v>OK</v>
      </c>
    </row>
    <row r="466" spans="1:16" x14ac:dyDescent="0.35">
      <c r="A466" t="s">
        <v>768</v>
      </c>
      <c r="B466" s="3">
        <v>45619</v>
      </c>
      <c r="C466" t="s">
        <v>24</v>
      </c>
      <c r="D466" t="s">
        <v>25</v>
      </c>
      <c r="E466" t="s">
        <v>769</v>
      </c>
      <c r="F466" t="s">
        <v>44</v>
      </c>
      <c r="G466" t="s">
        <v>94</v>
      </c>
      <c r="H466">
        <v>5</v>
      </c>
      <c r="I466">
        <v>58.47</v>
      </c>
      <c r="J466">
        <v>0</v>
      </c>
      <c r="K466">
        <v>292.35000000000002</v>
      </c>
      <c r="M466" t="str">
        <f t="shared" si="28"/>
        <v>Nov</v>
      </c>
      <c r="N466">
        <f t="shared" si="29"/>
        <v>11</v>
      </c>
      <c r="O466">
        <f t="shared" si="30"/>
        <v>292.35000000000002</v>
      </c>
      <c r="P466" t="str">
        <f t="shared" si="31"/>
        <v>OK</v>
      </c>
    </row>
    <row r="467" spans="1:16" x14ac:dyDescent="0.35">
      <c r="A467" t="s">
        <v>770</v>
      </c>
      <c r="B467" s="3">
        <v>45504</v>
      </c>
      <c r="C467" t="s">
        <v>18</v>
      </c>
      <c r="D467" t="s">
        <v>25</v>
      </c>
      <c r="E467" t="s">
        <v>771</v>
      </c>
      <c r="F467" t="s">
        <v>53</v>
      </c>
      <c r="G467" t="s">
        <v>104</v>
      </c>
      <c r="H467">
        <v>11</v>
      </c>
      <c r="I467">
        <v>25.25</v>
      </c>
      <c r="J467">
        <v>0.1</v>
      </c>
      <c r="K467">
        <v>249.97</v>
      </c>
      <c r="M467" t="str">
        <f t="shared" si="28"/>
        <v>Jul</v>
      </c>
      <c r="N467">
        <f t="shared" si="29"/>
        <v>7</v>
      </c>
      <c r="O467">
        <f t="shared" si="30"/>
        <v>249.97499999999999</v>
      </c>
      <c r="P467" t="str">
        <f t="shared" si="31"/>
        <v>MISMATCH</v>
      </c>
    </row>
    <row r="468" spans="1:16" x14ac:dyDescent="0.35">
      <c r="A468" t="s">
        <v>772</v>
      </c>
      <c r="B468" s="3">
        <v>45649</v>
      </c>
      <c r="C468" t="s">
        <v>24</v>
      </c>
      <c r="D468" t="s">
        <v>13</v>
      </c>
      <c r="E468" t="s">
        <v>80</v>
      </c>
      <c r="F468" t="s">
        <v>44</v>
      </c>
      <c r="G468" t="s">
        <v>94</v>
      </c>
      <c r="H468">
        <v>8</v>
      </c>
      <c r="I468">
        <v>149.75</v>
      </c>
      <c r="J468">
        <v>0.15</v>
      </c>
      <c r="K468">
        <v>1018.3</v>
      </c>
      <c r="M468" t="str">
        <f t="shared" si="28"/>
        <v>Dec</v>
      </c>
      <c r="N468">
        <f t="shared" si="29"/>
        <v>12</v>
      </c>
      <c r="O468">
        <f t="shared" si="30"/>
        <v>1018.3</v>
      </c>
      <c r="P468" t="str">
        <f t="shared" si="31"/>
        <v>OK</v>
      </c>
    </row>
    <row r="469" spans="1:16" x14ac:dyDescent="0.35">
      <c r="A469" t="s">
        <v>774</v>
      </c>
      <c r="B469" s="3">
        <v>45475</v>
      </c>
      <c r="C469" t="s">
        <v>24</v>
      </c>
      <c r="D469" t="s">
        <v>57</v>
      </c>
      <c r="E469" t="s">
        <v>2217</v>
      </c>
      <c r="F469" t="s">
        <v>53</v>
      </c>
      <c r="G469" t="s">
        <v>54</v>
      </c>
      <c r="H469">
        <v>3</v>
      </c>
      <c r="I469">
        <v>128.94</v>
      </c>
      <c r="J469">
        <v>0</v>
      </c>
      <c r="K469">
        <v>386.82</v>
      </c>
      <c r="M469" t="str">
        <f t="shared" si="28"/>
        <v>Jul</v>
      </c>
      <c r="N469">
        <f t="shared" si="29"/>
        <v>7</v>
      </c>
      <c r="O469">
        <f t="shared" si="30"/>
        <v>386.82</v>
      </c>
      <c r="P469" t="str">
        <f t="shared" si="31"/>
        <v>OK</v>
      </c>
    </row>
    <row r="470" spans="1:16" x14ac:dyDescent="0.35">
      <c r="A470" t="s">
        <v>775</v>
      </c>
      <c r="B470" s="3">
        <v>45643</v>
      </c>
      <c r="C470" t="s">
        <v>24</v>
      </c>
      <c r="D470" t="s">
        <v>57</v>
      </c>
      <c r="E470" t="s">
        <v>160</v>
      </c>
      <c r="F470" t="s">
        <v>35</v>
      </c>
      <c r="G470" t="s">
        <v>83</v>
      </c>
      <c r="H470">
        <v>3</v>
      </c>
      <c r="I470">
        <v>166.1</v>
      </c>
      <c r="J470">
        <v>0.05</v>
      </c>
      <c r="K470">
        <v>473.38</v>
      </c>
      <c r="M470" t="str">
        <f t="shared" si="28"/>
        <v>Dec</v>
      </c>
      <c r="N470">
        <f t="shared" si="29"/>
        <v>12</v>
      </c>
      <c r="O470">
        <f t="shared" si="30"/>
        <v>473.38499999999993</v>
      </c>
      <c r="P470" t="str">
        <f t="shared" si="31"/>
        <v>MISMATCH</v>
      </c>
    </row>
    <row r="471" spans="1:16" x14ac:dyDescent="0.35">
      <c r="A471" t="s">
        <v>777</v>
      </c>
      <c r="B471" s="3">
        <v>45475</v>
      </c>
      <c r="C471" t="s">
        <v>33</v>
      </c>
      <c r="D471" t="s">
        <v>19</v>
      </c>
      <c r="E471" t="s">
        <v>43</v>
      </c>
      <c r="F471" t="s">
        <v>15</v>
      </c>
      <c r="G471" t="s">
        <v>16</v>
      </c>
      <c r="H471">
        <v>4</v>
      </c>
      <c r="I471">
        <v>91.33</v>
      </c>
      <c r="J471">
        <v>0</v>
      </c>
      <c r="K471">
        <v>365.32</v>
      </c>
      <c r="M471" t="str">
        <f t="shared" si="28"/>
        <v>Jul</v>
      </c>
      <c r="N471">
        <f t="shared" si="29"/>
        <v>7</v>
      </c>
      <c r="O471">
        <f t="shared" si="30"/>
        <v>365.32</v>
      </c>
      <c r="P471" t="str">
        <f t="shared" si="31"/>
        <v>OK</v>
      </c>
    </row>
    <row r="472" spans="1:16" x14ac:dyDescent="0.35">
      <c r="A472" t="s">
        <v>778</v>
      </c>
      <c r="B472" s="3">
        <v>45431</v>
      </c>
      <c r="C472" t="s">
        <v>65</v>
      </c>
      <c r="D472" t="s">
        <v>42</v>
      </c>
      <c r="E472" t="s">
        <v>171</v>
      </c>
      <c r="F472" t="s">
        <v>53</v>
      </c>
      <c r="G472" t="s">
        <v>63</v>
      </c>
      <c r="H472">
        <v>1</v>
      </c>
      <c r="I472">
        <v>51.01</v>
      </c>
      <c r="J472">
        <v>0</v>
      </c>
      <c r="K472">
        <v>51.01</v>
      </c>
      <c r="M472" t="str">
        <f t="shared" si="28"/>
        <v>May</v>
      </c>
      <c r="N472">
        <f t="shared" si="29"/>
        <v>5</v>
      </c>
      <c r="O472">
        <f t="shared" si="30"/>
        <v>51.01</v>
      </c>
      <c r="P472" t="str">
        <f t="shared" si="31"/>
        <v>OK</v>
      </c>
    </row>
    <row r="473" spans="1:16" x14ac:dyDescent="0.35">
      <c r="A473" t="s">
        <v>779</v>
      </c>
      <c r="B473" s="3">
        <v>45375</v>
      </c>
      <c r="C473" t="s">
        <v>18</v>
      </c>
      <c r="D473" t="s">
        <v>57</v>
      </c>
      <c r="E473" t="s">
        <v>468</v>
      </c>
      <c r="F473" t="s">
        <v>21</v>
      </c>
      <c r="G473" t="s">
        <v>70</v>
      </c>
      <c r="H473">
        <v>8</v>
      </c>
      <c r="I473">
        <v>34.49</v>
      </c>
      <c r="J473">
        <v>0.15</v>
      </c>
      <c r="K473">
        <v>234.53</v>
      </c>
      <c r="M473" t="str">
        <f t="shared" si="28"/>
        <v>Mar</v>
      </c>
      <c r="N473">
        <f t="shared" si="29"/>
        <v>3</v>
      </c>
      <c r="O473">
        <f t="shared" si="30"/>
        <v>234.53200000000001</v>
      </c>
      <c r="P473" t="str">
        <f t="shared" si="31"/>
        <v>OK</v>
      </c>
    </row>
    <row r="474" spans="1:16" x14ac:dyDescent="0.35">
      <c r="A474" t="s">
        <v>781</v>
      </c>
      <c r="B474" s="3">
        <v>45436</v>
      </c>
      <c r="C474" t="s">
        <v>65</v>
      </c>
      <c r="D474" t="s">
        <v>25</v>
      </c>
      <c r="E474" t="s">
        <v>526</v>
      </c>
      <c r="F474" t="s">
        <v>44</v>
      </c>
      <c r="G474" t="s">
        <v>50</v>
      </c>
      <c r="H474">
        <v>6</v>
      </c>
      <c r="I474">
        <v>105.4</v>
      </c>
      <c r="J474">
        <v>0</v>
      </c>
      <c r="K474">
        <v>632.4</v>
      </c>
      <c r="M474" t="str">
        <f t="shared" si="28"/>
        <v>May</v>
      </c>
      <c r="N474">
        <f t="shared" si="29"/>
        <v>5</v>
      </c>
      <c r="O474">
        <f t="shared" si="30"/>
        <v>632.40000000000009</v>
      </c>
      <c r="P474" t="str">
        <f t="shared" si="31"/>
        <v>OK</v>
      </c>
    </row>
    <row r="475" spans="1:16" x14ac:dyDescent="0.35">
      <c r="A475" t="s">
        <v>782</v>
      </c>
      <c r="B475" s="3">
        <v>45360</v>
      </c>
      <c r="C475" t="s">
        <v>24</v>
      </c>
      <c r="D475" t="s">
        <v>57</v>
      </c>
      <c r="E475" t="s">
        <v>693</v>
      </c>
      <c r="F475" t="s">
        <v>44</v>
      </c>
      <c r="G475" t="s">
        <v>50</v>
      </c>
      <c r="H475">
        <v>12</v>
      </c>
      <c r="I475">
        <v>50.91</v>
      </c>
      <c r="J475">
        <v>0</v>
      </c>
      <c r="K475">
        <v>610.91999999999996</v>
      </c>
      <c r="M475" t="str">
        <f t="shared" si="28"/>
        <v>Mar</v>
      </c>
      <c r="N475">
        <f t="shared" si="29"/>
        <v>3</v>
      </c>
      <c r="O475">
        <f t="shared" si="30"/>
        <v>610.91999999999996</v>
      </c>
      <c r="P475" t="str">
        <f t="shared" si="31"/>
        <v>OK</v>
      </c>
    </row>
    <row r="476" spans="1:16" x14ac:dyDescent="0.35">
      <c r="A476" t="s">
        <v>783</v>
      </c>
      <c r="B476" s="3">
        <v>45404</v>
      </c>
      <c r="C476" t="s">
        <v>18</v>
      </c>
      <c r="D476" t="s">
        <v>13</v>
      </c>
      <c r="E476" t="s">
        <v>39</v>
      </c>
      <c r="F476" t="s">
        <v>44</v>
      </c>
      <c r="G476" t="s">
        <v>86</v>
      </c>
      <c r="H476">
        <v>2</v>
      </c>
      <c r="I476">
        <v>80.39</v>
      </c>
      <c r="J476">
        <v>0</v>
      </c>
      <c r="K476">
        <v>160.78</v>
      </c>
      <c r="M476" t="str">
        <f t="shared" si="28"/>
        <v>Apr</v>
      </c>
      <c r="N476">
        <f t="shared" si="29"/>
        <v>4</v>
      </c>
      <c r="O476">
        <f t="shared" si="30"/>
        <v>160.78</v>
      </c>
      <c r="P476" t="str">
        <f t="shared" si="31"/>
        <v>OK</v>
      </c>
    </row>
    <row r="477" spans="1:16" x14ac:dyDescent="0.35">
      <c r="A477" t="s">
        <v>785</v>
      </c>
      <c r="B477" s="3">
        <v>45536</v>
      </c>
      <c r="C477" t="s">
        <v>65</v>
      </c>
      <c r="D477" t="s">
        <v>19</v>
      </c>
      <c r="E477" t="s">
        <v>171</v>
      </c>
      <c r="F477" t="s">
        <v>44</v>
      </c>
      <c r="G477" t="s">
        <v>45</v>
      </c>
      <c r="H477">
        <v>1</v>
      </c>
      <c r="I477">
        <v>35.81</v>
      </c>
      <c r="J477">
        <v>0</v>
      </c>
      <c r="K477">
        <v>35.81</v>
      </c>
      <c r="M477" t="str">
        <f t="shared" si="28"/>
        <v>Sep</v>
      </c>
      <c r="N477">
        <f t="shared" si="29"/>
        <v>9</v>
      </c>
      <c r="O477">
        <f t="shared" si="30"/>
        <v>35.81</v>
      </c>
      <c r="P477" t="str">
        <f t="shared" si="31"/>
        <v>OK</v>
      </c>
    </row>
    <row r="478" spans="1:16" x14ac:dyDescent="0.35">
      <c r="A478" t="s">
        <v>786</v>
      </c>
      <c r="B478" s="3">
        <v>45337</v>
      </c>
      <c r="C478" t="s">
        <v>24</v>
      </c>
      <c r="D478" t="s">
        <v>19</v>
      </c>
      <c r="E478" t="s">
        <v>679</v>
      </c>
      <c r="F478" t="s">
        <v>44</v>
      </c>
      <c r="G478" t="s">
        <v>50</v>
      </c>
      <c r="H478">
        <v>2</v>
      </c>
      <c r="I478">
        <v>43.64</v>
      </c>
      <c r="J478">
        <v>0.15</v>
      </c>
      <c r="K478">
        <v>74.19</v>
      </c>
      <c r="M478" t="str">
        <f t="shared" si="28"/>
        <v>Feb</v>
      </c>
      <c r="N478">
        <f t="shared" si="29"/>
        <v>2</v>
      </c>
      <c r="O478">
        <f t="shared" si="30"/>
        <v>74.188000000000002</v>
      </c>
      <c r="P478" t="str">
        <f t="shared" si="31"/>
        <v>OK</v>
      </c>
    </row>
    <row r="479" spans="1:16" x14ac:dyDescent="0.35">
      <c r="A479" t="s">
        <v>787</v>
      </c>
      <c r="B479" s="3">
        <v>45652</v>
      </c>
      <c r="C479" t="s">
        <v>18</v>
      </c>
      <c r="D479" t="s">
        <v>42</v>
      </c>
      <c r="E479" t="s">
        <v>189</v>
      </c>
      <c r="F479" t="s">
        <v>53</v>
      </c>
      <c r="G479" t="s">
        <v>63</v>
      </c>
      <c r="H479">
        <v>4</v>
      </c>
      <c r="I479">
        <v>246.62</v>
      </c>
      <c r="J479">
        <v>0.15</v>
      </c>
      <c r="K479">
        <v>838.51</v>
      </c>
      <c r="M479" t="str">
        <f t="shared" si="28"/>
        <v>Dec</v>
      </c>
      <c r="N479">
        <f t="shared" si="29"/>
        <v>12</v>
      </c>
      <c r="O479">
        <f t="shared" si="30"/>
        <v>838.50800000000004</v>
      </c>
      <c r="P479" t="str">
        <f t="shared" si="31"/>
        <v>OK</v>
      </c>
    </row>
    <row r="480" spans="1:16" x14ac:dyDescent="0.35">
      <c r="A480" t="s">
        <v>788</v>
      </c>
      <c r="B480" s="3">
        <v>45363</v>
      </c>
      <c r="C480" t="s">
        <v>65</v>
      </c>
      <c r="D480" t="s">
        <v>57</v>
      </c>
      <c r="E480" t="s">
        <v>166</v>
      </c>
      <c r="F480" t="s">
        <v>21</v>
      </c>
      <c r="G480" t="s">
        <v>129</v>
      </c>
      <c r="H480">
        <v>11</v>
      </c>
      <c r="I480">
        <v>98.46</v>
      </c>
      <c r="J480">
        <v>0</v>
      </c>
      <c r="K480">
        <v>1083.06</v>
      </c>
      <c r="M480" t="str">
        <f t="shared" si="28"/>
        <v>Mar</v>
      </c>
      <c r="N480">
        <f t="shared" si="29"/>
        <v>3</v>
      </c>
      <c r="O480">
        <f t="shared" si="30"/>
        <v>1083.06</v>
      </c>
      <c r="P480" t="str">
        <f t="shared" si="31"/>
        <v>OK</v>
      </c>
    </row>
    <row r="481" spans="1:16" x14ac:dyDescent="0.35">
      <c r="A481" t="s">
        <v>789</v>
      </c>
      <c r="B481" s="3">
        <v>45401</v>
      </c>
      <c r="C481" t="s">
        <v>65</v>
      </c>
      <c r="D481" t="s">
        <v>25</v>
      </c>
      <c r="E481" t="s">
        <v>137</v>
      </c>
      <c r="F481" t="s">
        <v>21</v>
      </c>
      <c r="G481" t="s">
        <v>194</v>
      </c>
      <c r="H481">
        <v>4</v>
      </c>
      <c r="I481">
        <v>110.38</v>
      </c>
      <c r="J481">
        <v>0</v>
      </c>
      <c r="K481">
        <v>441.52</v>
      </c>
      <c r="M481" t="str">
        <f t="shared" si="28"/>
        <v>Apr</v>
      </c>
      <c r="N481">
        <f t="shared" si="29"/>
        <v>4</v>
      </c>
      <c r="O481">
        <f t="shared" si="30"/>
        <v>441.52</v>
      </c>
      <c r="P481" t="str">
        <f t="shared" si="31"/>
        <v>OK</v>
      </c>
    </row>
    <row r="482" spans="1:16" x14ac:dyDescent="0.35">
      <c r="A482" t="s">
        <v>790</v>
      </c>
      <c r="B482" s="3">
        <v>45470</v>
      </c>
      <c r="C482" t="s">
        <v>41</v>
      </c>
      <c r="D482" t="s">
        <v>13</v>
      </c>
      <c r="E482" t="s">
        <v>243</v>
      </c>
      <c r="F482" t="s">
        <v>53</v>
      </c>
      <c r="G482" t="s">
        <v>260</v>
      </c>
      <c r="H482">
        <v>12</v>
      </c>
      <c r="I482">
        <v>114.47</v>
      </c>
      <c r="J482">
        <v>0.05</v>
      </c>
      <c r="K482">
        <v>1304.96</v>
      </c>
      <c r="M482" t="str">
        <f t="shared" si="28"/>
        <v>Jun</v>
      </c>
      <c r="N482">
        <f t="shared" si="29"/>
        <v>6</v>
      </c>
      <c r="O482">
        <f t="shared" si="30"/>
        <v>1304.9579999999999</v>
      </c>
      <c r="P482" t="str">
        <f t="shared" si="31"/>
        <v>OK</v>
      </c>
    </row>
    <row r="483" spans="1:16" x14ac:dyDescent="0.35">
      <c r="A483" t="s">
        <v>791</v>
      </c>
      <c r="B483" s="3">
        <v>45399</v>
      </c>
      <c r="C483" t="s">
        <v>41</v>
      </c>
      <c r="D483" t="s">
        <v>13</v>
      </c>
      <c r="E483" t="s">
        <v>246</v>
      </c>
      <c r="F483" t="s">
        <v>44</v>
      </c>
      <c r="G483" t="s">
        <v>94</v>
      </c>
      <c r="H483">
        <v>11</v>
      </c>
      <c r="I483">
        <v>173.22</v>
      </c>
      <c r="J483">
        <v>0</v>
      </c>
      <c r="K483">
        <v>1905.42</v>
      </c>
      <c r="M483" t="str">
        <f t="shared" si="28"/>
        <v>Apr</v>
      </c>
      <c r="N483">
        <f t="shared" si="29"/>
        <v>4</v>
      </c>
      <c r="O483">
        <f t="shared" si="30"/>
        <v>1905.42</v>
      </c>
      <c r="P483" t="str">
        <f t="shared" si="31"/>
        <v>OK</v>
      </c>
    </row>
    <row r="484" spans="1:16" x14ac:dyDescent="0.35">
      <c r="A484" t="s">
        <v>792</v>
      </c>
      <c r="B484" s="3">
        <v>45302</v>
      </c>
      <c r="C484" t="s">
        <v>33</v>
      </c>
      <c r="D484" t="s">
        <v>42</v>
      </c>
      <c r="E484" t="s">
        <v>659</v>
      </c>
      <c r="F484" t="s">
        <v>53</v>
      </c>
      <c r="G484" t="s">
        <v>59</v>
      </c>
      <c r="H484">
        <v>2</v>
      </c>
      <c r="I484">
        <v>143.94999999999999</v>
      </c>
      <c r="J484">
        <v>0</v>
      </c>
      <c r="K484">
        <v>287.89999999999998</v>
      </c>
      <c r="M484" t="str">
        <f t="shared" si="28"/>
        <v>Jan</v>
      </c>
      <c r="N484">
        <f t="shared" si="29"/>
        <v>1</v>
      </c>
      <c r="O484">
        <f t="shared" si="30"/>
        <v>287.89999999999998</v>
      </c>
      <c r="P484" t="str">
        <f t="shared" si="31"/>
        <v>OK</v>
      </c>
    </row>
    <row r="485" spans="1:16" x14ac:dyDescent="0.35">
      <c r="A485" t="s">
        <v>793</v>
      </c>
      <c r="B485" s="3">
        <v>45385</v>
      </c>
      <c r="C485" t="s">
        <v>41</v>
      </c>
      <c r="D485" t="s">
        <v>2216</v>
      </c>
      <c r="E485" t="s">
        <v>474</v>
      </c>
      <c r="F485" t="s">
        <v>53</v>
      </c>
      <c r="G485" t="s">
        <v>63</v>
      </c>
      <c r="H485">
        <v>1</v>
      </c>
      <c r="I485">
        <v>40.020000000000003</v>
      </c>
      <c r="J485">
        <v>0</v>
      </c>
      <c r="K485">
        <v>40.020000000000003</v>
      </c>
      <c r="M485" t="str">
        <f t="shared" si="28"/>
        <v>Apr</v>
      </c>
      <c r="N485">
        <f t="shared" si="29"/>
        <v>4</v>
      </c>
      <c r="O485">
        <f t="shared" si="30"/>
        <v>40.020000000000003</v>
      </c>
      <c r="P485" t="str">
        <f t="shared" si="31"/>
        <v>OK</v>
      </c>
    </row>
    <row r="486" spans="1:16" x14ac:dyDescent="0.35">
      <c r="A486" t="s">
        <v>794</v>
      </c>
      <c r="B486" s="3">
        <v>45469</v>
      </c>
      <c r="C486" t="s">
        <v>33</v>
      </c>
      <c r="D486" t="s">
        <v>13</v>
      </c>
      <c r="E486" t="s">
        <v>193</v>
      </c>
      <c r="F486" t="s">
        <v>35</v>
      </c>
      <c r="G486" t="s">
        <v>67</v>
      </c>
      <c r="H486">
        <v>2</v>
      </c>
      <c r="I486">
        <v>46.13</v>
      </c>
      <c r="J486">
        <v>0.15</v>
      </c>
      <c r="K486">
        <v>78.42</v>
      </c>
      <c r="M486" t="str">
        <f t="shared" si="28"/>
        <v>Jun</v>
      </c>
      <c r="N486">
        <f t="shared" si="29"/>
        <v>6</v>
      </c>
      <c r="O486">
        <f t="shared" si="30"/>
        <v>78.421000000000006</v>
      </c>
      <c r="P486" t="str">
        <f t="shared" si="31"/>
        <v>OK</v>
      </c>
    </row>
    <row r="487" spans="1:16" x14ac:dyDescent="0.35">
      <c r="A487" t="s">
        <v>795</v>
      </c>
      <c r="B487" s="3">
        <v>45449</v>
      </c>
      <c r="C487" t="s">
        <v>18</v>
      </c>
      <c r="D487" t="s">
        <v>42</v>
      </c>
      <c r="E487" t="s">
        <v>683</v>
      </c>
      <c r="F487" t="s">
        <v>15</v>
      </c>
      <c r="G487" t="s">
        <v>27</v>
      </c>
      <c r="H487">
        <v>4</v>
      </c>
      <c r="I487">
        <v>55.27</v>
      </c>
      <c r="J487">
        <v>0.05</v>
      </c>
      <c r="K487">
        <v>210.03</v>
      </c>
      <c r="M487" t="str">
        <f t="shared" si="28"/>
        <v>Jun</v>
      </c>
      <c r="N487">
        <f t="shared" si="29"/>
        <v>6</v>
      </c>
      <c r="O487">
        <f t="shared" si="30"/>
        <v>210.02600000000001</v>
      </c>
      <c r="P487" t="str">
        <f t="shared" si="31"/>
        <v>OK</v>
      </c>
    </row>
    <row r="488" spans="1:16" x14ac:dyDescent="0.35">
      <c r="A488" t="s">
        <v>796</v>
      </c>
      <c r="B488" s="3">
        <v>45621</v>
      </c>
      <c r="C488" t="s">
        <v>33</v>
      </c>
      <c r="D488" t="s">
        <v>57</v>
      </c>
      <c r="E488" t="s">
        <v>110</v>
      </c>
      <c r="F488" t="s">
        <v>35</v>
      </c>
      <c r="G488" t="s">
        <v>134</v>
      </c>
      <c r="H488">
        <v>11</v>
      </c>
      <c r="I488">
        <v>86.45</v>
      </c>
      <c r="J488">
        <v>0</v>
      </c>
      <c r="K488">
        <v>950.95</v>
      </c>
      <c r="M488" t="str">
        <f t="shared" si="28"/>
        <v>Nov</v>
      </c>
      <c r="N488">
        <f t="shared" si="29"/>
        <v>11</v>
      </c>
      <c r="O488">
        <f t="shared" si="30"/>
        <v>950.95</v>
      </c>
      <c r="P488" t="str">
        <f t="shared" si="31"/>
        <v>OK</v>
      </c>
    </row>
    <row r="489" spans="1:16" x14ac:dyDescent="0.35">
      <c r="A489" t="s">
        <v>797</v>
      </c>
      <c r="B489" s="3">
        <v>45625</v>
      </c>
      <c r="C489" t="s">
        <v>18</v>
      </c>
      <c r="D489" t="s">
        <v>19</v>
      </c>
      <c r="E489" t="s">
        <v>288</v>
      </c>
      <c r="F489" t="s">
        <v>21</v>
      </c>
      <c r="G489" t="s">
        <v>129</v>
      </c>
      <c r="H489">
        <v>11</v>
      </c>
      <c r="I489">
        <v>130.75</v>
      </c>
      <c r="J489">
        <v>0</v>
      </c>
      <c r="K489">
        <v>1438.25</v>
      </c>
      <c r="M489" t="str">
        <f t="shared" si="28"/>
        <v>Nov</v>
      </c>
      <c r="N489">
        <f t="shared" si="29"/>
        <v>11</v>
      </c>
      <c r="O489">
        <f t="shared" si="30"/>
        <v>1438.25</v>
      </c>
      <c r="P489" t="str">
        <f t="shared" si="31"/>
        <v>OK</v>
      </c>
    </row>
    <row r="490" spans="1:16" x14ac:dyDescent="0.35">
      <c r="A490" t="s">
        <v>798</v>
      </c>
      <c r="B490" s="3">
        <v>45518</v>
      </c>
      <c r="C490" t="s">
        <v>65</v>
      </c>
      <c r="D490" t="s">
        <v>57</v>
      </c>
      <c r="E490" t="s">
        <v>542</v>
      </c>
      <c r="F490" t="s">
        <v>21</v>
      </c>
      <c r="G490" t="s">
        <v>194</v>
      </c>
      <c r="H490">
        <v>2</v>
      </c>
      <c r="I490">
        <v>129.36000000000001</v>
      </c>
      <c r="J490">
        <v>0</v>
      </c>
      <c r="K490">
        <v>258.72000000000003</v>
      </c>
      <c r="M490" t="str">
        <f t="shared" si="28"/>
        <v>Aug</v>
      </c>
      <c r="N490">
        <f t="shared" si="29"/>
        <v>8</v>
      </c>
      <c r="O490">
        <f t="shared" si="30"/>
        <v>258.72000000000003</v>
      </c>
      <c r="P490" t="str">
        <f t="shared" si="31"/>
        <v>OK</v>
      </c>
    </row>
    <row r="491" spans="1:16" x14ac:dyDescent="0.35">
      <c r="A491" t="s">
        <v>799</v>
      </c>
      <c r="B491" s="3">
        <v>45400</v>
      </c>
      <c r="C491" t="s">
        <v>41</v>
      </c>
      <c r="D491" t="s">
        <v>57</v>
      </c>
      <c r="E491" t="s">
        <v>150</v>
      </c>
      <c r="F491" t="s">
        <v>53</v>
      </c>
      <c r="G491" t="s">
        <v>59</v>
      </c>
      <c r="H491">
        <v>9</v>
      </c>
      <c r="I491">
        <v>235.32</v>
      </c>
      <c r="J491">
        <v>0</v>
      </c>
      <c r="K491">
        <v>2117.88</v>
      </c>
      <c r="M491" t="str">
        <f t="shared" si="28"/>
        <v>Apr</v>
      </c>
      <c r="N491">
        <f t="shared" si="29"/>
        <v>4</v>
      </c>
      <c r="O491">
        <f t="shared" si="30"/>
        <v>2117.88</v>
      </c>
      <c r="P491" t="str">
        <f t="shared" si="31"/>
        <v>OK</v>
      </c>
    </row>
    <row r="492" spans="1:16" x14ac:dyDescent="0.35">
      <c r="A492" t="s">
        <v>800</v>
      </c>
      <c r="B492" s="3">
        <v>45353</v>
      </c>
      <c r="C492" t="s">
        <v>18</v>
      </c>
      <c r="D492" t="s">
        <v>13</v>
      </c>
      <c r="E492" t="s">
        <v>460</v>
      </c>
      <c r="F492" t="s">
        <v>21</v>
      </c>
      <c r="G492" t="s">
        <v>129</v>
      </c>
      <c r="H492">
        <v>9</v>
      </c>
      <c r="I492">
        <v>69.53</v>
      </c>
      <c r="J492">
        <v>0.15</v>
      </c>
      <c r="K492">
        <v>531.9</v>
      </c>
      <c r="M492" t="str">
        <f t="shared" si="28"/>
        <v>Mar</v>
      </c>
      <c r="N492">
        <f t="shared" si="29"/>
        <v>3</v>
      </c>
      <c r="O492">
        <f t="shared" si="30"/>
        <v>531.90449999999998</v>
      </c>
      <c r="P492" t="str">
        <f t="shared" si="31"/>
        <v>OK</v>
      </c>
    </row>
    <row r="493" spans="1:16" x14ac:dyDescent="0.35">
      <c r="A493" t="s">
        <v>801</v>
      </c>
      <c r="B493" s="3">
        <v>45450</v>
      </c>
      <c r="C493" t="s">
        <v>65</v>
      </c>
      <c r="D493" t="s">
        <v>13</v>
      </c>
      <c r="E493" t="s">
        <v>439</v>
      </c>
      <c r="F493" t="s">
        <v>53</v>
      </c>
      <c r="G493" t="s">
        <v>54</v>
      </c>
      <c r="H493">
        <v>11</v>
      </c>
      <c r="I493">
        <v>205.38</v>
      </c>
      <c r="J493">
        <v>0.05</v>
      </c>
      <c r="K493">
        <v>2146.2199999999998</v>
      </c>
      <c r="M493" t="str">
        <f t="shared" si="28"/>
        <v>Jun</v>
      </c>
      <c r="N493">
        <f t="shared" si="29"/>
        <v>6</v>
      </c>
      <c r="O493">
        <f t="shared" si="30"/>
        <v>2146.2209999999995</v>
      </c>
      <c r="P493" t="str">
        <f t="shared" si="31"/>
        <v>OK</v>
      </c>
    </row>
    <row r="494" spans="1:16" x14ac:dyDescent="0.35">
      <c r="A494" t="s">
        <v>802</v>
      </c>
      <c r="B494" s="3">
        <v>45301</v>
      </c>
      <c r="C494" t="s">
        <v>18</v>
      </c>
      <c r="D494" t="s">
        <v>42</v>
      </c>
      <c r="E494" t="s">
        <v>176</v>
      </c>
      <c r="F494" t="s">
        <v>53</v>
      </c>
      <c r="G494" t="s">
        <v>260</v>
      </c>
      <c r="H494">
        <v>11</v>
      </c>
      <c r="I494">
        <v>41.47</v>
      </c>
      <c r="J494">
        <v>0</v>
      </c>
      <c r="K494">
        <v>456.17</v>
      </c>
      <c r="M494" t="str">
        <f t="shared" si="28"/>
        <v>Jan</v>
      </c>
      <c r="N494">
        <f t="shared" si="29"/>
        <v>1</v>
      </c>
      <c r="O494">
        <f t="shared" si="30"/>
        <v>456.16999999999996</v>
      </c>
      <c r="P494" t="str">
        <f t="shared" si="31"/>
        <v>OK</v>
      </c>
    </row>
    <row r="495" spans="1:16" x14ac:dyDescent="0.35">
      <c r="A495" t="s">
        <v>803</v>
      </c>
      <c r="B495" s="3">
        <v>45560</v>
      </c>
      <c r="C495" t="s">
        <v>24</v>
      </c>
      <c r="D495" t="s">
        <v>13</v>
      </c>
      <c r="E495" t="s">
        <v>176</v>
      </c>
      <c r="F495" t="s">
        <v>53</v>
      </c>
      <c r="G495" t="s">
        <v>260</v>
      </c>
      <c r="H495">
        <v>2</v>
      </c>
      <c r="I495">
        <v>189.97</v>
      </c>
      <c r="J495">
        <v>0</v>
      </c>
      <c r="K495">
        <v>379.94</v>
      </c>
      <c r="M495" t="str">
        <f t="shared" si="28"/>
        <v>Sep</v>
      </c>
      <c r="N495">
        <f t="shared" si="29"/>
        <v>9</v>
      </c>
      <c r="O495">
        <f t="shared" si="30"/>
        <v>379.94</v>
      </c>
      <c r="P495" t="str">
        <f t="shared" si="31"/>
        <v>OK</v>
      </c>
    </row>
    <row r="496" spans="1:16" x14ac:dyDescent="0.35">
      <c r="A496" t="s">
        <v>805</v>
      </c>
      <c r="B496" s="3">
        <v>45550</v>
      </c>
      <c r="C496" t="s">
        <v>41</v>
      </c>
      <c r="D496" t="s">
        <v>25</v>
      </c>
      <c r="E496" t="s">
        <v>429</v>
      </c>
      <c r="F496" t="s">
        <v>35</v>
      </c>
      <c r="G496" t="s">
        <v>67</v>
      </c>
      <c r="H496">
        <v>8</v>
      </c>
      <c r="I496">
        <v>105.24</v>
      </c>
      <c r="J496">
        <v>0.05</v>
      </c>
      <c r="K496">
        <v>799.82</v>
      </c>
      <c r="M496" t="str">
        <f t="shared" si="28"/>
        <v>Sep</v>
      </c>
      <c r="N496">
        <f t="shared" si="29"/>
        <v>9</v>
      </c>
      <c r="O496">
        <f t="shared" si="30"/>
        <v>799.82399999999996</v>
      </c>
      <c r="P496" t="str">
        <f t="shared" si="31"/>
        <v>OK</v>
      </c>
    </row>
    <row r="497" spans="1:16" x14ac:dyDescent="0.35">
      <c r="A497" t="s">
        <v>806</v>
      </c>
      <c r="B497" s="3">
        <v>45376</v>
      </c>
      <c r="C497" t="s">
        <v>24</v>
      </c>
      <c r="D497" t="s">
        <v>13</v>
      </c>
      <c r="E497" t="s">
        <v>124</v>
      </c>
      <c r="F497" t="s">
        <v>35</v>
      </c>
      <c r="G497" t="s">
        <v>177</v>
      </c>
      <c r="H497">
        <v>7</v>
      </c>
      <c r="I497">
        <v>7.41</v>
      </c>
      <c r="J497">
        <v>0</v>
      </c>
      <c r="K497">
        <v>51.87</v>
      </c>
      <c r="M497" t="str">
        <f t="shared" si="28"/>
        <v>Mar</v>
      </c>
      <c r="N497">
        <f t="shared" si="29"/>
        <v>3</v>
      </c>
      <c r="O497">
        <f t="shared" si="30"/>
        <v>51.870000000000005</v>
      </c>
      <c r="P497" t="str">
        <f t="shared" si="31"/>
        <v>OK</v>
      </c>
    </row>
    <row r="498" spans="1:16" x14ac:dyDescent="0.35">
      <c r="A498" t="s">
        <v>807</v>
      </c>
      <c r="B498" s="3">
        <v>45458</v>
      </c>
      <c r="C498" t="s">
        <v>24</v>
      </c>
      <c r="D498" t="s">
        <v>42</v>
      </c>
      <c r="E498" t="s">
        <v>286</v>
      </c>
      <c r="F498" t="s">
        <v>15</v>
      </c>
      <c r="G498" t="s">
        <v>147</v>
      </c>
      <c r="H498">
        <v>10</v>
      </c>
      <c r="I498">
        <v>160.82</v>
      </c>
      <c r="J498">
        <v>0</v>
      </c>
      <c r="K498">
        <v>1608.2</v>
      </c>
      <c r="M498" t="str">
        <f t="shared" si="28"/>
        <v>Jun</v>
      </c>
      <c r="N498">
        <f t="shared" si="29"/>
        <v>6</v>
      </c>
      <c r="O498">
        <f t="shared" si="30"/>
        <v>1608.1999999999998</v>
      </c>
      <c r="P498" t="str">
        <f t="shared" si="31"/>
        <v>OK</v>
      </c>
    </row>
    <row r="499" spans="1:16" x14ac:dyDescent="0.35">
      <c r="A499" t="s">
        <v>808</v>
      </c>
      <c r="B499" s="3">
        <v>45303</v>
      </c>
      <c r="C499" t="s">
        <v>18</v>
      </c>
      <c r="D499" t="s">
        <v>57</v>
      </c>
      <c r="E499" t="s">
        <v>642</v>
      </c>
      <c r="F499" t="s">
        <v>44</v>
      </c>
      <c r="G499" t="s">
        <v>45</v>
      </c>
      <c r="H499">
        <v>4</v>
      </c>
      <c r="I499">
        <v>110.37</v>
      </c>
      <c r="J499">
        <v>0.05</v>
      </c>
      <c r="K499">
        <v>419.41</v>
      </c>
      <c r="M499" t="str">
        <f t="shared" si="28"/>
        <v>Jan</v>
      </c>
      <c r="N499">
        <f t="shared" si="29"/>
        <v>1</v>
      </c>
      <c r="O499">
        <f t="shared" si="30"/>
        <v>419.40600000000001</v>
      </c>
      <c r="P499" t="str">
        <f t="shared" si="31"/>
        <v>OK</v>
      </c>
    </row>
    <row r="500" spans="1:16" x14ac:dyDescent="0.35">
      <c r="A500" t="s">
        <v>809</v>
      </c>
      <c r="B500" s="3">
        <v>45564</v>
      </c>
      <c r="C500" t="s">
        <v>24</v>
      </c>
      <c r="D500" t="s">
        <v>42</v>
      </c>
      <c r="E500" t="s">
        <v>810</v>
      </c>
      <c r="F500" t="s">
        <v>21</v>
      </c>
      <c r="G500" t="s">
        <v>194</v>
      </c>
      <c r="H500">
        <v>6</v>
      </c>
      <c r="I500">
        <v>118</v>
      </c>
      <c r="J500">
        <v>0.15</v>
      </c>
      <c r="K500">
        <v>601.79999999999995</v>
      </c>
      <c r="M500" t="str">
        <f t="shared" si="28"/>
        <v>Sep</v>
      </c>
      <c r="N500">
        <f t="shared" si="29"/>
        <v>9</v>
      </c>
      <c r="O500">
        <f t="shared" si="30"/>
        <v>601.79999999999995</v>
      </c>
      <c r="P500" t="str">
        <f t="shared" si="31"/>
        <v>OK</v>
      </c>
    </row>
    <row r="501" spans="1:16" x14ac:dyDescent="0.35">
      <c r="A501" t="s">
        <v>811</v>
      </c>
      <c r="B501" s="3">
        <v>45611</v>
      </c>
      <c r="C501" t="s">
        <v>18</v>
      </c>
      <c r="D501" t="s">
        <v>25</v>
      </c>
      <c r="E501" t="s">
        <v>477</v>
      </c>
      <c r="F501" t="s">
        <v>44</v>
      </c>
      <c r="G501" t="s">
        <v>94</v>
      </c>
      <c r="H501">
        <v>10</v>
      </c>
      <c r="I501">
        <v>232.14</v>
      </c>
      <c r="J501">
        <v>0.1</v>
      </c>
      <c r="K501">
        <v>2089.2600000000002</v>
      </c>
      <c r="M501" t="str">
        <f t="shared" si="28"/>
        <v>Nov</v>
      </c>
      <c r="N501">
        <f t="shared" si="29"/>
        <v>11</v>
      </c>
      <c r="O501">
        <f t="shared" si="30"/>
        <v>2089.2599999999998</v>
      </c>
      <c r="P501" t="str">
        <f t="shared" si="31"/>
        <v>OK</v>
      </c>
    </row>
    <row r="502" spans="1:16" x14ac:dyDescent="0.35">
      <c r="A502" t="s">
        <v>812</v>
      </c>
      <c r="B502" s="3">
        <v>45649</v>
      </c>
      <c r="C502" t="s">
        <v>41</v>
      </c>
      <c r="D502" t="s">
        <v>57</v>
      </c>
      <c r="E502" t="s">
        <v>82</v>
      </c>
      <c r="F502" t="s">
        <v>44</v>
      </c>
      <c r="G502" t="s">
        <v>86</v>
      </c>
      <c r="H502">
        <v>11</v>
      </c>
      <c r="I502">
        <v>97.52</v>
      </c>
      <c r="J502">
        <v>0.1</v>
      </c>
      <c r="K502">
        <v>965.45</v>
      </c>
      <c r="M502" t="str">
        <f t="shared" si="28"/>
        <v>Dec</v>
      </c>
      <c r="N502">
        <f t="shared" si="29"/>
        <v>12</v>
      </c>
      <c r="O502">
        <f t="shared" si="30"/>
        <v>965.44800000000009</v>
      </c>
      <c r="P502" t="str">
        <f t="shared" si="31"/>
        <v>OK</v>
      </c>
    </row>
    <row r="503" spans="1:16" x14ac:dyDescent="0.35">
      <c r="A503" t="s">
        <v>814</v>
      </c>
      <c r="B503" s="3">
        <v>45620</v>
      </c>
      <c r="C503" t="s">
        <v>24</v>
      </c>
      <c r="D503" t="s">
        <v>13</v>
      </c>
      <c r="E503" t="s">
        <v>139</v>
      </c>
      <c r="F503" t="s">
        <v>35</v>
      </c>
      <c r="G503" t="s">
        <v>177</v>
      </c>
      <c r="H503">
        <v>12</v>
      </c>
      <c r="I503">
        <v>215.74</v>
      </c>
      <c r="J503">
        <v>0.1</v>
      </c>
      <c r="K503">
        <v>2329.9899999999998</v>
      </c>
      <c r="M503" t="str">
        <f t="shared" si="28"/>
        <v>Nov</v>
      </c>
      <c r="N503">
        <f t="shared" si="29"/>
        <v>11</v>
      </c>
      <c r="O503">
        <f t="shared" si="30"/>
        <v>2329.9920000000002</v>
      </c>
      <c r="P503" t="str">
        <f t="shared" si="31"/>
        <v>OK</v>
      </c>
    </row>
    <row r="504" spans="1:16" x14ac:dyDescent="0.35">
      <c r="A504" t="s">
        <v>815</v>
      </c>
      <c r="B504" s="3">
        <v>45571</v>
      </c>
      <c r="C504" t="s">
        <v>41</v>
      </c>
      <c r="D504" t="s">
        <v>25</v>
      </c>
      <c r="E504" t="s">
        <v>445</v>
      </c>
      <c r="F504" t="s">
        <v>15</v>
      </c>
      <c r="G504" t="s">
        <v>27</v>
      </c>
      <c r="H504">
        <v>4</v>
      </c>
      <c r="I504">
        <v>197.54</v>
      </c>
      <c r="J504">
        <v>0</v>
      </c>
      <c r="K504">
        <v>790.16</v>
      </c>
      <c r="M504" t="str">
        <f t="shared" si="28"/>
        <v>Oct</v>
      </c>
      <c r="N504">
        <f t="shared" si="29"/>
        <v>10</v>
      </c>
      <c r="O504">
        <f t="shared" si="30"/>
        <v>790.16</v>
      </c>
      <c r="P504" t="str">
        <f t="shared" si="31"/>
        <v>OK</v>
      </c>
    </row>
    <row r="505" spans="1:16" x14ac:dyDescent="0.35">
      <c r="A505" t="s">
        <v>816</v>
      </c>
      <c r="B505" s="3">
        <v>45621</v>
      </c>
      <c r="C505" t="s">
        <v>18</v>
      </c>
      <c r="D505" t="s">
        <v>19</v>
      </c>
      <c r="E505" t="s">
        <v>508</v>
      </c>
      <c r="F505" t="s">
        <v>35</v>
      </c>
      <c r="G505" t="s">
        <v>83</v>
      </c>
      <c r="H505">
        <v>6</v>
      </c>
      <c r="I505">
        <v>197.52</v>
      </c>
      <c r="J505">
        <v>0.15</v>
      </c>
      <c r="K505">
        <v>1007.35</v>
      </c>
      <c r="M505" t="str">
        <f t="shared" si="28"/>
        <v>Nov</v>
      </c>
      <c r="N505">
        <f t="shared" si="29"/>
        <v>11</v>
      </c>
      <c r="O505">
        <f t="shared" si="30"/>
        <v>1007.3520000000001</v>
      </c>
      <c r="P505" t="str">
        <f t="shared" si="31"/>
        <v>OK</v>
      </c>
    </row>
    <row r="506" spans="1:16" x14ac:dyDescent="0.35">
      <c r="A506" t="s">
        <v>817</v>
      </c>
      <c r="B506" s="3">
        <v>45557</v>
      </c>
      <c r="C506" t="s">
        <v>18</v>
      </c>
      <c r="D506" t="s">
        <v>19</v>
      </c>
      <c r="E506" t="s">
        <v>20</v>
      </c>
      <c r="F506" t="s">
        <v>15</v>
      </c>
      <c r="G506" t="s">
        <v>74</v>
      </c>
      <c r="H506">
        <v>12</v>
      </c>
      <c r="I506">
        <v>201.28</v>
      </c>
      <c r="J506">
        <v>0.05</v>
      </c>
      <c r="K506">
        <v>2294.59</v>
      </c>
      <c r="M506" t="str">
        <f t="shared" si="28"/>
        <v>Sep</v>
      </c>
      <c r="N506">
        <f t="shared" si="29"/>
        <v>9</v>
      </c>
      <c r="O506">
        <f t="shared" si="30"/>
        <v>2294.5920000000001</v>
      </c>
      <c r="P506" t="str">
        <f t="shared" si="31"/>
        <v>OK</v>
      </c>
    </row>
    <row r="507" spans="1:16" x14ac:dyDescent="0.35">
      <c r="A507" t="s">
        <v>818</v>
      </c>
      <c r="B507" s="3">
        <v>45358</v>
      </c>
      <c r="C507" t="s">
        <v>33</v>
      </c>
      <c r="D507" t="s">
        <v>25</v>
      </c>
      <c r="E507" t="s">
        <v>155</v>
      </c>
      <c r="F507" t="s">
        <v>15</v>
      </c>
      <c r="G507" t="s">
        <v>147</v>
      </c>
      <c r="H507">
        <v>11</v>
      </c>
      <c r="I507">
        <v>198.13</v>
      </c>
      <c r="J507">
        <v>0</v>
      </c>
      <c r="K507">
        <v>2179.4299999999998</v>
      </c>
      <c r="M507" t="str">
        <f t="shared" si="28"/>
        <v>Mar</v>
      </c>
      <c r="N507">
        <f t="shared" si="29"/>
        <v>3</v>
      </c>
      <c r="O507">
        <f t="shared" si="30"/>
        <v>2179.4299999999998</v>
      </c>
      <c r="P507" t="str">
        <f t="shared" si="31"/>
        <v>OK</v>
      </c>
    </row>
    <row r="508" spans="1:16" x14ac:dyDescent="0.35">
      <c r="A508" t="s">
        <v>819</v>
      </c>
      <c r="B508" s="3">
        <v>45626</v>
      </c>
      <c r="C508" t="s">
        <v>18</v>
      </c>
      <c r="D508" t="s">
        <v>42</v>
      </c>
      <c r="E508" t="s">
        <v>155</v>
      </c>
      <c r="F508" t="s">
        <v>44</v>
      </c>
      <c r="G508" t="s">
        <v>107</v>
      </c>
      <c r="H508">
        <v>5</v>
      </c>
      <c r="I508">
        <v>196.04</v>
      </c>
      <c r="J508">
        <v>0</v>
      </c>
      <c r="K508">
        <v>980.2</v>
      </c>
      <c r="M508" t="str">
        <f t="shared" si="28"/>
        <v>Nov</v>
      </c>
      <c r="N508">
        <f t="shared" si="29"/>
        <v>11</v>
      </c>
      <c r="O508">
        <f t="shared" si="30"/>
        <v>980.19999999999993</v>
      </c>
      <c r="P508" t="str">
        <f t="shared" si="31"/>
        <v>OK</v>
      </c>
    </row>
    <row r="509" spans="1:16" x14ac:dyDescent="0.35">
      <c r="A509" t="s">
        <v>820</v>
      </c>
      <c r="B509" s="3">
        <v>45391</v>
      </c>
      <c r="C509" t="s">
        <v>24</v>
      </c>
      <c r="D509" t="s">
        <v>19</v>
      </c>
      <c r="E509" t="s">
        <v>404</v>
      </c>
      <c r="F509" t="s">
        <v>15</v>
      </c>
      <c r="G509" t="s">
        <v>74</v>
      </c>
      <c r="H509">
        <v>3</v>
      </c>
      <c r="I509">
        <v>225.14</v>
      </c>
      <c r="J509">
        <v>0.1</v>
      </c>
      <c r="K509">
        <v>607.88</v>
      </c>
      <c r="M509" t="str">
        <f t="shared" si="28"/>
        <v>Apr</v>
      </c>
      <c r="N509">
        <f t="shared" si="29"/>
        <v>4</v>
      </c>
      <c r="O509">
        <f t="shared" si="30"/>
        <v>607.87799999999993</v>
      </c>
      <c r="P509" t="str">
        <f t="shared" si="31"/>
        <v>OK</v>
      </c>
    </row>
    <row r="510" spans="1:16" x14ac:dyDescent="0.35">
      <c r="A510" t="s">
        <v>821</v>
      </c>
      <c r="B510" s="3">
        <v>45460</v>
      </c>
      <c r="C510" t="s">
        <v>33</v>
      </c>
      <c r="D510" t="s">
        <v>19</v>
      </c>
      <c r="E510" t="s">
        <v>521</v>
      </c>
      <c r="F510" t="s">
        <v>53</v>
      </c>
      <c r="G510" t="s">
        <v>125</v>
      </c>
      <c r="H510">
        <v>12</v>
      </c>
      <c r="I510">
        <v>202.43</v>
      </c>
      <c r="J510">
        <v>0</v>
      </c>
      <c r="K510">
        <v>2429.16</v>
      </c>
      <c r="M510" t="str">
        <f t="shared" si="28"/>
        <v>Jun</v>
      </c>
      <c r="N510">
        <f t="shared" si="29"/>
        <v>6</v>
      </c>
      <c r="O510">
        <f t="shared" si="30"/>
        <v>2429.16</v>
      </c>
      <c r="P510" t="str">
        <f t="shared" si="31"/>
        <v>OK</v>
      </c>
    </row>
    <row r="511" spans="1:16" x14ac:dyDescent="0.35">
      <c r="A511" t="s">
        <v>822</v>
      </c>
      <c r="B511" s="3">
        <v>45294</v>
      </c>
      <c r="C511" t="s">
        <v>24</v>
      </c>
      <c r="D511" t="s">
        <v>57</v>
      </c>
      <c r="E511" t="s">
        <v>131</v>
      </c>
      <c r="F511" t="s">
        <v>53</v>
      </c>
      <c r="G511" t="s">
        <v>54</v>
      </c>
      <c r="H511">
        <v>11</v>
      </c>
      <c r="I511">
        <v>233.42</v>
      </c>
      <c r="J511">
        <v>0.1</v>
      </c>
      <c r="K511">
        <v>2310.86</v>
      </c>
      <c r="M511" t="str">
        <f t="shared" si="28"/>
        <v>Jan</v>
      </c>
      <c r="N511">
        <f t="shared" si="29"/>
        <v>1</v>
      </c>
      <c r="O511">
        <f t="shared" si="30"/>
        <v>2310.8580000000002</v>
      </c>
      <c r="P511" t="str">
        <f t="shared" si="31"/>
        <v>OK</v>
      </c>
    </row>
    <row r="512" spans="1:16" x14ac:dyDescent="0.35">
      <c r="A512" t="s">
        <v>823</v>
      </c>
      <c r="B512" s="3">
        <v>45618</v>
      </c>
      <c r="C512" t="s">
        <v>65</v>
      </c>
      <c r="D512" t="s">
        <v>42</v>
      </c>
      <c r="E512" t="s">
        <v>420</v>
      </c>
      <c r="F512" t="s">
        <v>35</v>
      </c>
      <c r="G512" t="s">
        <v>134</v>
      </c>
      <c r="H512">
        <v>4</v>
      </c>
      <c r="I512">
        <v>31.54</v>
      </c>
      <c r="J512">
        <v>0.05</v>
      </c>
      <c r="K512">
        <v>119.85</v>
      </c>
      <c r="M512" t="str">
        <f t="shared" si="28"/>
        <v>Nov</v>
      </c>
      <c r="N512">
        <f t="shared" si="29"/>
        <v>11</v>
      </c>
      <c r="O512">
        <f t="shared" si="30"/>
        <v>119.85199999999999</v>
      </c>
      <c r="P512" t="str">
        <f t="shared" si="31"/>
        <v>OK</v>
      </c>
    </row>
    <row r="513" spans="1:16" x14ac:dyDescent="0.35">
      <c r="A513" t="s">
        <v>824</v>
      </c>
      <c r="B513" s="3">
        <v>45599</v>
      </c>
      <c r="C513" t="s">
        <v>41</v>
      </c>
      <c r="D513" t="s">
        <v>13</v>
      </c>
      <c r="E513" t="s">
        <v>825</v>
      </c>
      <c r="F513" t="s">
        <v>35</v>
      </c>
      <c r="G513" t="s">
        <v>36</v>
      </c>
      <c r="H513">
        <v>4</v>
      </c>
      <c r="I513">
        <v>149.84</v>
      </c>
      <c r="J513">
        <v>0.1</v>
      </c>
      <c r="K513">
        <v>539.41999999999996</v>
      </c>
      <c r="M513" t="str">
        <f t="shared" si="28"/>
        <v>Nov</v>
      </c>
      <c r="N513">
        <f t="shared" si="29"/>
        <v>11</v>
      </c>
      <c r="O513">
        <f t="shared" si="30"/>
        <v>539.42399999999998</v>
      </c>
      <c r="P513" t="str">
        <f t="shared" si="31"/>
        <v>OK</v>
      </c>
    </row>
    <row r="514" spans="1:16" x14ac:dyDescent="0.35">
      <c r="A514" t="s">
        <v>826</v>
      </c>
      <c r="B514" s="3">
        <v>45451</v>
      </c>
      <c r="C514" t="s">
        <v>24</v>
      </c>
      <c r="D514" t="s">
        <v>42</v>
      </c>
      <c r="E514" t="s">
        <v>468</v>
      </c>
      <c r="F514" t="s">
        <v>15</v>
      </c>
      <c r="G514" t="s">
        <v>27</v>
      </c>
      <c r="H514">
        <v>2</v>
      </c>
      <c r="I514">
        <v>90.09</v>
      </c>
      <c r="J514">
        <v>0.15</v>
      </c>
      <c r="K514">
        <v>153.15</v>
      </c>
      <c r="M514" t="str">
        <f t="shared" si="28"/>
        <v>Jun</v>
      </c>
      <c r="N514">
        <f t="shared" si="29"/>
        <v>6</v>
      </c>
      <c r="O514">
        <f t="shared" si="30"/>
        <v>153.15299999999999</v>
      </c>
      <c r="P514" t="str">
        <f t="shared" si="31"/>
        <v>OK</v>
      </c>
    </row>
    <row r="515" spans="1:16" x14ac:dyDescent="0.35">
      <c r="A515" t="s">
        <v>827</v>
      </c>
      <c r="B515" s="3">
        <v>45355</v>
      </c>
      <c r="C515" t="s">
        <v>24</v>
      </c>
      <c r="D515" t="s">
        <v>25</v>
      </c>
      <c r="E515" t="s">
        <v>201</v>
      </c>
      <c r="F515" t="s">
        <v>35</v>
      </c>
      <c r="G515" t="s">
        <v>134</v>
      </c>
      <c r="H515">
        <v>3</v>
      </c>
      <c r="I515">
        <v>25.55</v>
      </c>
      <c r="J515">
        <v>0</v>
      </c>
      <c r="K515">
        <v>76.650000000000006</v>
      </c>
      <c r="M515" t="str">
        <f t="shared" ref="M515:M578" si="32">TEXT(B515,"mmm")</f>
        <v>Mar</v>
      </c>
      <c r="N515">
        <f t="shared" ref="N515:N578" si="33">MONTH(B515)</f>
        <v>3</v>
      </c>
      <c r="O515">
        <f t="shared" ref="O515:O578" si="34">H515*I515*(1-J515)</f>
        <v>76.650000000000006</v>
      </c>
      <c r="P515" t="str">
        <f t="shared" ref="P515:P578" si="35">IF(ROUND(K515,2)=ROUND(O515,2),"OK","MISMATCH")</f>
        <v>OK</v>
      </c>
    </row>
    <row r="516" spans="1:16" x14ac:dyDescent="0.35">
      <c r="A516" t="s">
        <v>828</v>
      </c>
      <c r="B516" s="3">
        <v>45611</v>
      </c>
      <c r="C516" t="s">
        <v>33</v>
      </c>
      <c r="D516" t="s">
        <v>13</v>
      </c>
      <c r="E516" t="s">
        <v>243</v>
      </c>
      <c r="F516" t="s">
        <v>53</v>
      </c>
      <c r="G516" t="s">
        <v>59</v>
      </c>
      <c r="H516">
        <v>10</v>
      </c>
      <c r="I516">
        <v>180.84</v>
      </c>
      <c r="J516">
        <v>0</v>
      </c>
      <c r="K516">
        <v>1808.4</v>
      </c>
      <c r="M516" t="str">
        <f t="shared" si="32"/>
        <v>Nov</v>
      </c>
      <c r="N516">
        <f t="shared" si="33"/>
        <v>11</v>
      </c>
      <c r="O516">
        <f t="shared" si="34"/>
        <v>1808.4</v>
      </c>
      <c r="P516" t="str">
        <f t="shared" si="35"/>
        <v>OK</v>
      </c>
    </row>
    <row r="517" spans="1:16" x14ac:dyDescent="0.35">
      <c r="A517" t="s">
        <v>829</v>
      </c>
      <c r="B517" s="3">
        <v>45598</v>
      </c>
      <c r="C517" t="s">
        <v>24</v>
      </c>
      <c r="D517" t="s">
        <v>42</v>
      </c>
      <c r="E517" t="s">
        <v>368</v>
      </c>
      <c r="F517" t="s">
        <v>35</v>
      </c>
      <c r="G517" t="s">
        <v>134</v>
      </c>
      <c r="H517">
        <v>10</v>
      </c>
      <c r="I517">
        <v>192.82</v>
      </c>
      <c r="J517">
        <v>0.05</v>
      </c>
      <c r="K517">
        <v>1831.79</v>
      </c>
      <c r="M517" t="str">
        <f t="shared" si="32"/>
        <v>Nov</v>
      </c>
      <c r="N517">
        <f t="shared" si="33"/>
        <v>11</v>
      </c>
      <c r="O517">
        <f t="shared" si="34"/>
        <v>1831.7899999999997</v>
      </c>
      <c r="P517" t="str">
        <f t="shared" si="35"/>
        <v>OK</v>
      </c>
    </row>
    <row r="518" spans="1:16" x14ac:dyDescent="0.35">
      <c r="A518" t="s">
        <v>830</v>
      </c>
      <c r="B518" s="3">
        <v>45652</v>
      </c>
      <c r="C518" t="s">
        <v>18</v>
      </c>
      <c r="D518" t="s">
        <v>25</v>
      </c>
      <c r="E518" t="s">
        <v>656</v>
      </c>
      <c r="F518" t="s">
        <v>21</v>
      </c>
      <c r="G518" t="s">
        <v>167</v>
      </c>
      <c r="H518">
        <v>5</v>
      </c>
      <c r="I518">
        <v>230.21</v>
      </c>
      <c r="J518">
        <v>0</v>
      </c>
      <c r="K518">
        <v>1151.05</v>
      </c>
      <c r="M518" t="str">
        <f t="shared" si="32"/>
        <v>Dec</v>
      </c>
      <c r="N518">
        <f t="shared" si="33"/>
        <v>12</v>
      </c>
      <c r="O518">
        <f t="shared" si="34"/>
        <v>1151.05</v>
      </c>
      <c r="P518" t="str">
        <f t="shared" si="35"/>
        <v>OK</v>
      </c>
    </row>
    <row r="519" spans="1:16" x14ac:dyDescent="0.35">
      <c r="A519" t="s">
        <v>831</v>
      </c>
      <c r="B519" s="3">
        <v>45581</v>
      </c>
      <c r="C519" t="s">
        <v>33</v>
      </c>
      <c r="D519" t="s">
        <v>19</v>
      </c>
      <c r="E519" t="s">
        <v>296</v>
      </c>
      <c r="F519" t="s">
        <v>15</v>
      </c>
      <c r="G519" t="s">
        <v>111</v>
      </c>
      <c r="H519">
        <v>1</v>
      </c>
      <c r="I519">
        <v>221.4</v>
      </c>
      <c r="J519">
        <v>0.15</v>
      </c>
      <c r="K519">
        <v>188.19</v>
      </c>
      <c r="M519" t="str">
        <f t="shared" si="32"/>
        <v>Oct</v>
      </c>
      <c r="N519">
        <f t="shared" si="33"/>
        <v>10</v>
      </c>
      <c r="O519">
        <f t="shared" si="34"/>
        <v>188.19</v>
      </c>
      <c r="P519" t="str">
        <f t="shared" si="35"/>
        <v>OK</v>
      </c>
    </row>
    <row r="520" spans="1:16" x14ac:dyDescent="0.35">
      <c r="A520" t="s">
        <v>832</v>
      </c>
      <c r="B520" s="3">
        <v>45306</v>
      </c>
      <c r="C520" t="s">
        <v>18</v>
      </c>
      <c r="D520" t="s">
        <v>19</v>
      </c>
      <c r="E520" t="s">
        <v>833</v>
      </c>
      <c r="F520" t="s">
        <v>44</v>
      </c>
      <c r="G520" t="s">
        <v>45</v>
      </c>
      <c r="H520">
        <v>12</v>
      </c>
      <c r="I520">
        <v>59.48</v>
      </c>
      <c r="J520">
        <v>0</v>
      </c>
      <c r="K520">
        <v>713.76</v>
      </c>
      <c r="M520" t="str">
        <f t="shared" si="32"/>
        <v>Jan</v>
      </c>
      <c r="N520">
        <f t="shared" si="33"/>
        <v>1</v>
      </c>
      <c r="O520">
        <f t="shared" si="34"/>
        <v>713.76</v>
      </c>
      <c r="P520" t="str">
        <f t="shared" si="35"/>
        <v>OK</v>
      </c>
    </row>
    <row r="521" spans="1:16" x14ac:dyDescent="0.35">
      <c r="A521" t="s">
        <v>834</v>
      </c>
      <c r="B521" s="3">
        <v>45622</v>
      </c>
      <c r="C521" t="s">
        <v>41</v>
      </c>
      <c r="D521" t="s">
        <v>57</v>
      </c>
      <c r="E521" t="s">
        <v>835</v>
      </c>
      <c r="F521" t="s">
        <v>53</v>
      </c>
      <c r="G521" t="s">
        <v>260</v>
      </c>
      <c r="H521">
        <v>9</v>
      </c>
      <c r="I521">
        <v>155.68</v>
      </c>
      <c r="J521">
        <v>0.05</v>
      </c>
      <c r="K521">
        <v>1331.06</v>
      </c>
      <c r="M521" t="str">
        <f t="shared" si="32"/>
        <v>Nov</v>
      </c>
      <c r="N521">
        <f t="shared" si="33"/>
        <v>11</v>
      </c>
      <c r="O521">
        <f t="shared" si="34"/>
        <v>1331.0640000000001</v>
      </c>
      <c r="P521" t="str">
        <f t="shared" si="35"/>
        <v>OK</v>
      </c>
    </row>
    <row r="522" spans="1:16" x14ac:dyDescent="0.35">
      <c r="A522" t="s">
        <v>836</v>
      </c>
      <c r="B522" s="3">
        <v>45563</v>
      </c>
      <c r="C522" t="s">
        <v>41</v>
      </c>
      <c r="D522" t="s">
        <v>13</v>
      </c>
      <c r="E522" t="s">
        <v>180</v>
      </c>
      <c r="F522" t="s">
        <v>35</v>
      </c>
      <c r="G522" t="s">
        <v>83</v>
      </c>
      <c r="H522">
        <v>6</v>
      </c>
      <c r="I522">
        <v>79.489999999999995</v>
      </c>
      <c r="J522">
        <v>0.05</v>
      </c>
      <c r="K522">
        <v>453.09</v>
      </c>
      <c r="M522" t="str">
        <f t="shared" si="32"/>
        <v>Sep</v>
      </c>
      <c r="N522">
        <f t="shared" si="33"/>
        <v>9</v>
      </c>
      <c r="O522">
        <f t="shared" si="34"/>
        <v>453.0929999999999</v>
      </c>
      <c r="P522" t="str">
        <f t="shared" si="35"/>
        <v>OK</v>
      </c>
    </row>
    <row r="523" spans="1:16" x14ac:dyDescent="0.35">
      <c r="A523" t="s">
        <v>837</v>
      </c>
      <c r="B523" s="3">
        <v>45422</v>
      </c>
      <c r="C523" t="s">
        <v>18</v>
      </c>
      <c r="D523" t="s">
        <v>42</v>
      </c>
      <c r="E523" t="s">
        <v>521</v>
      </c>
      <c r="F523" t="s">
        <v>15</v>
      </c>
      <c r="G523" t="s">
        <v>74</v>
      </c>
      <c r="H523">
        <v>2</v>
      </c>
      <c r="I523">
        <v>5.36</v>
      </c>
      <c r="J523">
        <v>0.05</v>
      </c>
      <c r="K523">
        <v>10.18</v>
      </c>
      <c r="M523" t="str">
        <f t="shared" si="32"/>
        <v>May</v>
      </c>
      <c r="N523">
        <f t="shared" si="33"/>
        <v>5</v>
      </c>
      <c r="O523">
        <f t="shared" si="34"/>
        <v>10.183999999999999</v>
      </c>
      <c r="P523" t="str">
        <f t="shared" si="35"/>
        <v>OK</v>
      </c>
    </row>
    <row r="524" spans="1:16" x14ac:dyDescent="0.35">
      <c r="A524" t="s">
        <v>838</v>
      </c>
      <c r="B524" s="3">
        <v>45577</v>
      </c>
      <c r="C524" t="s">
        <v>18</v>
      </c>
      <c r="D524" t="s">
        <v>13</v>
      </c>
      <c r="E524" t="s">
        <v>221</v>
      </c>
      <c r="F524" t="s">
        <v>15</v>
      </c>
      <c r="G524" t="s">
        <v>16</v>
      </c>
      <c r="H524">
        <v>6</v>
      </c>
      <c r="I524">
        <v>186.47</v>
      </c>
      <c r="J524">
        <v>0</v>
      </c>
      <c r="K524">
        <v>1118.82</v>
      </c>
      <c r="M524" t="str">
        <f t="shared" si="32"/>
        <v>Oct</v>
      </c>
      <c r="N524">
        <f t="shared" si="33"/>
        <v>10</v>
      </c>
      <c r="O524">
        <f t="shared" si="34"/>
        <v>1118.82</v>
      </c>
      <c r="P524" t="str">
        <f t="shared" si="35"/>
        <v>OK</v>
      </c>
    </row>
    <row r="525" spans="1:16" x14ac:dyDescent="0.35">
      <c r="A525" t="s">
        <v>839</v>
      </c>
      <c r="B525" s="3">
        <v>45337</v>
      </c>
      <c r="C525" t="s">
        <v>33</v>
      </c>
      <c r="D525" t="s">
        <v>57</v>
      </c>
      <c r="E525" t="s">
        <v>503</v>
      </c>
      <c r="F525" t="s">
        <v>15</v>
      </c>
      <c r="G525" t="s">
        <v>111</v>
      </c>
      <c r="H525">
        <v>7</v>
      </c>
      <c r="I525">
        <v>155.97999999999999</v>
      </c>
      <c r="J525">
        <v>0</v>
      </c>
      <c r="K525">
        <v>1091.8599999999999</v>
      </c>
      <c r="M525" t="str">
        <f t="shared" si="32"/>
        <v>Feb</v>
      </c>
      <c r="N525">
        <f t="shared" si="33"/>
        <v>2</v>
      </c>
      <c r="O525">
        <f t="shared" si="34"/>
        <v>1091.8599999999999</v>
      </c>
      <c r="P525" t="str">
        <f t="shared" si="35"/>
        <v>OK</v>
      </c>
    </row>
    <row r="526" spans="1:16" x14ac:dyDescent="0.35">
      <c r="A526" t="s">
        <v>840</v>
      </c>
      <c r="B526" s="3">
        <v>45420</v>
      </c>
      <c r="C526" t="s">
        <v>41</v>
      </c>
      <c r="D526" t="s">
        <v>19</v>
      </c>
      <c r="E526" t="s">
        <v>339</v>
      </c>
      <c r="F526" t="s">
        <v>15</v>
      </c>
      <c r="G526" t="s">
        <v>74</v>
      </c>
      <c r="H526">
        <v>11</v>
      </c>
      <c r="I526">
        <v>96.1</v>
      </c>
      <c r="J526">
        <v>0</v>
      </c>
      <c r="K526">
        <v>1057.0999999999999</v>
      </c>
      <c r="M526" t="str">
        <f t="shared" si="32"/>
        <v>May</v>
      </c>
      <c r="N526">
        <f t="shared" si="33"/>
        <v>5</v>
      </c>
      <c r="O526">
        <f t="shared" si="34"/>
        <v>1057.0999999999999</v>
      </c>
      <c r="P526" t="str">
        <f t="shared" si="35"/>
        <v>OK</v>
      </c>
    </row>
    <row r="527" spans="1:16" x14ac:dyDescent="0.35">
      <c r="A527" t="s">
        <v>841</v>
      </c>
      <c r="B527" s="3">
        <v>45454</v>
      </c>
      <c r="C527" t="s">
        <v>65</v>
      </c>
      <c r="D527" t="s">
        <v>19</v>
      </c>
      <c r="E527" t="s">
        <v>842</v>
      </c>
      <c r="F527" t="s">
        <v>15</v>
      </c>
      <c r="G527" t="s">
        <v>27</v>
      </c>
      <c r="H527">
        <v>4</v>
      </c>
      <c r="I527">
        <v>49.74</v>
      </c>
      <c r="J527">
        <v>0.1</v>
      </c>
      <c r="K527">
        <v>179.06</v>
      </c>
      <c r="M527" t="str">
        <f t="shared" si="32"/>
        <v>Jun</v>
      </c>
      <c r="N527">
        <f t="shared" si="33"/>
        <v>6</v>
      </c>
      <c r="O527">
        <f t="shared" si="34"/>
        <v>179.06400000000002</v>
      </c>
      <c r="P527" t="str">
        <f t="shared" si="35"/>
        <v>OK</v>
      </c>
    </row>
    <row r="528" spans="1:16" x14ac:dyDescent="0.35">
      <c r="A528" t="s">
        <v>843</v>
      </c>
      <c r="B528" s="3">
        <v>45341</v>
      </c>
      <c r="C528" t="s">
        <v>33</v>
      </c>
      <c r="D528" t="s">
        <v>42</v>
      </c>
      <c r="E528" t="s">
        <v>381</v>
      </c>
      <c r="F528" t="s">
        <v>44</v>
      </c>
      <c r="G528" t="s">
        <v>86</v>
      </c>
      <c r="H528">
        <v>10</v>
      </c>
      <c r="I528">
        <v>62.11</v>
      </c>
      <c r="J528">
        <v>0.15</v>
      </c>
      <c r="K528">
        <v>527.94000000000005</v>
      </c>
      <c r="M528" t="str">
        <f t="shared" si="32"/>
        <v>Feb</v>
      </c>
      <c r="N528">
        <f t="shared" si="33"/>
        <v>2</v>
      </c>
      <c r="O528">
        <f t="shared" si="34"/>
        <v>527.93500000000006</v>
      </c>
      <c r="P528" t="str">
        <f t="shared" si="35"/>
        <v>OK</v>
      </c>
    </row>
    <row r="529" spans="1:16" x14ac:dyDescent="0.35">
      <c r="A529" t="s">
        <v>844</v>
      </c>
      <c r="B529" s="3">
        <v>45414</v>
      </c>
      <c r="C529" t="s">
        <v>18</v>
      </c>
      <c r="D529" t="s">
        <v>25</v>
      </c>
      <c r="E529" t="s">
        <v>321</v>
      </c>
      <c r="F529" t="s">
        <v>53</v>
      </c>
      <c r="G529" t="s">
        <v>59</v>
      </c>
      <c r="H529">
        <v>2</v>
      </c>
      <c r="I529">
        <v>111.66</v>
      </c>
      <c r="J529">
        <v>0.15</v>
      </c>
      <c r="K529">
        <v>189.82</v>
      </c>
      <c r="M529" t="str">
        <f t="shared" si="32"/>
        <v>May</v>
      </c>
      <c r="N529">
        <f t="shared" si="33"/>
        <v>5</v>
      </c>
      <c r="O529">
        <f t="shared" si="34"/>
        <v>189.822</v>
      </c>
      <c r="P529" t="str">
        <f t="shared" si="35"/>
        <v>OK</v>
      </c>
    </row>
    <row r="530" spans="1:16" x14ac:dyDescent="0.35">
      <c r="A530" t="s">
        <v>845</v>
      </c>
      <c r="B530" s="3">
        <v>45308</v>
      </c>
      <c r="C530" t="s">
        <v>18</v>
      </c>
      <c r="D530" t="s">
        <v>13</v>
      </c>
      <c r="E530" t="s">
        <v>185</v>
      </c>
      <c r="F530" t="s">
        <v>35</v>
      </c>
      <c r="G530" t="s">
        <v>67</v>
      </c>
      <c r="H530">
        <v>1</v>
      </c>
      <c r="I530">
        <v>192.31</v>
      </c>
      <c r="J530">
        <v>0</v>
      </c>
      <c r="K530">
        <v>192.31</v>
      </c>
      <c r="M530" t="str">
        <f t="shared" si="32"/>
        <v>Jan</v>
      </c>
      <c r="N530">
        <f t="shared" si="33"/>
        <v>1</v>
      </c>
      <c r="O530">
        <f t="shared" si="34"/>
        <v>192.31</v>
      </c>
      <c r="P530" t="str">
        <f t="shared" si="35"/>
        <v>OK</v>
      </c>
    </row>
    <row r="531" spans="1:16" x14ac:dyDescent="0.35">
      <c r="A531" t="s">
        <v>846</v>
      </c>
      <c r="B531" s="3">
        <v>45631</v>
      </c>
      <c r="C531" t="s">
        <v>65</v>
      </c>
      <c r="D531" t="s">
        <v>25</v>
      </c>
      <c r="E531" t="s">
        <v>847</v>
      </c>
      <c r="F531" t="s">
        <v>53</v>
      </c>
      <c r="G531" t="s">
        <v>125</v>
      </c>
      <c r="H531">
        <v>3</v>
      </c>
      <c r="I531">
        <v>213.79</v>
      </c>
      <c r="J531">
        <v>0.15</v>
      </c>
      <c r="K531">
        <v>545.16</v>
      </c>
      <c r="M531" t="str">
        <f t="shared" si="32"/>
        <v>Dec</v>
      </c>
      <c r="N531">
        <f t="shared" si="33"/>
        <v>12</v>
      </c>
      <c r="O531">
        <f t="shared" si="34"/>
        <v>545.16449999999998</v>
      </c>
      <c r="P531" t="str">
        <f t="shared" si="35"/>
        <v>OK</v>
      </c>
    </row>
    <row r="532" spans="1:16" x14ac:dyDescent="0.35">
      <c r="A532" t="s">
        <v>848</v>
      </c>
      <c r="B532" s="3">
        <v>45623</v>
      </c>
      <c r="C532" t="s">
        <v>65</v>
      </c>
      <c r="D532" t="s">
        <v>25</v>
      </c>
      <c r="E532" t="s">
        <v>825</v>
      </c>
      <c r="F532" t="s">
        <v>21</v>
      </c>
      <c r="G532" t="s">
        <v>194</v>
      </c>
      <c r="H532">
        <v>11</v>
      </c>
      <c r="I532">
        <v>19.03</v>
      </c>
      <c r="J532">
        <v>0.15</v>
      </c>
      <c r="K532">
        <v>177.93</v>
      </c>
      <c r="M532" t="str">
        <f t="shared" si="32"/>
        <v>Nov</v>
      </c>
      <c r="N532">
        <f t="shared" si="33"/>
        <v>11</v>
      </c>
      <c r="O532">
        <f t="shared" si="34"/>
        <v>177.93049999999999</v>
      </c>
      <c r="P532" t="str">
        <f t="shared" si="35"/>
        <v>OK</v>
      </c>
    </row>
    <row r="533" spans="1:16" x14ac:dyDescent="0.35">
      <c r="A533" t="s">
        <v>849</v>
      </c>
      <c r="B533" s="3">
        <v>45302</v>
      </c>
      <c r="C533" t="s">
        <v>41</v>
      </c>
      <c r="D533" t="s">
        <v>13</v>
      </c>
      <c r="E533" t="s">
        <v>460</v>
      </c>
      <c r="F533" t="s">
        <v>15</v>
      </c>
      <c r="G533" t="s">
        <v>74</v>
      </c>
      <c r="H533">
        <v>12</v>
      </c>
      <c r="I533">
        <v>171.74</v>
      </c>
      <c r="J533">
        <v>0</v>
      </c>
      <c r="K533">
        <v>2060.88</v>
      </c>
      <c r="M533" t="str">
        <f t="shared" si="32"/>
        <v>Jan</v>
      </c>
      <c r="N533">
        <f t="shared" si="33"/>
        <v>1</v>
      </c>
      <c r="O533">
        <f t="shared" si="34"/>
        <v>2060.88</v>
      </c>
      <c r="P533" t="str">
        <f t="shared" si="35"/>
        <v>OK</v>
      </c>
    </row>
    <row r="534" spans="1:16" x14ac:dyDescent="0.35">
      <c r="A534" t="s">
        <v>850</v>
      </c>
      <c r="B534" s="3">
        <v>45572</v>
      </c>
      <c r="C534" t="s">
        <v>24</v>
      </c>
      <c r="D534" t="s">
        <v>13</v>
      </c>
      <c r="E534" t="s">
        <v>343</v>
      </c>
      <c r="F534" t="s">
        <v>15</v>
      </c>
      <c r="G534" t="s">
        <v>147</v>
      </c>
      <c r="H534">
        <v>8</v>
      </c>
      <c r="I534">
        <v>63.1</v>
      </c>
      <c r="J534">
        <v>0.1</v>
      </c>
      <c r="K534">
        <v>454.32</v>
      </c>
      <c r="M534" t="str">
        <f t="shared" si="32"/>
        <v>Oct</v>
      </c>
      <c r="N534">
        <f t="shared" si="33"/>
        <v>10</v>
      </c>
      <c r="O534">
        <f t="shared" si="34"/>
        <v>454.32</v>
      </c>
      <c r="P534" t="str">
        <f t="shared" si="35"/>
        <v>OK</v>
      </c>
    </row>
    <row r="535" spans="1:16" x14ac:dyDescent="0.35">
      <c r="A535" t="s">
        <v>851</v>
      </c>
      <c r="B535" s="3">
        <v>45419</v>
      </c>
      <c r="C535" t="s">
        <v>65</v>
      </c>
      <c r="D535" t="s">
        <v>57</v>
      </c>
      <c r="E535" t="s">
        <v>259</v>
      </c>
      <c r="F535" t="s">
        <v>21</v>
      </c>
      <c r="G535" t="s">
        <v>167</v>
      </c>
      <c r="H535">
        <v>10</v>
      </c>
      <c r="I535">
        <v>35.549999999999997</v>
      </c>
      <c r="J535">
        <v>0</v>
      </c>
      <c r="K535">
        <v>355.5</v>
      </c>
      <c r="M535" t="str">
        <f t="shared" si="32"/>
        <v>May</v>
      </c>
      <c r="N535">
        <f t="shared" si="33"/>
        <v>5</v>
      </c>
      <c r="O535">
        <f t="shared" si="34"/>
        <v>355.5</v>
      </c>
      <c r="P535" t="str">
        <f t="shared" si="35"/>
        <v>OK</v>
      </c>
    </row>
    <row r="536" spans="1:16" x14ac:dyDescent="0.35">
      <c r="A536" t="s">
        <v>852</v>
      </c>
      <c r="B536" s="3">
        <v>45404</v>
      </c>
      <c r="C536" t="s">
        <v>41</v>
      </c>
      <c r="D536" t="s">
        <v>57</v>
      </c>
      <c r="E536" t="s">
        <v>62</v>
      </c>
      <c r="F536" t="s">
        <v>44</v>
      </c>
      <c r="G536" t="s">
        <v>107</v>
      </c>
      <c r="H536">
        <v>9</v>
      </c>
      <c r="I536">
        <v>63.3</v>
      </c>
      <c r="J536">
        <v>0.15</v>
      </c>
      <c r="K536">
        <v>484.24</v>
      </c>
      <c r="M536" t="str">
        <f t="shared" si="32"/>
        <v>Apr</v>
      </c>
      <c r="N536">
        <f t="shared" si="33"/>
        <v>4</v>
      </c>
      <c r="O536">
        <f t="shared" si="34"/>
        <v>484.24499999999995</v>
      </c>
      <c r="P536" t="str">
        <f t="shared" si="35"/>
        <v>MISMATCH</v>
      </c>
    </row>
    <row r="537" spans="1:16" x14ac:dyDescent="0.35">
      <c r="A537" t="s">
        <v>853</v>
      </c>
      <c r="B537" s="3">
        <v>45448</v>
      </c>
      <c r="C537" t="s">
        <v>33</v>
      </c>
      <c r="D537" t="s">
        <v>42</v>
      </c>
      <c r="E537" t="s">
        <v>542</v>
      </c>
      <c r="F537" t="s">
        <v>35</v>
      </c>
      <c r="G537" t="s">
        <v>177</v>
      </c>
      <c r="H537">
        <v>12</v>
      </c>
      <c r="I537">
        <v>154.36000000000001</v>
      </c>
      <c r="J537">
        <v>0</v>
      </c>
      <c r="K537">
        <v>1852.32</v>
      </c>
      <c r="M537" t="str">
        <f t="shared" si="32"/>
        <v>Jun</v>
      </c>
      <c r="N537">
        <f t="shared" si="33"/>
        <v>6</v>
      </c>
      <c r="O537">
        <f t="shared" si="34"/>
        <v>1852.3200000000002</v>
      </c>
      <c r="P537" t="str">
        <f t="shared" si="35"/>
        <v>OK</v>
      </c>
    </row>
    <row r="538" spans="1:16" x14ac:dyDescent="0.35">
      <c r="A538" t="s">
        <v>854</v>
      </c>
      <c r="B538" s="3">
        <v>45330</v>
      </c>
      <c r="C538" t="s">
        <v>18</v>
      </c>
      <c r="D538" t="s">
        <v>13</v>
      </c>
      <c r="E538" t="s">
        <v>284</v>
      </c>
      <c r="F538" t="s">
        <v>21</v>
      </c>
      <c r="G538" t="s">
        <v>70</v>
      </c>
      <c r="H538">
        <v>3</v>
      </c>
      <c r="I538">
        <v>105.09</v>
      </c>
      <c r="J538">
        <v>0</v>
      </c>
      <c r="K538">
        <v>315.27</v>
      </c>
      <c r="M538" t="str">
        <f t="shared" si="32"/>
        <v>Feb</v>
      </c>
      <c r="N538">
        <f t="shared" si="33"/>
        <v>2</v>
      </c>
      <c r="O538">
        <f t="shared" si="34"/>
        <v>315.27</v>
      </c>
      <c r="P538" t="str">
        <f t="shared" si="35"/>
        <v>OK</v>
      </c>
    </row>
    <row r="539" spans="1:16" x14ac:dyDescent="0.35">
      <c r="A539" t="s">
        <v>855</v>
      </c>
      <c r="B539" s="3">
        <v>45479</v>
      </c>
      <c r="C539" t="s">
        <v>33</v>
      </c>
      <c r="D539" t="s">
        <v>19</v>
      </c>
      <c r="E539" t="s">
        <v>217</v>
      </c>
      <c r="F539" t="s">
        <v>53</v>
      </c>
      <c r="G539" t="s">
        <v>63</v>
      </c>
      <c r="H539">
        <v>6</v>
      </c>
      <c r="I539">
        <v>104.76</v>
      </c>
      <c r="J539">
        <v>0</v>
      </c>
      <c r="K539">
        <v>628.55999999999995</v>
      </c>
      <c r="M539" t="str">
        <f t="shared" si="32"/>
        <v>Jul</v>
      </c>
      <c r="N539">
        <f t="shared" si="33"/>
        <v>7</v>
      </c>
      <c r="O539">
        <f t="shared" si="34"/>
        <v>628.56000000000006</v>
      </c>
      <c r="P539" t="str">
        <f t="shared" si="35"/>
        <v>OK</v>
      </c>
    </row>
    <row r="540" spans="1:16" x14ac:dyDescent="0.35">
      <c r="A540" t="s">
        <v>856</v>
      </c>
      <c r="B540" s="3">
        <v>45591</v>
      </c>
      <c r="C540" t="s">
        <v>18</v>
      </c>
      <c r="D540" t="s">
        <v>19</v>
      </c>
      <c r="E540" t="s">
        <v>321</v>
      </c>
      <c r="F540" t="s">
        <v>15</v>
      </c>
      <c r="G540" t="s">
        <v>16</v>
      </c>
      <c r="H540">
        <v>2</v>
      </c>
      <c r="I540">
        <v>118.62</v>
      </c>
      <c r="J540">
        <v>0.05</v>
      </c>
      <c r="K540">
        <v>225.38</v>
      </c>
      <c r="M540" t="str">
        <f t="shared" si="32"/>
        <v>Oct</v>
      </c>
      <c r="N540">
        <f t="shared" si="33"/>
        <v>10</v>
      </c>
      <c r="O540">
        <f t="shared" si="34"/>
        <v>225.37799999999999</v>
      </c>
      <c r="P540" t="str">
        <f t="shared" si="35"/>
        <v>OK</v>
      </c>
    </row>
    <row r="541" spans="1:16" x14ac:dyDescent="0.35">
      <c r="A541" t="s">
        <v>857</v>
      </c>
      <c r="B541" s="3">
        <v>45650</v>
      </c>
      <c r="C541" t="s">
        <v>65</v>
      </c>
      <c r="D541" t="s">
        <v>25</v>
      </c>
      <c r="E541" t="s">
        <v>858</v>
      </c>
      <c r="F541" t="s">
        <v>35</v>
      </c>
      <c r="G541" t="s">
        <v>177</v>
      </c>
      <c r="H541">
        <v>5</v>
      </c>
      <c r="I541">
        <v>193.43</v>
      </c>
      <c r="J541">
        <v>0</v>
      </c>
      <c r="K541">
        <v>967.15</v>
      </c>
      <c r="M541" t="str">
        <f t="shared" si="32"/>
        <v>Dec</v>
      </c>
      <c r="N541">
        <f t="shared" si="33"/>
        <v>12</v>
      </c>
      <c r="O541">
        <f t="shared" si="34"/>
        <v>967.15000000000009</v>
      </c>
      <c r="P541" t="str">
        <f t="shared" si="35"/>
        <v>OK</v>
      </c>
    </row>
    <row r="542" spans="1:16" x14ac:dyDescent="0.35">
      <c r="A542" t="s">
        <v>859</v>
      </c>
      <c r="B542" s="3">
        <v>45567</v>
      </c>
      <c r="C542" t="s">
        <v>41</v>
      </c>
      <c r="D542" t="s">
        <v>13</v>
      </c>
      <c r="E542" t="s">
        <v>642</v>
      </c>
      <c r="F542" t="s">
        <v>21</v>
      </c>
      <c r="G542" t="s">
        <v>129</v>
      </c>
      <c r="H542">
        <v>2</v>
      </c>
      <c r="I542">
        <v>163.41</v>
      </c>
      <c r="J542">
        <v>0.15</v>
      </c>
      <c r="K542">
        <v>277.8</v>
      </c>
      <c r="M542" t="str">
        <f t="shared" si="32"/>
        <v>Oct</v>
      </c>
      <c r="N542">
        <f t="shared" si="33"/>
        <v>10</v>
      </c>
      <c r="O542">
        <f t="shared" si="34"/>
        <v>277.79699999999997</v>
      </c>
      <c r="P542" t="str">
        <f t="shared" si="35"/>
        <v>OK</v>
      </c>
    </row>
    <row r="543" spans="1:16" x14ac:dyDescent="0.35">
      <c r="A543" t="s">
        <v>860</v>
      </c>
      <c r="B543" s="3">
        <v>45391</v>
      </c>
      <c r="C543" t="s">
        <v>65</v>
      </c>
      <c r="D543" t="s">
        <v>19</v>
      </c>
      <c r="E543" t="s">
        <v>282</v>
      </c>
      <c r="F543" t="s">
        <v>53</v>
      </c>
      <c r="G543" t="s">
        <v>54</v>
      </c>
      <c r="H543">
        <v>3</v>
      </c>
      <c r="I543">
        <v>230.89</v>
      </c>
      <c r="J543">
        <v>0</v>
      </c>
      <c r="K543">
        <v>692.67</v>
      </c>
      <c r="M543" t="str">
        <f t="shared" si="32"/>
        <v>Apr</v>
      </c>
      <c r="N543">
        <f t="shared" si="33"/>
        <v>4</v>
      </c>
      <c r="O543">
        <f t="shared" si="34"/>
        <v>692.67</v>
      </c>
      <c r="P543" t="str">
        <f t="shared" si="35"/>
        <v>OK</v>
      </c>
    </row>
    <row r="544" spans="1:16" x14ac:dyDescent="0.35">
      <c r="A544" t="s">
        <v>861</v>
      </c>
      <c r="B544" s="3">
        <v>45506</v>
      </c>
      <c r="C544" t="s">
        <v>65</v>
      </c>
      <c r="D544" t="s">
        <v>13</v>
      </c>
      <c r="E544" t="s">
        <v>166</v>
      </c>
      <c r="F544" t="s">
        <v>15</v>
      </c>
      <c r="G544" t="s">
        <v>111</v>
      </c>
      <c r="H544">
        <v>5</v>
      </c>
      <c r="I544">
        <v>29.97</v>
      </c>
      <c r="J544">
        <v>0.15</v>
      </c>
      <c r="K544">
        <v>127.37</v>
      </c>
      <c r="M544" t="str">
        <f t="shared" si="32"/>
        <v>Aug</v>
      </c>
      <c r="N544">
        <f t="shared" si="33"/>
        <v>8</v>
      </c>
      <c r="O544">
        <f t="shared" si="34"/>
        <v>127.37249999999999</v>
      </c>
      <c r="P544" t="str">
        <f t="shared" si="35"/>
        <v>OK</v>
      </c>
    </row>
    <row r="545" spans="1:16" x14ac:dyDescent="0.35">
      <c r="A545" t="s">
        <v>862</v>
      </c>
      <c r="B545" s="3">
        <v>45321</v>
      </c>
      <c r="C545" t="s">
        <v>41</v>
      </c>
      <c r="D545" t="s">
        <v>19</v>
      </c>
      <c r="E545" t="s">
        <v>343</v>
      </c>
      <c r="F545" t="s">
        <v>21</v>
      </c>
      <c r="G545" t="s">
        <v>194</v>
      </c>
      <c r="H545">
        <v>4</v>
      </c>
      <c r="I545">
        <v>206.86</v>
      </c>
      <c r="J545">
        <v>0.15</v>
      </c>
      <c r="K545">
        <v>703.32</v>
      </c>
      <c r="M545" t="str">
        <f t="shared" si="32"/>
        <v>Jan</v>
      </c>
      <c r="N545">
        <f t="shared" si="33"/>
        <v>1</v>
      </c>
      <c r="O545">
        <f t="shared" si="34"/>
        <v>703.32400000000007</v>
      </c>
      <c r="P545" t="str">
        <f t="shared" si="35"/>
        <v>OK</v>
      </c>
    </row>
    <row r="546" spans="1:16" x14ac:dyDescent="0.35">
      <c r="A546" t="s">
        <v>863</v>
      </c>
      <c r="B546" s="3">
        <v>45370</v>
      </c>
      <c r="C546" t="s">
        <v>41</v>
      </c>
      <c r="D546" t="s">
        <v>57</v>
      </c>
      <c r="E546" t="s">
        <v>250</v>
      </c>
      <c r="F546" t="s">
        <v>21</v>
      </c>
      <c r="G546" t="s">
        <v>22</v>
      </c>
      <c r="H546">
        <v>5</v>
      </c>
      <c r="I546">
        <v>215.57</v>
      </c>
      <c r="J546">
        <v>0</v>
      </c>
      <c r="K546">
        <v>1077.8499999999999</v>
      </c>
      <c r="M546" t="str">
        <f t="shared" si="32"/>
        <v>Mar</v>
      </c>
      <c r="N546">
        <f t="shared" si="33"/>
        <v>3</v>
      </c>
      <c r="O546">
        <f t="shared" si="34"/>
        <v>1077.8499999999999</v>
      </c>
      <c r="P546" t="str">
        <f t="shared" si="35"/>
        <v>OK</v>
      </c>
    </row>
    <row r="547" spans="1:16" x14ac:dyDescent="0.35">
      <c r="A547" t="s">
        <v>864</v>
      </c>
      <c r="B547" s="3">
        <v>45597</v>
      </c>
      <c r="C547" t="s">
        <v>41</v>
      </c>
      <c r="D547" t="s">
        <v>13</v>
      </c>
      <c r="E547" t="s">
        <v>865</v>
      </c>
      <c r="F547" t="s">
        <v>15</v>
      </c>
      <c r="G547" t="s">
        <v>16</v>
      </c>
      <c r="H547">
        <v>7</v>
      </c>
      <c r="I547">
        <v>64.87</v>
      </c>
      <c r="J547">
        <v>0</v>
      </c>
      <c r="K547">
        <v>454.09</v>
      </c>
      <c r="M547" t="str">
        <f t="shared" si="32"/>
        <v>Nov</v>
      </c>
      <c r="N547">
        <f t="shared" si="33"/>
        <v>11</v>
      </c>
      <c r="O547">
        <f t="shared" si="34"/>
        <v>454.09000000000003</v>
      </c>
      <c r="P547" t="str">
        <f t="shared" si="35"/>
        <v>OK</v>
      </c>
    </row>
    <row r="548" spans="1:16" x14ac:dyDescent="0.35">
      <c r="A548" t="s">
        <v>866</v>
      </c>
      <c r="B548" s="3">
        <v>45547</v>
      </c>
      <c r="C548" t="s">
        <v>18</v>
      </c>
      <c r="D548" t="s">
        <v>42</v>
      </c>
      <c r="E548" t="s">
        <v>867</v>
      </c>
      <c r="F548" t="s">
        <v>21</v>
      </c>
      <c r="G548" t="s">
        <v>129</v>
      </c>
      <c r="H548">
        <v>2</v>
      </c>
      <c r="I548">
        <v>126.86</v>
      </c>
      <c r="J548">
        <v>0.05</v>
      </c>
      <c r="K548">
        <v>241.03</v>
      </c>
      <c r="M548" t="str">
        <f t="shared" si="32"/>
        <v>Sep</v>
      </c>
      <c r="N548">
        <f t="shared" si="33"/>
        <v>9</v>
      </c>
      <c r="O548">
        <f t="shared" si="34"/>
        <v>241.03399999999999</v>
      </c>
      <c r="P548" t="str">
        <f t="shared" si="35"/>
        <v>OK</v>
      </c>
    </row>
    <row r="549" spans="1:16" x14ac:dyDescent="0.35">
      <c r="A549" t="s">
        <v>868</v>
      </c>
      <c r="B549" s="3">
        <v>45351</v>
      </c>
      <c r="C549" t="s">
        <v>18</v>
      </c>
      <c r="D549" t="s">
        <v>19</v>
      </c>
      <c r="E549" t="s">
        <v>288</v>
      </c>
      <c r="F549" t="s">
        <v>44</v>
      </c>
      <c r="G549" t="s">
        <v>50</v>
      </c>
      <c r="H549">
        <v>2</v>
      </c>
      <c r="I549">
        <v>26.48</v>
      </c>
      <c r="J549">
        <v>0</v>
      </c>
      <c r="K549">
        <v>52.96</v>
      </c>
      <c r="M549" t="str">
        <f t="shared" si="32"/>
        <v>Feb</v>
      </c>
      <c r="N549">
        <f t="shared" si="33"/>
        <v>2</v>
      </c>
      <c r="O549">
        <f t="shared" si="34"/>
        <v>52.96</v>
      </c>
      <c r="P549" t="str">
        <f t="shared" si="35"/>
        <v>OK</v>
      </c>
    </row>
    <row r="550" spans="1:16" x14ac:dyDescent="0.35">
      <c r="A550" t="s">
        <v>869</v>
      </c>
      <c r="B550" s="3">
        <v>45328</v>
      </c>
      <c r="C550" t="s">
        <v>18</v>
      </c>
      <c r="D550" t="s">
        <v>57</v>
      </c>
      <c r="E550" t="s">
        <v>166</v>
      </c>
      <c r="F550" t="s">
        <v>35</v>
      </c>
      <c r="G550" t="s">
        <v>36</v>
      </c>
      <c r="H550">
        <v>3</v>
      </c>
      <c r="I550">
        <v>140.44999999999999</v>
      </c>
      <c r="J550">
        <v>0</v>
      </c>
      <c r="K550">
        <v>421.35</v>
      </c>
      <c r="M550" t="str">
        <f t="shared" si="32"/>
        <v>Feb</v>
      </c>
      <c r="N550">
        <f t="shared" si="33"/>
        <v>2</v>
      </c>
      <c r="O550">
        <f t="shared" si="34"/>
        <v>421.34999999999997</v>
      </c>
      <c r="P550" t="str">
        <f t="shared" si="35"/>
        <v>OK</v>
      </c>
    </row>
    <row r="551" spans="1:16" x14ac:dyDescent="0.35">
      <c r="A551" t="s">
        <v>870</v>
      </c>
      <c r="B551" s="3">
        <v>45451</v>
      </c>
      <c r="C551" t="s">
        <v>65</v>
      </c>
      <c r="D551" t="s">
        <v>57</v>
      </c>
      <c r="E551" t="s">
        <v>590</v>
      </c>
      <c r="F551" t="s">
        <v>15</v>
      </c>
      <c r="G551" t="s">
        <v>27</v>
      </c>
      <c r="H551">
        <v>9</v>
      </c>
      <c r="I551">
        <v>38.229999999999997</v>
      </c>
      <c r="J551">
        <v>0.1</v>
      </c>
      <c r="K551">
        <v>309.66000000000003</v>
      </c>
      <c r="M551" t="str">
        <f t="shared" si="32"/>
        <v>Jun</v>
      </c>
      <c r="N551">
        <f t="shared" si="33"/>
        <v>6</v>
      </c>
      <c r="O551">
        <f t="shared" si="34"/>
        <v>309.66300000000001</v>
      </c>
      <c r="P551" t="str">
        <f t="shared" si="35"/>
        <v>OK</v>
      </c>
    </row>
    <row r="552" spans="1:16" x14ac:dyDescent="0.35">
      <c r="A552" t="s">
        <v>871</v>
      </c>
      <c r="B552" s="3">
        <v>45503</v>
      </c>
      <c r="C552" t="s">
        <v>41</v>
      </c>
      <c r="D552" t="s">
        <v>42</v>
      </c>
      <c r="E552" t="s">
        <v>526</v>
      </c>
      <c r="F552" t="s">
        <v>21</v>
      </c>
      <c r="G552" t="s">
        <v>70</v>
      </c>
      <c r="H552">
        <v>3</v>
      </c>
      <c r="I552">
        <v>115.47</v>
      </c>
      <c r="J552">
        <v>0.05</v>
      </c>
      <c r="K552">
        <v>329.09</v>
      </c>
      <c r="M552" t="str">
        <f t="shared" si="32"/>
        <v>Jul</v>
      </c>
      <c r="N552">
        <f t="shared" si="33"/>
        <v>7</v>
      </c>
      <c r="O552">
        <f t="shared" si="34"/>
        <v>329.08949999999993</v>
      </c>
      <c r="P552" t="str">
        <f t="shared" si="35"/>
        <v>OK</v>
      </c>
    </row>
    <row r="553" spans="1:16" x14ac:dyDescent="0.35">
      <c r="A553" t="s">
        <v>872</v>
      </c>
      <c r="B553" s="3">
        <v>45323</v>
      </c>
      <c r="C553" t="s">
        <v>65</v>
      </c>
      <c r="D553" t="s">
        <v>25</v>
      </c>
      <c r="E553" t="s">
        <v>590</v>
      </c>
      <c r="F553" t="s">
        <v>44</v>
      </c>
      <c r="G553" t="s">
        <v>45</v>
      </c>
      <c r="H553">
        <v>6</v>
      </c>
      <c r="I553">
        <v>248.34</v>
      </c>
      <c r="J553">
        <v>0.05</v>
      </c>
      <c r="K553">
        <v>1415.54</v>
      </c>
      <c r="M553" t="str">
        <f t="shared" si="32"/>
        <v>Feb</v>
      </c>
      <c r="N553">
        <f t="shared" si="33"/>
        <v>2</v>
      </c>
      <c r="O553">
        <f t="shared" si="34"/>
        <v>1415.538</v>
      </c>
      <c r="P553" t="str">
        <f t="shared" si="35"/>
        <v>OK</v>
      </c>
    </row>
    <row r="554" spans="1:16" x14ac:dyDescent="0.35">
      <c r="A554" t="s">
        <v>873</v>
      </c>
      <c r="B554" s="3">
        <v>45602</v>
      </c>
      <c r="C554" t="s">
        <v>65</v>
      </c>
      <c r="D554" t="s">
        <v>13</v>
      </c>
      <c r="E554" t="s">
        <v>506</v>
      </c>
      <c r="F554" t="s">
        <v>21</v>
      </c>
      <c r="G554" t="s">
        <v>70</v>
      </c>
      <c r="H554">
        <v>10</v>
      </c>
      <c r="I554">
        <v>48.47</v>
      </c>
      <c r="J554">
        <v>0.1</v>
      </c>
      <c r="K554">
        <v>436.23</v>
      </c>
      <c r="M554" t="str">
        <f t="shared" si="32"/>
        <v>Nov</v>
      </c>
      <c r="N554">
        <f t="shared" si="33"/>
        <v>11</v>
      </c>
      <c r="O554">
        <f t="shared" si="34"/>
        <v>436.23</v>
      </c>
      <c r="P554" t="str">
        <f t="shared" si="35"/>
        <v>OK</v>
      </c>
    </row>
    <row r="555" spans="1:16" x14ac:dyDescent="0.35">
      <c r="A555" t="s">
        <v>874</v>
      </c>
      <c r="B555" s="3">
        <v>45621</v>
      </c>
      <c r="C555" t="s">
        <v>33</v>
      </c>
      <c r="D555" t="s">
        <v>13</v>
      </c>
      <c r="E555" t="s">
        <v>620</v>
      </c>
      <c r="F555" t="s">
        <v>15</v>
      </c>
      <c r="G555" t="s">
        <v>16</v>
      </c>
      <c r="H555">
        <v>9</v>
      </c>
      <c r="I555">
        <v>159.53</v>
      </c>
      <c r="J555">
        <v>0</v>
      </c>
      <c r="K555">
        <v>1435.77</v>
      </c>
      <c r="M555" t="str">
        <f t="shared" si="32"/>
        <v>Nov</v>
      </c>
      <c r="N555">
        <f t="shared" si="33"/>
        <v>11</v>
      </c>
      <c r="O555">
        <f t="shared" si="34"/>
        <v>1435.77</v>
      </c>
      <c r="P555" t="str">
        <f t="shared" si="35"/>
        <v>OK</v>
      </c>
    </row>
    <row r="556" spans="1:16" x14ac:dyDescent="0.35">
      <c r="A556" t="s">
        <v>876</v>
      </c>
      <c r="B556" s="3">
        <v>45333</v>
      </c>
      <c r="C556" t="s">
        <v>65</v>
      </c>
      <c r="D556" t="s">
        <v>2216</v>
      </c>
      <c r="E556" t="s">
        <v>2217</v>
      </c>
      <c r="F556" t="s">
        <v>35</v>
      </c>
      <c r="G556" t="s">
        <v>36</v>
      </c>
      <c r="H556">
        <v>3</v>
      </c>
      <c r="I556">
        <v>20.239999999999998</v>
      </c>
      <c r="J556">
        <v>0.05</v>
      </c>
      <c r="K556">
        <v>57.68</v>
      </c>
      <c r="M556" t="str">
        <f t="shared" si="32"/>
        <v>Feb</v>
      </c>
      <c r="N556">
        <f t="shared" si="33"/>
        <v>2</v>
      </c>
      <c r="O556">
        <f t="shared" si="34"/>
        <v>57.683999999999997</v>
      </c>
      <c r="P556" t="str">
        <f t="shared" si="35"/>
        <v>OK</v>
      </c>
    </row>
    <row r="557" spans="1:16" x14ac:dyDescent="0.35">
      <c r="A557" t="s">
        <v>877</v>
      </c>
      <c r="B557" s="3">
        <v>45566</v>
      </c>
      <c r="C557" t="s">
        <v>33</v>
      </c>
      <c r="D557" t="s">
        <v>13</v>
      </c>
      <c r="E557" t="s">
        <v>407</v>
      </c>
      <c r="F557" t="s">
        <v>44</v>
      </c>
      <c r="G557" t="s">
        <v>107</v>
      </c>
      <c r="H557">
        <v>12</v>
      </c>
      <c r="I557">
        <v>229.22</v>
      </c>
      <c r="J557">
        <v>0.1</v>
      </c>
      <c r="K557">
        <v>2475.58</v>
      </c>
      <c r="M557" t="str">
        <f t="shared" si="32"/>
        <v>Oct</v>
      </c>
      <c r="N557">
        <f t="shared" si="33"/>
        <v>10</v>
      </c>
      <c r="O557">
        <f t="shared" si="34"/>
        <v>2475.576</v>
      </c>
      <c r="P557" t="str">
        <f t="shared" si="35"/>
        <v>OK</v>
      </c>
    </row>
    <row r="558" spans="1:16" x14ac:dyDescent="0.35">
      <c r="A558" t="s">
        <v>878</v>
      </c>
      <c r="B558" s="3">
        <v>45561</v>
      </c>
      <c r="C558" t="s">
        <v>41</v>
      </c>
      <c r="D558" t="s">
        <v>42</v>
      </c>
      <c r="E558" t="s">
        <v>484</v>
      </c>
      <c r="F558" t="s">
        <v>53</v>
      </c>
      <c r="G558" t="s">
        <v>260</v>
      </c>
      <c r="H558">
        <v>2</v>
      </c>
      <c r="I558">
        <v>181.71</v>
      </c>
      <c r="J558">
        <v>0.1</v>
      </c>
      <c r="K558">
        <v>327.08</v>
      </c>
      <c r="M558" t="str">
        <f t="shared" si="32"/>
        <v>Sep</v>
      </c>
      <c r="N558">
        <f t="shared" si="33"/>
        <v>9</v>
      </c>
      <c r="O558">
        <f t="shared" si="34"/>
        <v>327.07800000000003</v>
      </c>
      <c r="P558" t="str">
        <f t="shared" si="35"/>
        <v>OK</v>
      </c>
    </row>
    <row r="559" spans="1:16" x14ac:dyDescent="0.35">
      <c r="A559" t="s">
        <v>879</v>
      </c>
      <c r="B559" s="3">
        <v>45352</v>
      </c>
      <c r="C559" t="s">
        <v>65</v>
      </c>
      <c r="D559" t="s">
        <v>13</v>
      </c>
      <c r="E559" t="s">
        <v>468</v>
      </c>
      <c r="F559" t="s">
        <v>21</v>
      </c>
      <c r="G559" t="s">
        <v>194</v>
      </c>
      <c r="H559">
        <v>4</v>
      </c>
      <c r="I559">
        <v>161.46</v>
      </c>
      <c r="J559">
        <v>0.1</v>
      </c>
      <c r="K559">
        <v>581.26</v>
      </c>
      <c r="M559" t="str">
        <f t="shared" si="32"/>
        <v>Mar</v>
      </c>
      <c r="N559">
        <f t="shared" si="33"/>
        <v>3</v>
      </c>
      <c r="O559">
        <f t="shared" si="34"/>
        <v>581.25600000000009</v>
      </c>
      <c r="P559" t="str">
        <f t="shared" si="35"/>
        <v>OK</v>
      </c>
    </row>
    <row r="560" spans="1:16" x14ac:dyDescent="0.35">
      <c r="A560" t="s">
        <v>880</v>
      </c>
      <c r="B560" s="3">
        <v>45476</v>
      </c>
      <c r="C560" t="s">
        <v>18</v>
      </c>
      <c r="D560" t="s">
        <v>25</v>
      </c>
      <c r="E560" t="s">
        <v>881</v>
      </c>
      <c r="F560" t="s">
        <v>15</v>
      </c>
      <c r="G560" t="s">
        <v>74</v>
      </c>
      <c r="H560">
        <v>11</v>
      </c>
      <c r="I560">
        <v>243.9</v>
      </c>
      <c r="J560">
        <v>0</v>
      </c>
      <c r="K560">
        <v>2682.9</v>
      </c>
      <c r="M560" t="str">
        <f t="shared" si="32"/>
        <v>Jul</v>
      </c>
      <c r="N560">
        <f t="shared" si="33"/>
        <v>7</v>
      </c>
      <c r="O560">
        <f t="shared" si="34"/>
        <v>2682.9</v>
      </c>
      <c r="P560" t="str">
        <f t="shared" si="35"/>
        <v>OK</v>
      </c>
    </row>
    <row r="561" spans="1:16" x14ac:dyDescent="0.35">
      <c r="A561" t="s">
        <v>882</v>
      </c>
      <c r="B561" s="3">
        <v>45504</v>
      </c>
      <c r="C561" t="s">
        <v>33</v>
      </c>
      <c r="D561" t="s">
        <v>57</v>
      </c>
      <c r="E561" t="s">
        <v>542</v>
      </c>
      <c r="F561" t="s">
        <v>35</v>
      </c>
      <c r="G561" t="s">
        <v>134</v>
      </c>
      <c r="H561">
        <v>11</v>
      </c>
      <c r="I561">
        <v>221.16</v>
      </c>
      <c r="J561">
        <v>0</v>
      </c>
      <c r="K561">
        <v>2432.7600000000002</v>
      </c>
      <c r="M561" t="str">
        <f t="shared" si="32"/>
        <v>Jul</v>
      </c>
      <c r="N561">
        <f t="shared" si="33"/>
        <v>7</v>
      </c>
      <c r="O561">
        <f t="shared" si="34"/>
        <v>2432.7599999999998</v>
      </c>
      <c r="P561" t="str">
        <f t="shared" si="35"/>
        <v>OK</v>
      </c>
    </row>
    <row r="562" spans="1:16" x14ac:dyDescent="0.35">
      <c r="A562" t="s">
        <v>883</v>
      </c>
      <c r="B562" s="3">
        <v>45611</v>
      </c>
      <c r="C562" t="s">
        <v>65</v>
      </c>
      <c r="D562" t="s">
        <v>19</v>
      </c>
      <c r="E562" t="s">
        <v>884</v>
      </c>
      <c r="F562" t="s">
        <v>44</v>
      </c>
      <c r="G562" t="s">
        <v>86</v>
      </c>
      <c r="H562">
        <v>4</v>
      </c>
      <c r="I562">
        <v>74.63</v>
      </c>
      <c r="J562">
        <v>0</v>
      </c>
      <c r="K562">
        <v>298.52</v>
      </c>
      <c r="M562" t="str">
        <f t="shared" si="32"/>
        <v>Nov</v>
      </c>
      <c r="N562">
        <f t="shared" si="33"/>
        <v>11</v>
      </c>
      <c r="O562">
        <f t="shared" si="34"/>
        <v>298.52</v>
      </c>
      <c r="P562" t="str">
        <f t="shared" si="35"/>
        <v>OK</v>
      </c>
    </row>
    <row r="563" spans="1:16" x14ac:dyDescent="0.35">
      <c r="A563" t="s">
        <v>885</v>
      </c>
      <c r="B563" s="3">
        <v>45532</v>
      </c>
      <c r="C563" t="s">
        <v>65</v>
      </c>
      <c r="D563" t="s">
        <v>57</v>
      </c>
      <c r="E563" t="s">
        <v>212</v>
      </c>
      <c r="F563" t="s">
        <v>21</v>
      </c>
      <c r="G563" t="s">
        <v>70</v>
      </c>
      <c r="H563">
        <v>10</v>
      </c>
      <c r="I563">
        <v>97.64</v>
      </c>
      <c r="J563">
        <v>0</v>
      </c>
      <c r="K563">
        <v>976.4</v>
      </c>
      <c r="M563" t="str">
        <f t="shared" si="32"/>
        <v>Aug</v>
      </c>
      <c r="N563">
        <f t="shared" si="33"/>
        <v>8</v>
      </c>
      <c r="O563">
        <f t="shared" si="34"/>
        <v>976.4</v>
      </c>
      <c r="P563" t="str">
        <f t="shared" si="35"/>
        <v>OK</v>
      </c>
    </row>
    <row r="564" spans="1:16" x14ac:dyDescent="0.35">
      <c r="A564" t="s">
        <v>886</v>
      </c>
      <c r="B564" s="3">
        <v>45569</v>
      </c>
      <c r="C564" t="s">
        <v>33</v>
      </c>
      <c r="D564" t="s">
        <v>42</v>
      </c>
      <c r="E564" t="s">
        <v>492</v>
      </c>
      <c r="F564" t="s">
        <v>35</v>
      </c>
      <c r="G564" t="s">
        <v>36</v>
      </c>
      <c r="H564">
        <v>10</v>
      </c>
      <c r="I564">
        <v>69.75</v>
      </c>
      <c r="J564">
        <v>0.1</v>
      </c>
      <c r="K564">
        <v>627.75</v>
      </c>
      <c r="M564" t="str">
        <f t="shared" si="32"/>
        <v>Oct</v>
      </c>
      <c r="N564">
        <f t="shared" si="33"/>
        <v>10</v>
      </c>
      <c r="O564">
        <f t="shared" si="34"/>
        <v>627.75</v>
      </c>
      <c r="P564" t="str">
        <f t="shared" si="35"/>
        <v>OK</v>
      </c>
    </row>
    <row r="565" spans="1:16" x14ac:dyDescent="0.35">
      <c r="A565" t="s">
        <v>887</v>
      </c>
      <c r="B565" s="3">
        <v>45339</v>
      </c>
      <c r="C565" t="s">
        <v>24</v>
      </c>
      <c r="D565" t="s">
        <v>13</v>
      </c>
      <c r="E565" t="s">
        <v>171</v>
      </c>
      <c r="F565" t="s">
        <v>44</v>
      </c>
      <c r="G565" t="s">
        <v>86</v>
      </c>
      <c r="H565">
        <v>5</v>
      </c>
      <c r="I565">
        <v>28.83</v>
      </c>
      <c r="J565">
        <v>0.15</v>
      </c>
      <c r="K565">
        <v>122.53</v>
      </c>
      <c r="M565" t="str">
        <f t="shared" si="32"/>
        <v>Feb</v>
      </c>
      <c r="N565">
        <f t="shared" si="33"/>
        <v>2</v>
      </c>
      <c r="O565">
        <f t="shared" si="34"/>
        <v>122.52749999999997</v>
      </c>
      <c r="P565" t="str">
        <f t="shared" si="35"/>
        <v>OK</v>
      </c>
    </row>
    <row r="566" spans="1:16" x14ac:dyDescent="0.35">
      <c r="A566" t="s">
        <v>888</v>
      </c>
      <c r="B566" s="3">
        <v>45379</v>
      </c>
      <c r="C566" t="s">
        <v>18</v>
      </c>
      <c r="D566" t="s">
        <v>42</v>
      </c>
      <c r="E566" t="s">
        <v>189</v>
      </c>
      <c r="F566" t="s">
        <v>21</v>
      </c>
      <c r="G566" t="s">
        <v>194</v>
      </c>
      <c r="H566">
        <v>10</v>
      </c>
      <c r="I566">
        <v>208.44</v>
      </c>
      <c r="J566">
        <v>0</v>
      </c>
      <c r="K566">
        <v>2084.4</v>
      </c>
      <c r="M566" t="str">
        <f t="shared" si="32"/>
        <v>Mar</v>
      </c>
      <c r="N566">
        <f t="shared" si="33"/>
        <v>3</v>
      </c>
      <c r="O566">
        <f t="shared" si="34"/>
        <v>2084.4</v>
      </c>
      <c r="P566" t="str">
        <f t="shared" si="35"/>
        <v>OK</v>
      </c>
    </row>
    <row r="567" spans="1:16" x14ac:dyDescent="0.35">
      <c r="A567" t="s">
        <v>890</v>
      </c>
      <c r="B567" s="3">
        <v>45403</v>
      </c>
      <c r="C567" t="s">
        <v>65</v>
      </c>
      <c r="D567" t="s">
        <v>57</v>
      </c>
      <c r="E567" t="s">
        <v>93</v>
      </c>
      <c r="F567" t="s">
        <v>15</v>
      </c>
      <c r="G567" t="s">
        <v>27</v>
      </c>
      <c r="H567">
        <v>6</v>
      </c>
      <c r="I567">
        <v>16.100000000000001</v>
      </c>
      <c r="J567">
        <v>0.15</v>
      </c>
      <c r="K567">
        <v>82.11</v>
      </c>
      <c r="M567" t="str">
        <f t="shared" si="32"/>
        <v>Apr</v>
      </c>
      <c r="N567">
        <f t="shared" si="33"/>
        <v>4</v>
      </c>
      <c r="O567">
        <f t="shared" si="34"/>
        <v>82.11</v>
      </c>
      <c r="P567" t="str">
        <f t="shared" si="35"/>
        <v>OK</v>
      </c>
    </row>
    <row r="568" spans="1:16" x14ac:dyDescent="0.35">
      <c r="A568" t="s">
        <v>891</v>
      </c>
      <c r="B568" s="3">
        <v>45295</v>
      </c>
      <c r="C568" t="s">
        <v>65</v>
      </c>
      <c r="D568" t="s">
        <v>19</v>
      </c>
      <c r="E568" t="s">
        <v>590</v>
      </c>
      <c r="F568" t="s">
        <v>44</v>
      </c>
      <c r="G568" t="s">
        <v>86</v>
      </c>
      <c r="H568">
        <v>4</v>
      </c>
      <c r="I568">
        <v>246.18</v>
      </c>
      <c r="J568">
        <v>0</v>
      </c>
      <c r="K568">
        <v>984.72</v>
      </c>
      <c r="M568" t="str">
        <f t="shared" si="32"/>
        <v>Jan</v>
      </c>
      <c r="N568">
        <f t="shared" si="33"/>
        <v>1</v>
      </c>
      <c r="O568">
        <f t="shared" si="34"/>
        <v>984.72</v>
      </c>
      <c r="P568" t="str">
        <f t="shared" si="35"/>
        <v>OK</v>
      </c>
    </row>
    <row r="569" spans="1:16" x14ac:dyDescent="0.35">
      <c r="A569" t="s">
        <v>892</v>
      </c>
      <c r="B569" s="3">
        <v>45435</v>
      </c>
      <c r="C569" t="s">
        <v>24</v>
      </c>
      <c r="D569" t="s">
        <v>42</v>
      </c>
      <c r="E569" t="s">
        <v>82</v>
      </c>
      <c r="F569" t="s">
        <v>35</v>
      </c>
      <c r="G569" t="s">
        <v>36</v>
      </c>
      <c r="H569">
        <v>11</v>
      </c>
      <c r="I569">
        <v>181.2</v>
      </c>
      <c r="J569">
        <v>0.05</v>
      </c>
      <c r="K569">
        <v>1893.54</v>
      </c>
      <c r="M569" t="str">
        <f t="shared" si="32"/>
        <v>May</v>
      </c>
      <c r="N569">
        <f t="shared" si="33"/>
        <v>5</v>
      </c>
      <c r="O569">
        <f t="shared" si="34"/>
        <v>1893.5399999999997</v>
      </c>
      <c r="P569" t="str">
        <f t="shared" si="35"/>
        <v>OK</v>
      </c>
    </row>
    <row r="570" spans="1:16" x14ac:dyDescent="0.35">
      <c r="A570" t="s">
        <v>893</v>
      </c>
      <c r="B570" s="3">
        <v>45378</v>
      </c>
      <c r="C570" t="s">
        <v>18</v>
      </c>
      <c r="D570" t="s">
        <v>19</v>
      </c>
      <c r="E570" t="s">
        <v>115</v>
      </c>
      <c r="F570" t="s">
        <v>35</v>
      </c>
      <c r="G570" t="s">
        <v>177</v>
      </c>
      <c r="H570">
        <v>8</v>
      </c>
      <c r="I570">
        <v>181.48</v>
      </c>
      <c r="J570">
        <v>0</v>
      </c>
      <c r="K570">
        <v>1451.84</v>
      </c>
      <c r="M570" t="str">
        <f t="shared" si="32"/>
        <v>Mar</v>
      </c>
      <c r="N570">
        <f t="shared" si="33"/>
        <v>3</v>
      </c>
      <c r="O570">
        <f t="shared" si="34"/>
        <v>1451.84</v>
      </c>
      <c r="P570" t="str">
        <f t="shared" si="35"/>
        <v>OK</v>
      </c>
    </row>
    <row r="571" spans="1:16" x14ac:dyDescent="0.35">
      <c r="A571" t="s">
        <v>895</v>
      </c>
      <c r="B571" s="3">
        <v>45441</v>
      </c>
      <c r="C571" t="s">
        <v>65</v>
      </c>
      <c r="D571" t="s">
        <v>13</v>
      </c>
      <c r="E571" t="s">
        <v>142</v>
      </c>
      <c r="F571" t="s">
        <v>21</v>
      </c>
      <c r="G571" t="s">
        <v>167</v>
      </c>
      <c r="H571">
        <v>9</v>
      </c>
      <c r="I571">
        <v>72.34</v>
      </c>
      <c r="J571">
        <v>0</v>
      </c>
      <c r="K571">
        <v>651.05999999999995</v>
      </c>
      <c r="M571" t="str">
        <f t="shared" si="32"/>
        <v>May</v>
      </c>
      <c r="N571">
        <f t="shared" si="33"/>
        <v>5</v>
      </c>
      <c r="O571">
        <f t="shared" si="34"/>
        <v>651.06000000000006</v>
      </c>
      <c r="P571" t="str">
        <f t="shared" si="35"/>
        <v>OK</v>
      </c>
    </row>
    <row r="572" spans="1:16" x14ac:dyDescent="0.35">
      <c r="A572" t="s">
        <v>896</v>
      </c>
      <c r="B572" s="3">
        <v>45344</v>
      </c>
      <c r="C572" t="s">
        <v>24</v>
      </c>
      <c r="D572" t="s">
        <v>19</v>
      </c>
      <c r="E572" t="s">
        <v>88</v>
      </c>
      <c r="F572" t="s">
        <v>44</v>
      </c>
      <c r="G572" t="s">
        <v>107</v>
      </c>
      <c r="H572">
        <v>5</v>
      </c>
      <c r="I572">
        <v>85.34</v>
      </c>
      <c r="J572">
        <v>0</v>
      </c>
      <c r="K572">
        <v>426.7</v>
      </c>
      <c r="M572" t="str">
        <f t="shared" si="32"/>
        <v>Feb</v>
      </c>
      <c r="N572">
        <f t="shared" si="33"/>
        <v>2</v>
      </c>
      <c r="O572">
        <f t="shared" si="34"/>
        <v>426.70000000000005</v>
      </c>
      <c r="P572" t="str">
        <f t="shared" si="35"/>
        <v>OK</v>
      </c>
    </row>
    <row r="573" spans="1:16" x14ac:dyDescent="0.35">
      <c r="A573" t="s">
        <v>897</v>
      </c>
      <c r="B573" s="3">
        <v>45612</v>
      </c>
      <c r="C573" t="s">
        <v>33</v>
      </c>
      <c r="D573" t="s">
        <v>57</v>
      </c>
      <c r="E573" t="s">
        <v>189</v>
      </c>
      <c r="F573" t="s">
        <v>53</v>
      </c>
      <c r="G573" t="s">
        <v>104</v>
      </c>
      <c r="H573">
        <v>2</v>
      </c>
      <c r="I573">
        <v>146.84</v>
      </c>
      <c r="J573">
        <v>0</v>
      </c>
      <c r="K573">
        <v>293.68</v>
      </c>
      <c r="M573" t="str">
        <f t="shared" si="32"/>
        <v>Nov</v>
      </c>
      <c r="N573">
        <f t="shared" si="33"/>
        <v>11</v>
      </c>
      <c r="O573">
        <f t="shared" si="34"/>
        <v>293.68</v>
      </c>
      <c r="P573" t="str">
        <f t="shared" si="35"/>
        <v>OK</v>
      </c>
    </row>
    <row r="574" spans="1:16" x14ac:dyDescent="0.35">
      <c r="A574" t="s">
        <v>898</v>
      </c>
      <c r="B574" s="3">
        <v>45356</v>
      </c>
      <c r="C574" t="s">
        <v>18</v>
      </c>
      <c r="D574" t="s">
        <v>19</v>
      </c>
      <c r="E574" t="s">
        <v>412</v>
      </c>
      <c r="F574" t="s">
        <v>44</v>
      </c>
      <c r="G574" t="s">
        <v>86</v>
      </c>
      <c r="H574">
        <v>7</v>
      </c>
      <c r="I574">
        <v>220.18</v>
      </c>
      <c r="J574">
        <v>0</v>
      </c>
      <c r="K574">
        <v>1541.26</v>
      </c>
      <c r="M574" t="str">
        <f t="shared" si="32"/>
        <v>Mar</v>
      </c>
      <c r="N574">
        <f t="shared" si="33"/>
        <v>3</v>
      </c>
      <c r="O574">
        <f t="shared" si="34"/>
        <v>1541.26</v>
      </c>
      <c r="P574" t="str">
        <f t="shared" si="35"/>
        <v>OK</v>
      </c>
    </row>
    <row r="575" spans="1:16" x14ac:dyDescent="0.35">
      <c r="A575" t="s">
        <v>899</v>
      </c>
      <c r="B575" s="3">
        <v>45560</v>
      </c>
      <c r="C575" t="s">
        <v>41</v>
      </c>
      <c r="D575" t="s">
        <v>13</v>
      </c>
      <c r="E575" t="s">
        <v>171</v>
      </c>
      <c r="F575" t="s">
        <v>15</v>
      </c>
      <c r="G575" t="s">
        <v>147</v>
      </c>
      <c r="H575">
        <v>6</v>
      </c>
      <c r="I575">
        <v>14.96</v>
      </c>
      <c r="J575">
        <v>0</v>
      </c>
      <c r="K575">
        <v>89.76</v>
      </c>
      <c r="M575" t="str">
        <f t="shared" si="32"/>
        <v>Sep</v>
      </c>
      <c r="N575">
        <f t="shared" si="33"/>
        <v>9</v>
      </c>
      <c r="O575">
        <f t="shared" si="34"/>
        <v>89.76</v>
      </c>
      <c r="P575" t="str">
        <f t="shared" si="35"/>
        <v>OK</v>
      </c>
    </row>
    <row r="576" spans="1:16" x14ac:dyDescent="0.35">
      <c r="A576" t="s">
        <v>900</v>
      </c>
      <c r="B576" s="3">
        <v>45319</v>
      </c>
      <c r="C576" t="s">
        <v>41</v>
      </c>
      <c r="D576" t="s">
        <v>42</v>
      </c>
      <c r="E576" t="s">
        <v>716</v>
      </c>
      <c r="F576" t="s">
        <v>21</v>
      </c>
      <c r="G576" t="s">
        <v>22</v>
      </c>
      <c r="H576">
        <v>1</v>
      </c>
      <c r="I576">
        <v>46.21</v>
      </c>
      <c r="J576">
        <v>0.05</v>
      </c>
      <c r="K576">
        <v>43.9</v>
      </c>
      <c r="M576" t="str">
        <f t="shared" si="32"/>
        <v>Jan</v>
      </c>
      <c r="N576">
        <f t="shared" si="33"/>
        <v>1</v>
      </c>
      <c r="O576">
        <f t="shared" si="34"/>
        <v>43.899499999999996</v>
      </c>
      <c r="P576" t="str">
        <f t="shared" si="35"/>
        <v>OK</v>
      </c>
    </row>
    <row r="577" spans="1:16" x14ac:dyDescent="0.35">
      <c r="A577" t="s">
        <v>901</v>
      </c>
      <c r="B577" s="3">
        <v>45560</v>
      </c>
      <c r="C577" t="s">
        <v>33</v>
      </c>
      <c r="D577" t="s">
        <v>2216</v>
      </c>
      <c r="E577" t="s">
        <v>902</v>
      </c>
      <c r="F577" t="s">
        <v>15</v>
      </c>
      <c r="G577" t="s">
        <v>147</v>
      </c>
      <c r="H577">
        <v>7</v>
      </c>
      <c r="I577">
        <v>117.87</v>
      </c>
      <c r="J577">
        <v>0</v>
      </c>
      <c r="K577">
        <v>825.09</v>
      </c>
      <c r="M577" t="str">
        <f t="shared" si="32"/>
        <v>Sep</v>
      </c>
      <c r="N577">
        <f t="shared" si="33"/>
        <v>9</v>
      </c>
      <c r="O577">
        <f t="shared" si="34"/>
        <v>825.09</v>
      </c>
      <c r="P577" t="str">
        <f t="shared" si="35"/>
        <v>OK</v>
      </c>
    </row>
    <row r="578" spans="1:16" x14ac:dyDescent="0.35">
      <c r="A578" t="s">
        <v>903</v>
      </c>
      <c r="B578" s="3">
        <v>45510</v>
      </c>
      <c r="C578" t="s">
        <v>65</v>
      </c>
      <c r="D578" t="s">
        <v>13</v>
      </c>
      <c r="E578" t="s">
        <v>282</v>
      </c>
      <c r="F578" t="s">
        <v>53</v>
      </c>
      <c r="G578" t="s">
        <v>63</v>
      </c>
      <c r="H578">
        <v>1</v>
      </c>
      <c r="I578">
        <v>188.15</v>
      </c>
      <c r="J578">
        <v>0.15</v>
      </c>
      <c r="K578">
        <v>159.93</v>
      </c>
      <c r="M578" t="str">
        <f t="shared" si="32"/>
        <v>Aug</v>
      </c>
      <c r="N578">
        <f t="shared" si="33"/>
        <v>8</v>
      </c>
      <c r="O578">
        <f t="shared" si="34"/>
        <v>159.92750000000001</v>
      </c>
      <c r="P578" t="str">
        <f t="shared" si="35"/>
        <v>OK</v>
      </c>
    </row>
    <row r="579" spans="1:16" x14ac:dyDescent="0.35">
      <c r="A579" t="s">
        <v>904</v>
      </c>
      <c r="B579" s="3">
        <v>45383</v>
      </c>
      <c r="C579" t="s">
        <v>24</v>
      </c>
      <c r="D579" t="s">
        <v>2216</v>
      </c>
      <c r="E579" t="s">
        <v>212</v>
      </c>
      <c r="F579" t="s">
        <v>35</v>
      </c>
      <c r="G579" t="s">
        <v>36</v>
      </c>
      <c r="H579">
        <v>5</v>
      </c>
      <c r="I579">
        <v>156</v>
      </c>
      <c r="J579">
        <v>0</v>
      </c>
      <c r="K579">
        <v>780</v>
      </c>
      <c r="M579" t="str">
        <f t="shared" ref="M579:M642" si="36">TEXT(B579,"mmm")</f>
        <v>Apr</v>
      </c>
      <c r="N579">
        <f t="shared" ref="N579:N642" si="37">MONTH(B579)</f>
        <v>4</v>
      </c>
      <c r="O579">
        <f t="shared" ref="O579:O642" si="38">H579*I579*(1-J579)</f>
        <v>780</v>
      </c>
      <c r="P579" t="str">
        <f t="shared" ref="P579:P642" si="39">IF(ROUND(K579,2)=ROUND(O579,2),"OK","MISMATCH")</f>
        <v>OK</v>
      </c>
    </row>
    <row r="580" spans="1:16" x14ac:dyDescent="0.35">
      <c r="A580" t="s">
        <v>905</v>
      </c>
      <c r="B580" s="3">
        <v>45358</v>
      </c>
      <c r="C580" t="s">
        <v>18</v>
      </c>
      <c r="D580" t="s">
        <v>19</v>
      </c>
      <c r="E580" t="s">
        <v>77</v>
      </c>
      <c r="F580" t="s">
        <v>15</v>
      </c>
      <c r="G580" t="s">
        <v>147</v>
      </c>
      <c r="H580">
        <v>2</v>
      </c>
      <c r="I580">
        <v>122.28</v>
      </c>
      <c r="J580">
        <v>0.15</v>
      </c>
      <c r="K580">
        <v>207.88</v>
      </c>
      <c r="M580" t="str">
        <f t="shared" si="36"/>
        <v>Mar</v>
      </c>
      <c r="N580">
        <f t="shared" si="37"/>
        <v>3</v>
      </c>
      <c r="O580">
        <f t="shared" si="38"/>
        <v>207.876</v>
      </c>
      <c r="P580" t="str">
        <f t="shared" si="39"/>
        <v>OK</v>
      </c>
    </row>
    <row r="581" spans="1:16" x14ac:dyDescent="0.35">
      <c r="A581" t="s">
        <v>906</v>
      </c>
      <c r="B581" s="3">
        <v>45420</v>
      </c>
      <c r="C581" t="s">
        <v>41</v>
      </c>
      <c r="D581" t="s">
        <v>13</v>
      </c>
      <c r="E581" t="s">
        <v>480</v>
      </c>
      <c r="F581" t="s">
        <v>15</v>
      </c>
      <c r="G581" t="s">
        <v>111</v>
      </c>
      <c r="H581">
        <v>6</v>
      </c>
      <c r="I581">
        <v>27.84</v>
      </c>
      <c r="J581">
        <v>0</v>
      </c>
      <c r="K581">
        <v>167.04</v>
      </c>
      <c r="M581" t="str">
        <f t="shared" si="36"/>
        <v>May</v>
      </c>
      <c r="N581">
        <f t="shared" si="37"/>
        <v>5</v>
      </c>
      <c r="O581">
        <f t="shared" si="38"/>
        <v>167.04</v>
      </c>
      <c r="P581" t="str">
        <f t="shared" si="39"/>
        <v>OK</v>
      </c>
    </row>
    <row r="582" spans="1:16" x14ac:dyDescent="0.35">
      <c r="A582" t="s">
        <v>907</v>
      </c>
      <c r="B582" s="3">
        <v>45314</v>
      </c>
      <c r="C582" t="s">
        <v>24</v>
      </c>
      <c r="D582" t="s">
        <v>25</v>
      </c>
      <c r="E582" t="s">
        <v>366</v>
      </c>
      <c r="F582" t="s">
        <v>53</v>
      </c>
      <c r="G582" t="s">
        <v>125</v>
      </c>
      <c r="H582">
        <v>6</v>
      </c>
      <c r="I582">
        <v>241.87</v>
      </c>
      <c r="J582">
        <v>0.05</v>
      </c>
      <c r="K582">
        <v>1378.66</v>
      </c>
      <c r="M582" t="str">
        <f t="shared" si="36"/>
        <v>Jan</v>
      </c>
      <c r="N582">
        <f t="shared" si="37"/>
        <v>1</v>
      </c>
      <c r="O582">
        <f t="shared" si="38"/>
        <v>1378.6589999999999</v>
      </c>
      <c r="P582" t="str">
        <f t="shared" si="39"/>
        <v>OK</v>
      </c>
    </row>
    <row r="583" spans="1:16" x14ac:dyDescent="0.35">
      <c r="A583" t="s">
        <v>908</v>
      </c>
      <c r="B583" s="3">
        <v>45307</v>
      </c>
      <c r="C583" t="s">
        <v>33</v>
      </c>
      <c r="D583" t="s">
        <v>19</v>
      </c>
      <c r="E583" t="s">
        <v>339</v>
      </c>
      <c r="F583" t="s">
        <v>35</v>
      </c>
      <c r="G583" t="s">
        <v>36</v>
      </c>
      <c r="H583">
        <v>11</v>
      </c>
      <c r="I583">
        <v>122.08</v>
      </c>
      <c r="J583">
        <v>0</v>
      </c>
      <c r="K583">
        <v>1342.88</v>
      </c>
      <c r="M583" t="str">
        <f t="shared" si="36"/>
        <v>Jan</v>
      </c>
      <c r="N583">
        <f t="shared" si="37"/>
        <v>1</v>
      </c>
      <c r="O583">
        <f t="shared" si="38"/>
        <v>1342.8799999999999</v>
      </c>
      <c r="P583" t="str">
        <f t="shared" si="39"/>
        <v>OK</v>
      </c>
    </row>
    <row r="584" spans="1:16" x14ac:dyDescent="0.35">
      <c r="A584" t="s">
        <v>910</v>
      </c>
      <c r="B584" s="3">
        <v>45377</v>
      </c>
      <c r="C584" t="s">
        <v>41</v>
      </c>
      <c r="D584" t="s">
        <v>42</v>
      </c>
      <c r="E584" t="s">
        <v>152</v>
      </c>
      <c r="F584" t="s">
        <v>35</v>
      </c>
      <c r="G584" t="s">
        <v>36</v>
      </c>
      <c r="H584">
        <v>9</v>
      </c>
      <c r="I584">
        <v>113.14</v>
      </c>
      <c r="J584">
        <v>0.1</v>
      </c>
      <c r="K584">
        <v>916.43</v>
      </c>
      <c r="M584" t="str">
        <f t="shared" si="36"/>
        <v>Mar</v>
      </c>
      <c r="N584">
        <f t="shared" si="37"/>
        <v>3</v>
      </c>
      <c r="O584">
        <f t="shared" si="38"/>
        <v>916.43399999999997</v>
      </c>
      <c r="P584" t="str">
        <f t="shared" si="39"/>
        <v>OK</v>
      </c>
    </row>
    <row r="585" spans="1:16" x14ac:dyDescent="0.35">
      <c r="A585" t="s">
        <v>911</v>
      </c>
      <c r="B585" s="3">
        <v>45456</v>
      </c>
      <c r="C585" t="s">
        <v>33</v>
      </c>
      <c r="D585" t="s">
        <v>19</v>
      </c>
      <c r="E585" t="s">
        <v>638</v>
      </c>
      <c r="F585" t="s">
        <v>35</v>
      </c>
      <c r="G585" t="s">
        <v>177</v>
      </c>
      <c r="H585">
        <v>2</v>
      </c>
      <c r="I585">
        <v>163.24</v>
      </c>
      <c r="J585">
        <v>0.15</v>
      </c>
      <c r="K585">
        <v>277.51</v>
      </c>
      <c r="M585" t="str">
        <f t="shared" si="36"/>
        <v>Jun</v>
      </c>
      <c r="N585">
        <f t="shared" si="37"/>
        <v>6</v>
      </c>
      <c r="O585">
        <f t="shared" si="38"/>
        <v>277.50799999999998</v>
      </c>
      <c r="P585" t="str">
        <f t="shared" si="39"/>
        <v>OK</v>
      </c>
    </row>
    <row r="586" spans="1:16" x14ac:dyDescent="0.35">
      <c r="A586" t="s">
        <v>912</v>
      </c>
      <c r="B586" s="3">
        <v>45522</v>
      </c>
      <c r="C586" t="s">
        <v>65</v>
      </c>
      <c r="D586" t="s">
        <v>13</v>
      </c>
      <c r="E586" t="s">
        <v>674</v>
      </c>
      <c r="F586" t="s">
        <v>35</v>
      </c>
      <c r="G586" t="s">
        <v>177</v>
      </c>
      <c r="H586">
        <v>12</v>
      </c>
      <c r="I586">
        <v>100.26</v>
      </c>
      <c r="J586">
        <v>0</v>
      </c>
      <c r="K586">
        <v>1203.1199999999999</v>
      </c>
      <c r="M586" t="str">
        <f t="shared" si="36"/>
        <v>Aug</v>
      </c>
      <c r="N586">
        <f t="shared" si="37"/>
        <v>8</v>
      </c>
      <c r="O586">
        <f t="shared" si="38"/>
        <v>1203.1200000000001</v>
      </c>
      <c r="P586" t="str">
        <f t="shared" si="39"/>
        <v>OK</v>
      </c>
    </row>
    <row r="587" spans="1:16" x14ac:dyDescent="0.35">
      <c r="A587" t="s">
        <v>913</v>
      </c>
      <c r="B587" s="3">
        <v>45392</v>
      </c>
      <c r="C587" t="s">
        <v>18</v>
      </c>
      <c r="D587" t="s">
        <v>25</v>
      </c>
      <c r="E587" t="s">
        <v>542</v>
      </c>
      <c r="F587" t="s">
        <v>21</v>
      </c>
      <c r="G587" t="s">
        <v>167</v>
      </c>
      <c r="H587">
        <v>12</v>
      </c>
      <c r="I587">
        <v>162.03</v>
      </c>
      <c r="J587">
        <v>0</v>
      </c>
      <c r="K587">
        <v>1944.36</v>
      </c>
      <c r="M587" t="str">
        <f t="shared" si="36"/>
        <v>Apr</v>
      </c>
      <c r="N587">
        <f t="shared" si="37"/>
        <v>4</v>
      </c>
      <c r="O587">
        <f t="shared" si="38"/>
        <v>1944.3600000000001</v>
      </c>
      <c r="P587" t="str">
        <f t="shared" si="39"/>
        <v>OK</v>
      </c>
    </row>
    <row r="588" spans="1:16" x14ac:dyDescent="0.35">
      <c r="A588" t="s">
        <v>914</v>
      </c>
      <c r="B588" s="3">
        <v>45387</v>
      </c>
      <c r="C588" t="s">
        <v>18</v>
      </c>
      <c r="D588" t="s">
        <v>19</v>
      </c>
      <c r="E588" t="s">
        <v>164</v>
      </c>
      <c r="F588" t="s">
        <v>15</v>
      </c>
      <c r="G588" t="s">
        <v>147</v>
      </c>
      <c r="H588">
        <v>2</v>
      </c>
      <c r="I588">
        <v>91.86</v>
      </c>
      <c r="J588">
        <v>0.05</v>
      </c>
      <c r="K588">
        <v>174.53</v>
      </c>
      <c r="M588" t="str">
        <f t="shared" si="36"/>
        <v>Apr</v>
      </c>
      <c r="N588">
        <f t="shared" si="37"/>
        <v>4</v>
      </c>
      <c r="O588">
        <f t="shared" si="38"/>
        <v>174.53399999999999</v>
      </c>
      <c r="P588" t="str">
        <f t="shared" si="39"/>
        <v>OK</v>
      </c>
    </row>
    <row r="589" spans="1:16" x14ac:dyDescent="0.35">
      <c r="A589" t="s">
        <v>915</v>
      </c>
      <c r="B589" s="3">
        <v>45454</v>
      </c>
      <c r="C589" t="s">
        <v>65</v>
      </c>
      <c r="D589" t="s">
        <v>57</v>
      </c>
      <c r="E589" t="s">
        <v>842</v>
      </c>
      <c r="F589" t="s">
        <v>44</v>
      </c>
      <c r="G589" t="s">
        <v>50</v>
      </c>
      <c r="H589">
        <v>2</v>
      </c>
      <c r="I589">
        <v>140.51</v>
      </c>
      <c r="J589">
        <v>0.05</v>
      </c>
      <c r="K589">
        <v>266.97000000000003</v>
      </c>
      <c r="M589" t="str">
        <f t="shared" si="36"/>
        <v>Jun</v>
      </c>
      <c r="N589">
        <f t="shared" si="37"/>
        <v>6</v>
      </c>
      <c r="O589">
        <f t="shared" si="38"/>
        <v>266.96899999999999</v>
      </c>
      <c r="P589" t="str">
        <f t="shared" si="39"/>
        <v>OK</v>
      </c>
    </row>
    <row r="590" spans="1:16" x14ac:dyDescent="0.35">
      <c r="A590" t="s">
        <v>916</v>
      </c>
      <c r="B590" s="3">
        <v>45561</v>
      </c>
      <c r="C590" t="s">
        <v>24</v>
      </c>
      <c r="D590" t="s">
        <v>57</v>
      </c>
      <c r="E590" t="s">
        <v>77</v>
      </c>
      <c r="F590" t="s">
        <v>53</v>
      </c>
      <c r="G590" t="s">
        <v>125</v>
      </c>
      <c r="H590">
        <v>10</v>
      </c>
      <c r="I590">
        <v>5.17</v>
      </c>
      <c r="J590">
        <v>0</v>
      </c>
      <c r="K590">
        <v>51.7</v>
      </c>
      <c r="M590" t="str">
        <f t="shared" si="36"/>
        <v>Sep</v>
      </c>
      <c r="N590">
        <f t="shared" si="37"/>
        <v>9</v>
      </c>
      <c r="O590">
        <f t="shared" si="38"/>
        <v>51.7</v>
      </c>
      <c r="P590" t="str">
        <f t="shared" si="39"/>
        <v>OK</v>
      </c>
    </row>
    <row r="591" spans="1:16" x14ac:dyDescent="0.35">
      <c r="A591" t="s">
        <v>917</v>
      </c>
      <c r="B591" s="3">
        <v>45394</v>
      </c>
      <c r="C591" t="s">
        <v>18</v>
      </c>
      <c r="D591" t="s">
        <v>19</v>
      </c>
      <c r="E591" t="s">
        <v>460</v>
      </c>
      <c r="F591" t="s">
        <v>53</v>
      </c>
      <c r="G591" t="s">
        <v>104</v>
      </c>
      <c r="H591">
        <v>5</v>
      </c>
      <c r="I591">
        <v>143.13</v>
      </c>
      <c r="J591">
        <v>0.15</v>
      </c>
      <c r="K591">
        <v>608.29999999999995</v>
      </c>
      <c r="M591" t="str">
        <f t="shared" si="36"/>
        <v>Apr</v>
      </c>
      <c r="N591">
        <f t="shared" si="37"/>
        <v>4</v>
      </c>
      <c r="O591">
        <f t="shared" si="38"/>
        <v>608.30250000000001</v>
      </c>
      <c r="P591" t="str">
        <f t="shared" si="39"/>
        <v>OK</v>
      </c>
    </row>
    <row r="592" spans="1:16" x14ac:dyDescent="0.35">
      <c r="A592" t="s">
        <v>918</v>
      </c>
      <c r="B592" s="3">
        <v>45438</v>
      </c>
      <c r="C592" t="s">
        <v>24</v>
      </c>
      <c r="D592" t="s">
        <v>13</v>
      </c>
      <c r="E592" t="s">
        <v>865</v>
      </c>
      <c r="F592" t="s">
        <v>53</v>
      </c>
      <c r="G592" t="s">
        <v>260</v>
      </c>
      <c r="H592">
        <v>2</v>
      </c>
      <c r="I592">
        <v>49.75</v>
      </c>
      <c r="J592">
        <v>0</v>
      </c>
      <c r="K592">
        <v>99.5</v>
      </c>
      <c r="M592" t="str">
        <f t="shared" si="36"/>
        <v>May</v>
      </c>
      <c r="N592">
        <f t="shared" si="37"/>
        <v>5</v>
      </c>
      <c r="O592">
        <f t="shared" si="38"/>
        <v>99.5</v>
      </c>
      <c r="P592" t="str">
        <f t="shared" si="39"/>
        <v>OK</v>
      </c>
    </row>
    <row r="593" spans="1:16" x14ac:dyDescent="0.35">
      <c r="A593" t="s">
        <v>919</v>
      </c>
      <c r="B593" s="3">
        <v>45485</v>
      </c>
      <c r="C593" t="s">
        <v>41</v>
      </c>
      <c r="D593" t="s">
        <v>13</v>
      </c>
      <c r="E593" t="s">
        <v>470</v>
      </c>
      <c r="F593" t="s">
        <v>44</v>
      </c>
      <c r="G593" t="s">
        <v>50</v>
      </c>
      <c r="H593">
        <v>3</v>
      </c>
      <c r="I593">
        <v>15.76</v>
      </c>
      <c r="J593">
        <v>0</v>
      </c>
      <c r="K593">
        <v>47.28</v>
      </c>
      <c r="M593" t="str">
        <f t="shared" si="36"/>
        <v>Jul</v>
      </c>
      <c r="N593">
        <f t="shared" si="37"/>
        <v>7</v>
      </c>
      <c r="O593">
        <f t="shared" si="38"/>
        <v>47.28</v>
      </c>
      <c r="P593" t="str">
        <f t="shared" si="39"/>
        <v>OK</v>
      </c>
    </row>
    <row r="594" spans="1:16" x14ac:dyDescent="0.35">
      <c r="A594" t="s">
        <v>920</v>
      </c>
      <c r="B594" s="3">
        <v>45458</v>
      </c>
      <c r="C594" t="s">
        <v>24</v>
      </c>
      <c r="D594" t="s">
        <v>19</v>
      </c>
      <c r="E594" t="s">
        <v>489</v>
      </c>
      <c r="F594" t="s">
        <v>53</v>
      </c>
      <c r="G594" t="s">
        <v>104</v>
      </c>
      <c r="H594">
        <v>11</v>
      </c>
      <c r="I594">
        <v>15.41</v>
      </c>
      <c r="J594">
        <v>0.15</v>
      </c>
      <c r="K594">
        <v>144.08000000000001</v>
      </c>
      <c r="M594" t="str">
        <f t="shared" si="36"/>
        <v>Jun</v>
      </c>
      <c r="N594">
        <f t="shared" si="37"/>
        <v>6</v>
      </c>
      <c r="O594">
        <f t="shared" si="38"/>
        <v>144.08349999999999</v>
      </c>
      <c r="P594" t="str">
        <f t="shared" si="39"/>
        <v>OK</v>
      </c>
    </row>
    <row r="595" spans="1:16" x14ac:dyDescent="0.35">
      <c r="A595" t="s">
        <v>921</v>
      </c>
      <c r="B595" s="3">
        <v>45539</v>
      </c>
      <c r="C595" t="s">
        <v>24</v>
      </c>
      <c r="D595" t="s">
        <v>57</v>
      </c>
      <c r="E595" t="s">
        <v>199</v>
      </c>
      <c r="F595" t="s">
        <v>15</v>
      </c>
      <c r="G595" t="s">
        <v>16</v>
      </c>
      <c r="H595">
        <v>9</v>
      </c>
      <c r="I595">
        <v>133.32</v>
      </c>
      <c r="J595">
        <v>0</v>
      </c>
      <c r="K595">
        <v>1199.8800000000001</v>
      </c>
      <c r="M595" t="str">
        <f t="shared" si="36"/>
        <v>Sep</v>
      </c>
      <c r="N595">
        <f t="shared" si="37"/>
        <v>9</v>
      </c>
      <c r="O595">
        <f t="shared" si="38"/>
        <v>1199.8799999999999</v>
      </c>
      <c r="P595" t="str">
        <f t="shared" si="39"/>
        <v>OK</v>
      </c>
    </row>
    <row r="596" spans="1:16" x14ac:dyDescent="0.35">
      <c r="A596" t="s">
        <v>922</v>
      </c>
      <c r="B596" s="3">
        <v>45394</v>
      </c>
      <c r="C596" t="s">
        <v>24</v>
      </c>
      <c r="D596" t="s">
        <v>13</v>
      </c>
      <c r="E596" t="s">
        <v>93</v>
      </c>
      <c r="F596" t="s">
        <v>44</v>
      </c>
      <c r="G596" t="s">
        <v>45</v>
      </c>
      <c r="H596">
        <v>3</v>
      </c>
      <c r="I596">
        <v>202.22</v>
      </c>
      <c r="J596">
        <v>0.15</v>
      </c>
      <c r="K596">
        <v>515.66</v>
      </c>
      <c r="M596" t="str">
        <f t="shared" si="36"/>
        <v>Apr</v>
      </c>
      <c r="N596">
        <f t="shared" si="37"/>
        <v>4</v>
      </c>
      <c r="O596">
        <f t="shared" si="38"/>
        <v>515.66099999999994</v>
      </c>
      <c r="P596" t="str">
        <f t="shared" si="39"/>
        <v>OK</v>
      </c>
    </row>
    <row r="597" spans="1:16" x14ac:dyDescent="0.35">
      <c r="A597" t="s">
        <v>923</v>
      </c>
      <c r="B597" s="3">
        <v>45324</v>
      </c>
      <c r="C597" t="s">
        <v>33</v>
      </c>
      <c r="D597" t="s">
        <v>13</v>
      </c>
      <c r="E597" t="s">
        <v>881</v>
      </c>
      <c r="F597" t="s">
        <v>21</v>
      </c>
      <c r="G597" t="s">
        <v>129</v>
      </c>
      <c r="H597">
        <v>10</v>
      </c>
      <c r="I597">
        <v>183.4</v>
      </c>
      <c r="J597">
        <v>0.05</v>
      </c>
      <c r="K597">
        <v>1742.3</v>
      </c>
      <c r="M597" t="str">
        <f t="shared" si="36"/>
        <v>Feb</v>
      </c>
      <c r="N597">
        <f t="shared" si="37"/>
        <v>2</v>
      </c>
      <c r="O597">
        <f t="shared" si="38"/>
        <v>1742.3</v>
      </c>
      <c r="P597" t="str">
        <f t="shared" si="39"/>
        <v>OK</v>
      </c>
    </row>
    <row r="598" spans="1:16" x14ac:dyDescent="0.35">
      <c r="A598" t="s">
        <v>924</v>
      </c>
      <c r="B598" s="3">
        <v>45583</v>
      </c>
      <c r="C598" t="s">
        <v>41</v>
      </c>
      <c r="D598" t="s">
        <v>19</v>
      </c>
      <c r="E598" t="s">
        <v>2217</v>
      </c>
      <c r="F598" t="s">
        <v>15</v>
      </c>
      <c r="G598" t="s">
        <v>74</v>
      </c>
      <c r="H598">
        <v>1</v>
      </c>
      <c r="I598">
        <v>139.99</v>
      </c>
      <c r="J598">
        <v>0.1</v>
      </c>
      <c r="K598">
        <v>125.99</v>
      </c>
      <c r="M598" t="str">
        <f t="shared" si="36"/>
        <v>Oct</v>
      </c>
      <c r="N598">
        <f t="shared" si="37"/>
        <v>10</v>
      </c>
      <c r="O598">
        <f t="shared" si="38"/>
        <v>125.99100000000001</v>
      </c>
      <c r="P598" t="str">
        <f t="shared" si="39"/>
        <v>OK</v>
      </c>
    </row>
    <row r="599" spans="1:16" x14ac:dyDescent="0.35">
      <c r="A599" t="s">
        <v>925</v>
      </c>
      <c r="B599" s="3">
        <v>45608</v>
      </c>
      <c r="C599" t="s">
        <v>41</v>
      </c>
      <c r="D599" t="s">
        <v>42</v>
      </c>
      <c r="E599" t="s">
        <v>457</v>
      </c>
      <c r="F599" t="s">
        <v>21</v>
      </c>
      <c r="G599" t="s">
        <v>22</v>
      </c>
      <c r="H599">
        <v>1</v>
      </c>
      <c r="I599">
        <v>19.09</v>
      </c>
      <c r="J599">
        <v>0.1</v>
      </c>
      <c r="K599">
        <v>17.18</v>
      </c>
      <c r="M599" t="str">
        <f t="shared" si="36"/>
        <v>Nov</v>
      </c>
      <c r="N599">
        <f t="shared" si="37"/>
        <v>11</v>
      </c>
      <c r="O599">
        <f t="shared" si="38"/>
        <v>17.181000000000001</v>
      </c>
      <c r="P599" t="str">
        <f t="shared" si="39"/>
        <v>OK</v>
      </c>
    </row>
    <row r="600" spans="1:16" x14ac:dyDescent="0.35">
      <c r="A600" t="s">
        <v>926</v>
      </c>
      <c r="B600" s="3">
        <v>45499</v>
      </c>
      <c r="C600" t="s">
        <v>33</v>
      </c>
      <c r="D600" t="s">
        <v>57</v>
      </c>
      <c r="E600" t="s">
        <v>586</v>
      </c>
      <c r="F600" t="s">
        <v>44</v>
      </c>
      <c r="G600" t="s">
        <v>50</v>
      </c>
      <c r="H600">
        <v>3</v>
      </c>
      <c r="I600">
        <v>241.72</v>
      </c>
      <c r="J600">
        <v>0.1</v>
      </c>
      <c r="K600">
        <v>652.64</v>
      </c>
      <c r="M600" t="str">
        <f t="shared" si="36"/>
        <v>Jul</v>
      </c>
      <c r="N600">
        <f t="shared" si="37"/>
        <v>7</v>
      </c>
      <c r="O600">
        <f t="shared" si="38"/>
        <v>652.64400000000001</v>
      </c>
      <c r="P600" t="str">
        <f t="shared" si="39"/>
        <v>OK</v>
      </c>
    </row>
    <row r="601" spans="1:16" x14ac:dyDescent="0.35">
      <c r="A601" t="s">
        <v>927</v>
      </c>
      <c r="B601" s="3">
        <v>45613</v>
      </c>
      <c r="C601" t="s">
        <v>33</v>
      </c>
      <c r="D601" t="s">
        <v>13</v>
      </c>
      <c r="E601" t="s">
        <v>62</v>
      </c>
      <c r="F601" t="s">
        <v>35</v>
      </c>
      <c r="G601" t="s">
        <v>67</v>
      </c>
      <c r="H601">
        <v>2</v>
      </c>
      <c r="I601">
        <v>81.86</v>
      </c>
      <c r="J601">
        <v>0</v>
      </c>
      <c r="K601">
        <v>163.72</v>
      </c>
      <c r="M601" t="str">
        <f t="shared" si="36"/>
        <v>Nov</v>
      </c>
      <c r="N601">
        <f t="shared" si="37"/>
        <v>11</v>
      </c>
      <c r="O601">
        <f t="shared" si="38"/>
        <v>163.72</v>
      </c>
      <c r="P601" t="str">
        <f t="shared" si="39"/>
        <v>OK</v>
      </c>
    </row>
    <row r="602" spans="1:16" x14ac:dyDescent="0.35">
      <c r="A602" t="s">
        <v>928</v>
      </c>
      <c r="B602" s="3">
        <v>45417</v>
      </c>
      <c r="C602" t="s">
        <v>41</v>
      </c>
      <c r="D602" t="s">
        <v>57</v>
      </c>
      <c r="E602" t="s">
        <v>720</v>
      </c>
      <c r="F602" t="s">
        <v>21</v>
      </c>
      <c r="G602" t="s">
        <v>70</v>
      </c>
      <c r="H602">
        <v>7</v>
      </c>
      <c r="I602">
        <v>120.58</v>
      </c>
      <c r="J602">
        <v>0</v>
      </c>
      <c r="K602">
        <v>844.06</v>
      </c>
      <c r="M602" t="str">
        <f t="shared" si="36"/>
        <v>May</v>
      </c>
      <c r="N602">
        <f t="shared" si="37"/>
        <v>5</v>
      </c>
      <c r="O602">
        <f t="shared" si="38"/>
        <v>844.06</v>
      </c>
      <c r="P602" t="str">
        <f t="shared" si="39"/>
        <v>OK</v>
      </c>
    </row>
    <row r="603" spans="1:16" x14ac:dyDescent="0.35">
      <c r="A603" t="s">
        <v>929</v>
      </c>
      <c r="B603" s="3">
        <v>45493</v>
      </c>
      <c r="C603" t="s">
        <v>18</v>
      </c>
      <c r="D603" t="s">
        <v>57</v>
      </c>
      <c r="E603" t="s">
        <v>259</v>
      </c>
      <c r="F603" t="s">
        <v>35</v>
      </c>
      <c r="G603" t="s">
        <v>83</v>
      </c>
      <c r="H603">
        <v>12</v>
      </c>
      <c r="I603">
        <v>167.93</v>
      </c>
      <c r="J603">
        <v>0.05</v>
      </c>
      <c r="K603">
        <v>1914.4</v>
      </c>
      <c r="M603" t="str">
        <f t="shared" si="36"/>
        <v>Jul</v>
      </c>
      <c r="N603">
        <f t="shared" si="37"/>
        <v>7</v>
      </c>
      <c r="O603">
        <f t="shared" si="38"/>
        <v>1914.402</v>
      </c>
      <c r="P603" t="str">
        <f t="shared" si="39"/>
        <v>OK</v>
      </c>
    </row>
    <row r="604" spans="1:16" x14ac:dyDescent="0.35">
      <c r="A604" t="s">
        <v>930</v>
      </c>
      <c r="B604" s="3">
        <v>45629</v>
      </c>
      <c r="C604" t="s">
        <v>24</v>
      </c>
      <c r="D604" t="s">
        <v>2216</v>
      </c>
      <c r="E604" t="s">
        <v>233</v>
      </c>
      <c r="F604" t="s">
        <v>44</v>
      </c>
      <c r="G604" t="s">
        <v>107</v>
      </c>
      <c r="H604">
        <v>2</v>
      </c>
      <c r="I604">
        <v>197.1</v>
      </c>
      <c r="J604">
        <v>0.15</v>
      </c>
      <c r="K604">
        <v>335.07</v>
      </c>
      <c r="M604" t="str">
        <f t="shared" si="36"/>
        <v>Dec</v>
      </c>
      <c r="N604">
        <f t="shared" si="37"/>
        <v>12</v>
      </c>
      <c r="O604">
        <f t="shared" si="38"/>
        <v>335.07</v>
      </c>
      <c r="P604" t="str">
        <f t="shared" si="39"/>
        <v>OK</v>
      </c>
    </row>
    <row r="605" spans="1:16" x14ac:dyDescent="0.35">
      <c r="A605" t="s">
        <v>931</v>
      </c>
      <c r="B605" s="3">
        <v>45602</v>
      </c>
      <c r="C605" t="s">
        <v>33</v>
      </c>
      <c r="D605" t="s">
        <v>19</v>
      </c>
      <c r="E605" t="s">
        <v>223</v>
      </c>
      <c r="F605" t="s">
        <v>35</v>
      </c>
      <c r="G605" t="s">
        <v>67</v>
      </c>
      <c r="H605">
        <v>11</v>
      </c>
      <c r="I605">
        <v>231.51</v>
      </c>
      <c r="J605">
        <v>0</v>
      </c>
      <c r="K605">
        <v>2546.61</v>
      </c>
      <c r="M605" t="str">
        <f t="shared" si="36"/>
        <v>Nov</v>
      </c>
      <c r="N605">
        <f t="shared" si="37"/>
        <v>11</v>
      </c>
      <c r="O605">
        <f t="shared" si="38"/>
        <v>2546.6099999999997</v>
      </c>
      <c r="P605" t="str">
        <f t="shared" si="39"/>
        <v>OK</v>
      </c>
    </row>
    <row r="606" spans="1:16" x14ac:dyDescent="0.35">
      <c r="A606" t="s">
        <v>932</v>
      </c>
      <c r="B606" s="3">
        <v>45393</v>
      </c>
      <c r="C606" t="s">
        <v>24</v>
      </c>
      <c r="D606" t="s">
        <v>13</v>
      </c>
      <c r="E606" t="s">
        <v>334</v>
      </c>
      <c r="F606" t="s">
        <v>21</v>
      </c>
      <c r="G606" t="s">
        <v>129</v>
      </c>
      <c r="H606">
        <v>5</v>
      </c>
      <c r="I606">
        <v>149.99</v>
      </c>
      <c r="J606">
        <v>0</v>
      </c>
      <c r="K606">
        <v>749.95</v>
      </c>
      <c r="M606" t="str">
        <f t="shared" si="36"/>
        <v>Apr</v>
      </c>
      <c r="N606">
        <f t="shared" si="37"/>
        <v>4</v>
      </c>
      <c r="O606">
        <f t="shared" si="38"/>
        <v>749.95</v>
      </c>
      <c r="P606" t="str">
        <f t="shared" si="39"/>
        <v>OK</v>
      </c>
    </row>
    <row r="607" spans="1:16" x14ac:dyDescent="0.35">
      <c r="A607" t="s">
        <v>933</v>
      </c>
      <c r="B607" s="3">
        <v>45391</v>
      </c>
      <c r="C607" t="s">
        <v>24</v>
      </c>
      <c r="D607" t="s">
        <v>13</v>
      </c>
      <c r="E607" t="s">
        <v>225</v>
      </c>
      <c r="F607" t="s">
        <v>35</v>
      </c>
      <c r="G607" t="s">
        <v>83</v>
      </c>
      <c r="H607">
        <v>11</v>
      </c>
      <c r="I607">
        <v>209.29</v>
      </c>
      <c r="J607">
        <v>0.05</v>
      </c>
      <c r="K607">
        <v>2187.08</v>
      </c>
      <c r="M607" t="str">
        <f t="shared" si="36"/>
        <v>Apr</v>
      </c>
      <c r="N607">
        <f t="shared" si="37"/>
        <v>4</v>
      </c>
      <c r="O607">
        <f t="shared" si="38"/>
        <v>2187.0805</v>
      </c>
      <c r="P607" t="str">
        <f t="shared" si="39"/>
        <v>OK</v>
      </c>
    </row>
    <row r="608" spans="1:16" x14ac:dyDescent="0.35">
      <c r="A608" t="s">
        <v>934</v>
      </c>
      <c r="B608" s="3">
        <v>45549</v>
      </c>
      <c r="C608" t="s">
        <v>33</v>
      </c>
      <c r="D608" t="s">
        <v>42</v>
      </c>
      <c r="E608" t="s">
        <v>531</v>
      </c>
      <c r="F608" t="s">
        <v>44</v>
      </c>
      <c r="G608" t="s">
        <v>86</v>
      </c>
      <c r="H608">
        <v>12</v>
      </c>
      <c r="I608">
        <v>219.16</v>
      </c>
      <c r="J608">
        <v>0.05</v>
      </c>
      <c r="K608">
        <v>2498.42</v>
      </c>
      <c r="M608" t="str">
        <f t="shared" si="36"/>
        <v>Sep</v>
      </c>
      <c r="N608">
        <f t="shared" si="37"/>
        <v>9</v>
      </c>
      <c r="O608">
        <f t="shared" si="38"/>
        <v>2498.424</v>
      </c>
      <c r="P608" t="str">
        <f t="shared" si="39"/>
        <v>OK</v>
      </c>
    </row>
    <row r="609" spans="1:16" x14ac:dyDescent="0.35">
      <c r="A609" t="s">
        <v>935</v>
      </c>
      <c r="B609" s="3">
        <v>45652</v>
      </c>
      <c r="C609" t="s">
        <v>65</v>
      </c>
      <c r="D609" t="s">
        <v>25</v>
      </c>
      <c r="E609" t="s">
        <v>14</v>
      </c>
      <c r="F609" t="s">
        <v>35</v>
      </c>
      <c r="G609" t="s">
        <v>36</v>
      </c>
      <c r="H609">
        <v>7</v>
      </c>
      <c r="I609">
        <v>58.06</v>
      </c>
      <c r="J609">
        <v>0</v>
      </c>
      <c r="K609">
        <v>406.42</v>
      </c>
      <c r="M609" t="str">
        <f t="shared" si="36"/>
        <v>Dec</v>
      </c>
      <c r="N609">
        <f t="shared" si="37"/>
        <v>12</v>
      </c>
      <c r="O609">
        <f t="shared" si="38"/>
        <v>406.42</v>
      </c>
      <c r="P609" t="str">
        <f t="shared" si="39"/>
        <v>OK</v>
      </c>
    </row>
    <row r="610" spans="1:16" x14ac:dyDescent="0.35">
      <c r="A610" t="s">
        <v>936</v>
      </c>
      <c r="B610" s="3">
        <v>45352</v>
      </c>
      <c r="C610" t="s">
        <v>33</v>
      </c>
      <c r="D610" t="s">
        <v>13</v>
      </c>
      <c r="E610" t="s">
        <v>257</v>
      </c>
      <c r="F610" t="s">
        <v>21</v>
      </c>
      <c r="G610" t="s">
        <v>70</v>
      </c>
      <c r="H610">
        <v>10</v>
      </c>
      <c r="I610">
        <v>153.55000000000001</v>
      </c>
      <c r="J610">
        <v>0</v>
      </c>
      <c r="K610">
        <v>1535.5</v>
      </c>
      <c r="M610" t="str">
        <f t="shared" si="36"/>
        <v>Mar</v>
      </c>
      <c r="N610">
        <f t="shared" si="37"/>
        <v>3</v>
      </c>
      <c r="O610">
        <f t="shared" si="38"/>
        <v>1535.5</v>
      </c>
      <c r="P610" t="str">
        <f t="shared" si="39"/>
        <v>OK</v>
      </c>
    </row>
    <row r="611" spans="1:16" x14ac:dyDescent="0.35">
      <c r="A611" t="s">
        <v>937</v>
      </c>
      <c r="B611" s="3">
        <v>45463</v>
      </c>
      <c r="C611" t="s">
        <v>65</v>
      </c>
      <c r="D611" t="s">
        <v>25</v>
      </c>
      <c r="E611" t="s">
        <v>282</v>
      </c>
      <c r="F611" t="s">
        <v>53</v>
      </c>
      <c r="G611" t="s">
        <v>260</v>
      </c>
      <c r="H611">
        <v>3</v>
      </c>
      <c r="I611">
        <v>63.68</v>
      </c>
      <c r="J611">
        <v>0.1</v>
      </c>
      <c r="K611">
        <v>171.94</v>
      </c>
      <c r="M611" t="str">
        <f t="shared" si="36"/>
        <v>Jun</v>
      </c>
      <c r="N611">
        <f t="shared" si="37"/>
        <v>6</v>
      </c>
      <c r="O611">
        <f t="shared" si="38"/>
        <v>171.93600000000001</v>
      </c>
      <c r="P611" t="str">
        <f t="shared" si="39"/>
        <v>OK</v>
      </c>
    </row>
    <row r="612" spans="1:16" x14ac:dyDescent="0.35">
      <c r="A612" t="s">
        <v>938</v>
      </c>
      <c r="B612" s="3">
        <v>45440</v>
      </c>
      <c r="C612" t="s">
        <v>18</v>
      </c>
      <c r="D612" t="s">
        <v>42</v>
      </c>
      <c r="E612" t="s">
        <v>193</v>
      </c>
      <c r="F612" t="s">
        <v>15</v>
      </c>
      <c r="G612" t="s">
        <v>111</v>
      </c>
      <c r="H612">
        <v>1</v>
      </c>
      <c r="I612">
        <v>48.27</v>
      </c>
      <c r="J612">
        <v>0.05</v>
      </c>
      <c r="K612">
        <v>45.86</v>
      </c>
      <c r="M612" t="str">
        <f t="shared" si="36"/>
        <v>May</v>
      </c>
      <c r="N612">
        <f t="shared" si="37"/>
        <v>5</v>
      </c>
      <c r="O612">
        <f t="shared" si="38"/>
        <v>45.856500000000004</v>
      </c>
      <c r="P612" t="str">
        <f t="shared" si="39"/>
        <v>OK</v>
      </c>
    </row>
    <row r="613" spans="1:16" x14ac:dyDescent="0.35">
      <c r="A613" t="s">
        <v>939</v>
      </c>
      <c r="B613" s="3">
        <v>45374</v>
      </c>
      <c r="C613" t="s">
        <v>41</v>
      </c>
      <c r="D613" t="s">
        <v>42</v>
      </c>
      <c r="E613" t="s">
        <v>2217</v>
      </c>
      <c r="F613" t="s">
        <v>15</v>
      </c>
      <c r="G613" t="s">
        <v>16</v>
      </c>
      <c r="H613">
        <v>12</v>
      </c>
      <c r="I613">
        <v>74.2</v>
      </c>
      <c r="J613">
        <v>0</v>
      </c>
      <c r="K613">
        <v>890.4</v>
      </c>
      <c r="M613" t="str">
        <f t="shared" si="36"/>
        <v>Mar</v>
      </c>
      <c r="N613">
        <f t="shared" si="37"/>
        <v>3</v>
      </c>
      <c r="O613">
        <f t="shared" si="38"/>
        <v>890.40000000000009</v>
      </c>
      <c r="P613" t="str">
        <f t="shared" si="39"/>
        <v>OK</v>
      </c>
    </row>
    <row r="614" spans="1:16" x14ac:dyDescent="0.35">
      <c r="A614" t="s">
        <v>940</v>
      </c>
      <c r="B614" s="3">
        <v>45571</v>
      </c>
      <c r="C614" t="s">
        <v>33</v>
      </c>
      <c r="D614" t="s">
        <v>19</v>
      </c>
      <c r="E614" t="s">
        <v>137</v>
      </c>
      <c r="F614" t="s">
        <v>35</v>
      </c>
      <c r="G614" t="s">
        <v>36</v>
      </c>
      <c r="H614">
        <v>10</v>
      </c>
      <c r="I614">
        <v>115.81</v>
      </c>
      <c r="J614">
        <v>0</v>
      </c>
      <c r="K614">
        <v>1158.0999999999999</v>
      </c>
      <c r="M614" t="str">
        <f t="shared" si="36"/>
        <v>Oct</v>
      </c>
      <c r="N614">
        <f t="shared" si="37"/>
        <v>10</v>
      </c>
      <c r="O614">
        <f t="shared" si="38"/>
        <v>1158.0999999999999</v>
      </c>
      <c r="P614" t="str">
        <f t="shared" si="39"/>
        <v>OK</v>
      </c>
    </row>
    <row r="615" spans="1:16" x14ac:dyDescent="0.35">
      <c r="A615" t="s">
        <v>941</v>
      </c>
      <c r="B615" s="3">
        <v>45428</v>
      </c>
      <c r="C615" t="s">
        <v>33</v>
      </c>
      <c r="D615" t="s">
        <v>19</v>
      </c>
      <c r="E615" t="s">
        <v>155</v>
      </c>
      <c r="F615" t="s">
        <v>44</v>
      </c>
      <c r="G615" t="s">
        <v>107</v>
      </c>
      <c r="H615">
        <v>12</v>
      </c>
      <c r="I615">
        <v>34.93</v>
      </c>
      <c r="J615">
        <v>0.15</v>
      </c>
      <c r="K615">
        <v>356.29</v>
      </c>
      <c r="M615" t="str">
        <f t="shared" si="36"/>
        <v>May</v>
      </c>
      <c r="N615">
        <f t="shared" si="37"/>
        <v>5</v>
      </c>
      <c r="O615">
        <f t="shared" si="38"/>
        <v>356.28599999999994</v>
      </c>
      <c r="P615" t="str">
        <f t="shared" si="39"/>
        <v>OK</v>
      </c>
    </row>
    <row r="616" spans="1:16" x14ac:dyDescent="0.35">
      <c r="A616" t="s">
        <v>942</v>
      </c>
      <c r="B616" s="3">
        <v>45309</v>
      </c>
      <c r="C616" t="s">
        <v>33</v>
      </c>
      <c r="D616" t="s">
        <v>19</v>
      </c>
      <c r="E616" t="s">
        <v>309</v>
      </c>
      <c r="F616" t="s">
        <v>21</v>
      </c>
      <c r="G616" t="s">
        <v>129</v>
      </c>
      <c r="H616">
        <v>9</v>
      </c>
      <c r="I616">
        <v>245.08</v>
      </c>
      <c r="J616">
        <v>0</v>
      </c>
      <c r="K616">
        <v>2205.7199999999998</v>
      </c>
      <c r="M616" t="str">
        <f t="shared" si="36"/>
        <v>Jan</v>
      </c>
      <c r="N616">
        <f t="shared" si="37"/>
        <v>1</v>
      </c>
      <c r="O616">
        <f t="shared" si="38"/>
        <v>2205.7200000000003</v>
      </c>
      <c r="P616" t="str">
        <f t="shared" si="39"/>
        <v>OK</v>
      </c>
    </row>
    <row r="617" spans="1:16" x14ac:dyDescent="0.35">
      <c r="A617" t="s">
        <v>943</v>
      </c>
      <c r="B617" s="3">
        <v>45476</v>
      </c>
      <c r="C617" t="s">
        <v>24</v>
      </c>
      <c r="D617" t="s">
        <v>19</v>
      </c>
      <c r="E617" t="s">
        <v>131</v>
      </c>
      <c r="F617" t="s">
        <v>44</v>
      </c>
      <c r="G617" t="s">
        <v>107</v>
      </c>
      <c r="H617">
        <v>7</v>
      </c>
      <c r="I617">
        <v>114.64</v>
      </c>
      <c r="J617">
        <v>0</v>
      </c>
      <c r="K617">
        <v>802.48</v>
      </c>
      <c r="M617" t="str">
        <f t="shared" si="36"/>
        <v>Jul</v>
      </c>
      <c r="N617">
        <f t="shared" si="37"/>
        <v>7</v>
      </c>
      <c r="O617">
        <f t="shared" si="38"/>
        <v>802.48</v>
      </c>
      <c r="P617" t="str">
        <f t="shared" si="39"/>
        <v>OK</v>
      </c>
    </row>
    <row r="618" spans="1:16" x14ac:dyDescent="0.35">
      <c r="A618" t="s">
        <v>944</v>
      </c>
      <c r="B618" s="3">
        <v>45387</v>
      </c>
      <c r="C618" t="s">
        <v>24</v>
      </c>
      <c r="D618" t="s">
        <v>42</v>
      </c>
      <c r="E618" t="s">
        <v>82</v>
      </c>
      <c r="F618" t="s">
        <v>53</v>
      </c>
      <c r="G618" t="s">
        <v>260</v>
      </c>
      <c r="H618">
        <v>4</v>
      </c>
      <c r="I618">
        <v>65.099999999999994</v>
      </c>
      <c r="J618">
        <v>0.15</v>
      </c>
      <c r="K618">
        <v>221.34</v>
      </c>
      <c r="M618" t="str">
        <f t="shared" si="36"/>
        <v>Apr</v>
      </c>
      <c r="N618">
        <f t="shared" si="37"/>
        <v>4</v>
      </c>
      <c r="O618">
        <f t="shared" si="38"/>
        <v>221.33999999999997</v>
      </c>
      <c r="P618" t="str">
        <f t="shared" si="39"/>
        <v>OK</v>
      </c>
    </row>
    <row r="619" spans="1:16" x14ac:dyDescent="0.35">
      <c r="A619" t="s">
        <v>945</v>
      </c>
      <c r="B619" s="3">
        <v>45445</v>
      </c>
      <c r="C619" t="s">
        <v>24</v>
      </c>
      <c r="D619" t="s">
        <v>57</v>
      </c>
      <c r="E619" t="s">
        <v>52</v>
      </c>
      <c r="F619" t="s">
        <v>35</v>
      </c>
      <c r="G619" t="s">
        <v>83</v>
      </c>
      <c r="H619">
        <v>7</v>
      </c>
      <c r="I619">
        <v>95.3</v>
      </c>
      <c r="J619">
        <v>0</v>
      </c>
      <c r="K619">
        <v>667.1</v>
      </c>
      <c r="M619" t="str">
        <f t="shared" si="36"/>
        <v>Jun</v>
      </c>
      <c r="N619">
        <f t="shared" si="37"/>
        <v>6</v>
      </c>
      <c r="O619">
        <f t="shared" si="38"/>
        <v>667.1</v>
      </c>
      <c r="P619" t="str">
        <f t="shared" si="39"/>
        <v>OK</v>
      </c>
    </row>
    <row r="620" spans="1:16" x14ac:dyDescent="0.35">
      <c r="A620" t="s">
        <v>946</v>
      </c>
      <c r="B620" s="3">
        <v>45366</v>
      </c>
      <c r="C620" t="s">
        <v>41</v>
      </c>
      <c r="D620" t="s">
        <v>57</v>
      </c>
      <c r="E620" t="s">
        <v>642</v>
      </c>
      <c r="F620" t="s">
        <v>44</v>
      </c>
      <c r="G620" t="s">
        <v>50</v>
      </c>
      <c r="H620">
        <v>10</v>
      </c>
      <c r="I620">
        <v>190.7</v>
      </c>
      <c r="J620">
        <v>0</v>
      </c>
      <c r="K620">
        <v>1907</v>
      </c>
      <c r="M620" t="str">
        <f t="shared" si="36"/>
        <v>Mar</v>
      </c>
      <c r="N620">
        <f t="shared" si="37"/>
        <v>3</v>
      </c>
      <c r="O620">
        <f t="shared" si="38"/>
        <v>1907</v>
      </c>
      <c r="P620" t="str">
        <f t="shared" si="39"/>
        <v>OK</v>
      </c>
    </row>
    <row r="621" spans="1:16" x14ac:dyDescent="0.35">
      <c r="A621" t="s">
        <v>947</v>
      </c>
      <c r="B621" s="3">
        <v>45609</v>
      </c>
      <c r="C621" t="s">
        <v>33</v>
      </c>
      <c r="D621" t="s">
        <v>42</v>
      </c>
      <c r="E621" t="s">
        <v>390</v>
      </c>
      <c r="F621" t="s">
        <v>44</v>
      </c>
      <c r="G621" t="s">
        <v>50</v>
      </c>
      <c r="H621">
        <v>3</v>
      </c>
      <c r="I621">
        <v>165</v>
      </c>
      <c r="J621">
        <v>0</v>
      </c>
      <c r="K621">
        <v>495</v>
      </c>
      <c r="M621" t="str">
        <f t="shared" si="36"/>
        <v>Nov</v>
      </c>
      <c r="N621">
        <f t="shared" si="37"/>
        <v>11</v>
      </c>
      <c r="O621">
        <f t="shared" si="38"/>
        <v>495</v>
      </c>
      <c r="P621" t="str">
        <f t="shared" si="39"/>
        <v>OK</v>
      </c>
    </row>
    <row r="622" spans="1:16" x14ac:dyDescent="0.35">
      <c r="A622" t="s">
        <v>948</v>
      </c>
      <c r="B622" s="3">
        <v>45385</v>
      </c>
      <c r="C622" t="s">
        <v>41</v>
      </c>
      <c r="D622" t="s">
        <v>57</v>
      </c>
      <c r="E622" t="s">
        <v>608</v>
      </c>
      <c r="F622" t="s">
        <v>53</v>
      </c>
      <c r="G622" t="s">
        <v>260</v>
      </c>
      <c r="H622">
        <v>12</v>
      </c>
      <c r="I622">
        <v>46</v>
      </c>
      <c r="J622">
        <v>0</v>
      </c>
      <c r="K622">
        <v>552</v>
      </c>
      <c r="M622" t="str">
        <f t="shared" si="36"/>
        <v>Apr</v>
      </c>
      <c r="N622">
        <f t="shared" si="37"/>
        <v>4</v>
      </c>
      <c r="O622">
        <f t="shared" si="38"/>
        <v>552</v>
      </c>
      <c r="P622" t="str">
        <f t="shared" si="39"/>
        <v>OK</v>
      </c>
    </row>
    <row r="623" spans="1:16" x14ac:dyDescent="0.35">
      <c r="A623" t="s">
        <v>949</v>
      </c>
      <c r="B623" s="3">
        <v>45494</v>
      </c>
      <c r="C623" t="s">
        <v>65</v>
      </c>
      <c r="D623" t="s">
        <v>57</v>
      </c>
      <c r="E623" t="s">
        <v>696</v>
      </c>
      <c r="F623" t="s">
        <v>44</v>
      </c>
      <c r="G623" t="s">
        <v>107</v>
      </c>
      <c r="H623">
        <v>9</v>
      </c>
      <c r="I623">
        <v>128.01</v>
      </c>
      <c r="J623">
        <v>0.1</v>
      </c>
      <c r="K623">
        <v>1036.8800000000001</v>
      </c>
      <c r="M623" t="str">
        <f t="shared" si="36"/>
        <v>Jul</v>
      </c>
      <c r="N623">
        <f t="shared" si="37"/>
        <v>7</v>
      </c>
      <c r="O623">
        <f t="shared" si="38"/>
        <v>1036.8809999999999</v>
      </c>
      <c r="P623" t="str">
        <f t="shared" si="39"/>
        <v>OK</v>
      </c>
    </row>
    <row r="624" spans="1:16" x14ac:dyDescent="0.35">
      <c r="A624" t="s">
        <v>950</v>
      </c>
      <c r="B624" s="3">
        <v>45517</v>
      </c>
      <c r="C624" t="s">
        <v>18</v>
      </c>
      <c r="D624" t="s">
        <v>42</v>
      </c>
      <c r="E624" t="s">
        <v>951</v>
      </c>
      <c r="F624" t="s">
        <v>21</v>
      </c>
      <c r="G624" t="s">
        <v>22</v>
      </c>
      <c r="H624">
        <v>7</v>
      </c>
      <c r="I624">
        <v>151.71</v>
      </c>
      <c r="J624">
        <v>0</v>
      </c>
      <c r="K624">
        <v>1061.97</v>
      </c>
      <c r="M624" t="str">
        <f t="shared" si="36"/>
        <v>Aug</v>
      </c>
      <c r="N624">
        <f t="shared" si="37"/>
        <v>8</v>
      </c>
      <c r="O624">
        <f t="shared" si="38"/>
        <v>1061.97</v>
      </c>
      <c r="P624" t="str">
        <f t="shared" si="39"/>
        <v>OK</v>
      </c>
    </row>
    <row r="625" spans="1:16" x14ac:dyDescent="0.35">
      <c r="A625" t="s">
        <v>952</v>
      </c>
      <c r="B625" s="3">
        <v>45293</v>
      </c>
      <c r="C625" t="s">
        <v>33</v>
      </c>
      <c r="D625" t="s">
        <v>57</v>
      </c>
      <c r="E625" t="s">
        <v>85</v>
      </c>
      <c r="F625" t="s">
        <v>44</v>
      </c>
      <c r="G625" t="s">
        <v>86</v>
      </c>
      <c r="H625">
        <v>7</v>
      </c>
      <c r="I625">
        <v>218.28</v>
      </c>
      <c r="J625">
        <v>0.15</v>
      </c>
      <c r="K625">
        <v>1298.77</v>
      </c>
      <c r="M625" t="str">
        <f t="shared" si="36"/>
        <v>Jan</v>
      </c>
      <c r="N625">
        <f t="shared" si="37"/>
        <v>1</v>
      </c>
      <c r="O625">
        <f t="shared" si="38"/>
        <v>1298.7660000000001</v>
      </c>
      <c r="P625" t="str">
        <f t="shared" si="39"/>
        <v>OK</v>
      </c>
    </row>
    <row r="626" spans="1:16" x14ac:dyDescent="0.35">
      <c r="A626" t="s">
        <v>953</v>
      </c>
      <c r="B626" s="3">
        <v>45319</v>
      </c>
      <c r="C626" t="s">
        <v>65</v>
      </c>
      <c r="D626" t="s">
        <v>57</v>
      </c>
      <c r="E626" t="s">
        <v>26</v>
      </c>
      <c r="F626" t="s">
        <v>35</v>
      </c>
      <c r="G626" t="s">
        <v>177</v>
      </c>
      <c r="H626">
        <v>7</v>
      </c>
      <c r="I626">
        <v>74.84</v>
      </c>
      <c r="J626">
        <v>0</v>
      </c>
      <c r="K626">
        <v>523.88</v>
      </c>
      <c r="M626" t="str">
        <f t="shared" si="36"/>
        <v>Jan</v>
      </c>
      <c r="N626">
        <f t="shared" si="37"/>
        <v>1</v>
      </c>
      <c r="O626">
        <f t="shared" si="38"/>
        <v>523.88</v>
      </c>
      <c r="P626" t="str">
        <f t="shared" si="39"/>
        <v>OK</v>
      </c>
    </row>
    <row r="627" spans="1:16" x14ac:dyDescent="0.35">
      <c r="A627" t="s">
        <v>954</v>
      </c>
      <c r="B627" s="3">
        <v>45334</v>
      </c>
      <c r="C627" t="s">
        <v>18</v>
      </c>
      <c r="D627" t="s">
        <v>19</v>
      </c>
      <c r="E627" t="s">
        <v>93</v>
      </c>
      <c r="F627" t="s">
        <v>53</v>
      </c>
      <c r="G627" t="s">
        <v>104</v>
      </c>
      <c r="H627">
        <v>10</v>
      </c>
      <c r="I627">
        <v>86.67</v>
      </c>
      <c r="J627">
        <v>0.15</v>
      </c>
      <c r="K627">
        <v>736.7</v>
      </c>
      <c r="M627" t="str">
        <f t="shared" si="36"/>
        <v>Feb</v>
      </c>
      <c r="N627">
        <f t="shared" si="37"/>
        <v>2</v>
      </c>
      <c r="O627">
        <f t="shared" si="38"/>
        <v>736.69500000000005</v>
      </c>
      <c r="P627" t="str">
        <f t="shared" si="39"/>
        <v>OK</v>
      </c>
    </row>
    <row r="628" spans="1:16" x14ac:dyDescent="0.35">
      <c r="A628" t="s">
        <v>955</v>
      </c>
      <c r="B628" s="3">
        <v>45513</v>
      </c>
      <c r="C628" t="s">
        <v>18</v>
      </c>
      <c r="D628" t="s">
        <v>42</v>
      </c>
      <c r="E628" t="s">
        <v>842</v>
      </c>
      <c r="F628" t="s">
        <v>15</v>
      </c>
      <c r="G628" t="s">
        <v>74</v>
      </c>
      <c r="H628">
        <v>10</v>
      </c>
      <c r="I628">
        <v>226.41</v>
      </c>
      <c r="J628">
        <v>0</v>
      </c>
      <c r="K628">
        <v>2264.1</v>
      </c>
      <c r="M628" t="str">
        <f t="shared" si="36"/>
        <v>Aug</v>
      </c>
      <c r="N628">
        <f t="shared" si="37"/>
        <v>8</v>
      </c>
      <c r="O628">
        <f t="shared" si="38"/>
        <v>2264.1</v>
      </c>
      <c r="P628" t="str">
        <f t="shared" si="39"/>
        <v>OK</v>
      </c>
    </row>
    <row r="629" spans="1:16" x14ac:dyDescent="0.35">
      <c r="A629" t="s">
        <v>956</v>
      </c>
      <c r="B629" s="3">
        <v>45478</v>
      </c>
      <c r="C629" t="s">
        <v>65</v>
      </c>
      <c r="D629" t="s">
        <v>13</v>
      </c>
      <c r="E629" t="s">
        <v>415</v>
      </c>
      <c r="F629" t="s">
        <v>21</v>
      </c>
      <c r="G629" t="s">
        <v>70</v>
      </c>
      <c r="H629">
        <v>10</v>
      </c>
      <c r="I629">
        <v>243.89</v>
      </c>
      <c r="J629">
        <v>0.1</v>
      </c>
      <c r="K629">
        <v>2195.0100000000002</v>
      </c>
      <c r="M629" t="str">
        <f t="shared" si="36"/>
        <v>Jul</v>
      </c>
      <c r="N629">
        <f t="shared" si="37"/>
        <v>7</v>
      </c>
      <c r="O629">
        <f t="shared" si="38"/>
        <v>2195.0099999999998</v>
      </c>
      <c r="P629" t="str">
        <f t="shared" si="39"/>
        <v>OK</v>
      </c>
    </row>
    <row r="630" spans="1:16" x14ac:dyDescent="0.35">
      <c r="A630" t="s">
        <v>957</v>
      </c>
      <c r="B630" s="3">
        <v>45494</v>
      </c>
      <c r="C630" t="s">
        <v>24</v>
      </c>
      <c r="D630" t="s">
        <v>13</v>
      </c>
      <c r="E630" t="s">
        <v>586</v>
      </c>
      <c r="F630" t="s">
        <v>44</v>
      </c>
      <c r="G630" t="s">
        <v>45</v>
      </c>
      <c r="H630">
        <v>4</v>
      </c>
      <c r="I630">
        <v>61.58</v>
      </c>
      <c r="J630">
        <v>0.05</v>
      </c>
      <c r="K630">
        <v>234</v>
      </c>
      <c r="M630" t="str">
        <f t="shared" si="36"/>
        <v>Jul</v>
      </c>
      <c r="N630">
        <f t="shared" si="37"/>
        <v>7</v>
      </c>
      <c r="O630">
        <f t="shared" si="38"/>
        <v>234.00399999999999</v>
      </c>
      <c r="P630" t="str">
        <f t="shared" si="39"/>
        <v>OK</v>
      </c>
    </row>
    <row r="631" spans="1:16" x14ac:dyDescent="0.35">
      <c r="A631" t="s">
        <v>958</v>
      </c>
      <c r="B631" s="3">
        <v>45501</v>
      </c>
      <c r="C631" t="s">
        <v>24</v>
      </c>
      <c r="D631" t="s">
        <v>42</v>
      </c>
      <c r="E631" t="s">
        <v>404</v>
      </c>
      <c r="F631" t="s">
        <v>35</v>
      </c>
      <c r="G631" t="s">
        <v>134</v>
      </c>
      <c r="H631">
        <v>9</v>
      </c>
      <c r="I631">
        <v>24.52</v>
      </c>
      <c r="J631">
        <v>0.1</v>
      </c>
      <c r="K631">
        <v>198.61</v>
      </c>
      <c r="M631" t="str">
        <f t="shared" si="36"/>
        <v>Jul</v>
      </c>
      <c r="N631">
        <f t="shared" si="37"/>
        <v>7</v>
      </c>
      <c r="O631">
        <f t="shared" si="38"/>
        <v>198.61200000000002</v>
      </c>
      <c r="P631" t="str">
        <f t="shared" si="39"/>
        <v>OK</v>
      </c>
    </row>
    <row r="632" spans="1:16" x14ac:dyDescent="0.35">
      <c r="A632" t="s">
        <v>959</v>
      </c>
      <c r="B632" s="3">
        <v>45439</v>
      </c>
      <c r="C632" t="s">
        <v>33</v>
      </c>
      <c r="D632" t="s">
        <v>42</v>
      </c>
      <c r="E632" t="s">
        <v>390</v>
      </c>
      <c r="F632" t="s">
        <v>21</v>
      </c>
      <c r="G632" t="s">
        <v>167</v>
      </c>
      <c r="H632">
        <v>12</v>
      </c>
      <c r="I632">
        <v>242.61</v>
      </c>
      <c r="J632">
        <v>0</v>
      </c>
      <c r="K632">
        <v>2911.32</v>
      </c>
      <c r="M632" t="str">
        <f t="shared" si="36"/>
        <v>May</v>
      </c>
      <c r="N632">
        <f t="shared" si="37"/>
        <v>5</v>
      </c>
      <c r="O632">
        <f t="shared" si="38"/>
        <v>2911.32</v>
      </c>
      <c r="P632" t="str">
        <f t="shared" si="39"/>
        <v>OK</v>
      </c>
    </row>
    <row r="633" spans="1:16" x14ac:dyDescent="0.35">
      <c r="A633" t="s">
        <v>961</v>
      </c>
      <c r="B633" s="3">
        <v>45393</v>
      </c>
      <c r="C633" t="s">
        <v>18</v>
      </c>
      <c r="D633" t="s">
        <v>13</v>
      </c>
      <c r="E633" t="s">
        <v>278</v>
      </c>
      <c r="F633" t="s">
        <v>53</v>
      </c>
      <c r="G633" t="s">
        <v>125</v>
      </c>
      <c r="H633">
        <v>11</v>
      </c>
      <c r="I633">
        <v>191.25</v>
      </c>
      <c r="J633">
        <v>0</v>
      </c>
      <c r="K633">
        <v>2103.75</v>
      </c>
      <c r="M633" t="str">
        <f t="shared" si="36"/>
        <v>Apr</v>
      </c>
      <c r="N633">
        <f t="shared" si="37"/>
        <v>4</v>
      </c>
      <c r="O633">
        <f t="shared" si="38"/>
        <v>2103.75</v>
      </c>
      <c r="P633" t="str">
        <f t="shared" si="39"/>
        <v>OK</v>
      </c>
    </row>
    <row r="634" spans="1:16" x14ac:dyDescent="0.35">
      <c r="A634" t="s">
        <v>962</v>
      </c>
      <c r="B634" s="3">
        <v>45565</v>
      </c>
      <c r="C634" t="s">
        <v>33</v>
      </c>
      <c r="D634" t="s">
        <v>57</v>
      </c>
      <c r="E634" t="s">
        <v>223</v>
      </c>
      <c r="F634" t="s">
        <v>15</v>
      </c>
      <c r="G634" t="s">
        <v>27</v>
      </c>
      <c r="H634">
        <v>10</v>
      </c>
      <c r="I634">
        <v>214.03</v>
      </c>
      <c r="J634">
        <v>0.1</v>
      </c>
      <c r="K634">
        <v>1926.27</v>
      </c>
      <c r="M634" t="str">
        <f t="shared" si="36"/>
        <v>Sep</v>
      </c>
      <c r="N634">
        <f t="shared" si="37"/>
        <v>9</v>
      </c>
      <c r="O634">
        <f t="shared" si="38"/>
        <v>1926.2700000000002</v>
      </c>
      <c r="P634" t="str">
        <f t="shared" si="39"/>
        <v>OK</v>
      </c>
    </row>
    <row r="635" spans="1:16" x14ac:dyDescent="0.35">
      <c r="A635" t="s">
        <v>964</v>
      </c>
      <c r="B635" s="3">
        <v>45297</v>
      </c>
      <c r="C635" t="s">
        <v>24</v>
      </c>
      <c r="D635" t="s">
        <v>42</v>
      </c>
      <c r="E635" t="s">
        <v>506</v>
      </c>
      <c r="F635" t="s">
        <v>21</v>
      </c>
      <c r="G635" t="s">
        <v>70</v>
      </c>
      <c r="H635">
        <v>11</v>
      </c>
      <c r="I635">
        <v>165.19</v>
      </c>
      <c r="J635">
        <v>0.05</v>
      </c>
      <c r="K635">
        <v>1726.24</v>
      </c>
      <c r="M635" t="str">
        <f t="shared" si="36"/>
        <v>Jan</v>
      </c>
      <c r="N635">
        <f t="shared" si="37"/>
        <v>1</v>
      </c>
      <c r="O635">
        <f t="shared" si="38"/>
        <v>1726.2354999999998</v>
      </c>
      <c r="P635" t="str">
        <f t="shared" si="39"/>
        <v>OK</v>
      </c>
    </row>
    <row r="636" spans="1:16" x14ac:dyDescent="0.35">
      <c r="A636" t="s">
        <v>965</v>
      </c>
      <c r="B636" s="3">
        <v>45593</v>
      </c>
      <c r="C636" t="s">
        <v>65</v>
      </c>
      <c r="D636" t="s">
        <v>13</v>
      </c>
      <c r="E636" t="s">
        <v>404</v>
      </c>
      <c r="F636" t="s">
        <v>53</v>
      </c>
      <c r="G636" t="s">
        <v>54</v>
      </c>
      <c r="H636">
        <v>10</v>
      </c>
      <c r="I636">
        <v>215.96</v>
      </c>
      <c r="J636">
        <v>0.15</v>
      </c>
      <c r="K636">
        <v>1835.66</v>
      </c>
      <c r="M636" t="str">
        <f t="shared" si="36"/>
        <v>Oct</v>
      </c>
      <c r="N636">
        <f t="shared" si="37"/>
        <v>10</v>
      </c>
      <c r="O636">
        <f t="shared" si="38"/>
        <v>1835.6599999999999</v>
      </c>
      <c r="P636" t="str">
        <f t="shared" si="39"/>
        <v>OK</v>
      </c>
    </row>
    <row r="637" spans="1:16" x14ac:dyDescent="0.35">
      <c r="A637" t="s">
        <v>966</v>
      </c>
      <c r="B637" s="3">
        <v>45392</v>
      </c>
      <c r="C637" t="s">
        <v>65</v>
      </c>
      <c r="D637" t="s">
        <v>42</v>
      </c>
      <c r="E637" t="s">
        <v>586</v>
      </c>
      <c r="F637" t="s">
        <v>15</v>
      </c>
      <c r="G637" t="s">
        <v>27</v>
      </c>
      <c r="H637">
        <v>1</v>
      </c>
      <c r="I637">
        <v>172.13</v>
      </c>
      <c r="J637">
        <v>0</v>
      </c>
      <c r="K637">
        <v>172.13</v>
      </c>
      <c r="M637" t="str">
        <f t="shared" si="36"/>
        <v>Apr</v>
      </c>
      <c r="N637">
        <f t="shared" si="37"/>
        <v>4</v>
      </c>
      <c r="O637">
        <f t="shared" si="38"/>
        <v>172.13</v>
      </c>
      <c r="P637" t="str">
        <f t="shared" si="39"/>
        <v>OK</v>
      </c>
    </row>
    <row r="638" spans="1:16" x14ac:dyDescent="0.35">
      <c r="A638" t="s">
        <v>967</v>
      </c>
      <c r="B638" s="3">
        <v>45630</v>
      </c>
      <c r="C638" t="s">
        <v>41</v>
      </c>
      <c r="D638" t="s">
        <v>19</v>
      </c>
      <c r="E638" t="s">
        <v>62</v>
      </c>
      <c r="F638" t="s">
        <v>35</v>
      </c>
      <c r="G638" t="s">
        <v>134</v>
      </c>
      <c r="H638">
        <v>3</v>
      </c>
      <c r="I638">
        <v>17.23</v>
      </c>
      <c r="J638">
        <v>0</v>
      </c>
      <c r="K638">
        <v>51.69</v>
      </c>
      <c r="M638" t="str">
        <f t="shared" si="36"/>
        <v>Dec</v>
      </c>
      <c r="N638">
        <f t="shared" si="37"/>
        <v>12</v>
      </c>
      <c r="O638">
        <f t="shared" si="38"/>
        <v>51.69</v>
      </c>
      <c r="P638" t="str">
        <f t="shared" si="39"/>
        <v>OK</v>
      </c>
    </row>
    <row r="639" spans="1:16" x14ac:dyDescent="0.35">
      <c r="A639" t="s">
        <v>968</v>
      </c>
      <c r="B639" s="3">
        <v>45452</v>
      </c>
      <c r="C639" t="s">
        <v>33</v>
      </c>
      <c r="D639" t="s">
        <v>2216</v>
      </c>
      <c r="E639" t="s">
        <v>608</v>
      </c>
      <c r="F639" t="s">
        <v>21</v>
      </c>
      <c r="G639" t="s">
        <v>167</v>
      </c>
      <c r="H639">
        <v>6</v>
      </c>
      <c r="I639">
        <v>34.58</v>
      </c>
      <c r="J639">
        <v>0</v>
      </c>
      <c r="K639">
        <v>207.48</v>
      </c>
      <c r="M639" t="str">
        <f t="shared" si="36"/>
        <v>Jun</v>
      </c>
      <c r="N639">
        <f t="shared" si="37"/>
        <v>6</v>
      </c>
      <c r="O639">
        <f t="shared" si="38"/>
        <v>207.48</v>
      </c>
      <c r="P639" t="str">
        <f t="shared" si="39"/>
        <v>OK</v>
      </c>
    </row>
    <row r="640" spans="1:16" x14ac:dyDescent="0.35">
      <c r="A640" t="s">
        <v>969</v>
      </c>
      <c r="B640" s="3">
        <v>45293</v>
      </c>
      <c r="C640" t="s">
        <v>65</v>
      </c>
      <c r="D640" t="s">
        <v>19</v>
      </c>
      <c r="E640" t="s">
        <v>155</v>
      </c>
      <c r="F640" t="s">
        <v>15</v>
      </c>
      <c r="G640" t="s">
        <v>16</v>
      </c>
      <c r="H640">
        <v>10</v>
      </c>
      <c r="I640">
        <v>182.88</v>
      </c>
      <c r="J640">
        <v>0.1</v>
      </c>
      <c r="K640">
        <v>1645.92</v>
      </c>
      <c r="M640" t="str">
        <f t="shared" si="36"/>
        <v>Jan</v>
      </c>
      <c r="N640">
        <f t="shared" si="37"/>
        <v>1</v>
      </c>
      <c r="O640">
        <f t="shared" si="38"/>
        <v>1645.92</v>
      </c>
      <c r="P640" t="str">
        <f t="shared" si="39"/>
        <v>OK</v>
      </c>
    </row>
    <row r="641" spans="1:16" x14ac:dyDescent="0.35">
      <c r="A641" t="s">
        <v>970</v>
      </c>
      <c r="B641" s="3">
        <v>45370</v>
      </c>
      <c r="C641" t="s">
        <v>18</v>
      </c>
      <c r="D641" t="s">
        <v>25</v>
      </c>
      <c r="E641" t="s">
        <v>771</v>
      </c>
      <c r="F641" t="s">
        <v>53</v>
      </c>
      <c r="G641" t="s">
        <v>125</v>
      </c>
      <c r="H641">
        <v>11</v>
      </c>
      <c r="I641">
        <v>35.92</v>
      </c>
      <c r="J641">
        <v>0</v>
      </c>
      <c r="K641">
        <v>395.12</v>
      </c>
      <c r="M641" t="str">
        <f t="shared" si="36"/>
        <v>Mar</v>
      </c>
      <c r="N641">
        <f t="shared" si="37"/>
        <v>3</v>
      </c>
      <c r="O641">
        <f t="shared" si="38"/>
        <v>395.12</v>
      </c>
      <c r="P641" t="str">
        <f t="shared" si="39"/>
        <v>OK</v>
      </c>
    </row>
    <row r="642" spans="1:16" x14ac:dyDescent="0.35">
      <c r="A642" t="s">
        <v>972</v>
      </c>
      <c r="B642" s="3">
        <v>45655</v>
      </c>
      <c r="C642" t="s">
        <v>65</v>
      </c>
      <c r="D642" t="s">
        <v>19</v>
      </c>
      <c r="E642" t="s">
        <v>286</v>
      </c>
      <c r="F642" t="s">
        <v>21</v>
      </c>
      <c r="G642" t="s">
        <v>22</v>
      </c>
      <c r="H642">
        <v>5</v>
      </c>
      <c r="I642">
        <v>32.11</v>
      </c>
      <c r="J642">
        <v>0</v>
      </c>
      <c r="K642">
        <v>160.55000000000001</v>
      </c>
      <c r="M642" t="str">
        <f t="shared" si="36"/>
        <v>Dec</v>
      </c>
      <c r="N642">
        <f t="shared" si="37"/>
        <v>12</v>
      </c>
      <c r="O642">
        <f t="shared" si="38"/>
        <v>160.55000000000001</v>
      </c>
      <c r="P642" t="str">
        <f t="shared" si="39"/>
        <v>OK</v>
      </c>
    </row>
    <row r="643" spans="1:16" x14ac:dyDescent="0.35">
      <c r="A643" t="s">
        <v>974</v>
      </c>
      <c r="B643" s="3">
        <v>45519</v>
      </c>
      <c r="C643" t="s">
        <v>24</v>
      </c>
      <c r="D643" t="s">
        <v>25</v>
      </c>
      <c r="E643" t="s">
        <v>508</v>
      </c>
      <c r="F643" t="s">
        <v>21</v>
      </c>
      <c r="G643" t="s">
        <v>167</v>
      </c>
      <c r="H643">
        <v>2</v>
      </c>
      <c r="I643">
        <v>18.64</v>
      </c>
      <c r="J643">
        <v>0</v>
      </c>
      <c r="K643">
        <v>37.28</v>
      </c>
      <c r="M643" t="str">
        <f t="shared" ref="M643:M706" si="40">TEXT(B643,"mmm")</f>
        <v>Aug</v>
      </c>
      <c r="N643">
        <f t="shared" ref="N643:N706" si="41">MONTH(B643)</f>
        <v>8</v>
      </c>
      <c r="O643">
        <f t="shared" ref="O643:O706" si="42">H643*I643*(1-J643)</f>
        <v>37.28</v>
      </c>
      <c r="P643" t="str">
        <f t="shared" ref="P643:P706" si="43">IF(ROUND(K643,2)=ROUND(O643,2),"OK","MISMATCH")</f>
        <v>OK</v>
      </c>
    </row>
    <row r="644" spans="1:16" x14ac:dyDescent="0.35">
      <c r="A644" t="s">
        <v>975</v>
      </c>
      <c r="B644" s="3">
        <v>45518</v>
      </c>
      <c r="C644" t="s">
        <v>24</v>
      </c>
      <c r="D644" t="s">
        <v>42</v>
      </c>
      <c r="E644" t="s">
        <v>233</v>
      </c>
      <c r="F644" t="s">
        <v>35</v>
      </c>
      <c r="G644" t="s">
        <v>83</v>
      </c>
      <c r="H644">
        <v>9</v>
      </c>
      <c r="I644">
        <v>170.53</v>
      </c>
      <c r="J644">
        <v>0.05</v>
      </c>
      <c r="K644">
        <v>1458.03</v>
      </c>
      <c r="M644" t="str">
        <f t="shared" si="40"/>
        <v>Aug</v>
      </c>
      <c r="N644">
        <f t="shared" si="41"/>
        <v>8</v>
      </c>
      <c r="O644">
        <f t="shared" si="42"/>
        <v>1458.0314999999998</v>
      </c>
      <c r="P644" t="str">
        <f t="shared" si="43"/>
        <v>OK</v>
      </c>
    </row>
    <row r="645" spans="1:16" x14ac:dyDescent="0.35">
      <c r="A645" t="s">
        <v>976</v>
      </c>
      <c r="B645" s="3">
        <v>45345</v>
      </c>
      <c r="C645" t="s">
        <v>18</v>
      </c>
      <c r="D645" t="s">
        <v>25</v>
      </c>
      <c r="E645" t="s">
        <v>155</v>
      </c>
      <c r="F645" t="s">
        <v>44</v>
      </c>
      <c r="G645" t="s">
        <v>94</v>
      </c>
      <c r="H645">
        <v>7</v>
      </c>
      <c r="I645">
        <v>89.93</v>
      </c>
      <c r="J645">
        <v>0.15</v>
      </c>
      <c r="K645">
        <v>535.08000000000004</v>
      </c>
      <c r="M645" t="str">
        <f t="shared" si="40"/>
        <v>Feb</v>
      </c>
      <c r="N645">
        <f t="shared" si="41"/>
        <v>2</v>
      </c>
      <c r="O645">
        <f t="shared" si="42"/>
        <v>535.08349999999996</v>
      </c>
      <c r="P645" t="str">
        <f t="shared" si="43"/>
        <v>OK</v>
      </c>
    </row>
    <row r="646" spans="1:16" x14ac:dyDescent="0.35">
      <c r="A646" t="s">
        <v>977</v>
      </c>
      <c r="B646" s="3">
        <v>45324</v>
      </c>
      <c r="C646" t="s">
        <v>65</v>
      </c>
      <c r="D646" t="s">
        <v>19</v>
      </c>
      <c r="E646" t="s">
        <v>346</v>
      </c>
      <c r="F646" t="s">
        <v>44</v>
      </c>
      <c r="G646" t="s">
        <v>86</v>
      </c>
      <c r="H646">
        <v>7</v>
      </c>
      <c r="I646">
        <v>58.37</v>
      </c>
      <c r="J646">
        <v>0</v>
      </c>
      <c r="K646">
        <v>408.59</v>
      </c>
      <c r="M646" t="str">
        <f t="shared" si="40"/>
        <v>Feb</v>
      </c>
      <c r="N646">
        <f t="shared" si="41"/>
        <v>2</v>
      </c>
      <c r="O646">
        <f t="shared" si="42"/>
        <v>408.59</v>
      </c>
      <c r="P646" t="str">
        <f t="shared" si="43"/>
        <v>OK</v>
      </c>
    </row>
    <row r="647" spans="1:16" x14ac:dyDescent="0.35">
      <c r="A647" t="s">
        <v>978</v>
      </c>
      <c r="B647" s="3">
        <v>45475</v>
      </c>
      <c r="C647" t="s">
        <v>33</v>
      </c>
      <c r="D647" t="s">
        <v>25</v>
      </c>
      <c r="E647" t="s">
        <v>152</v>
      </c>
      <c r="F647" t="s">
        <v>35</v>
      </c>
      <c r="G647" t="s">
        <v>36</v>
      </c>
      <c r="H647">
        <v>12</v>
      </c>
      <c r="I647">
        <v>48.41</v>
      </c>
      <c r="J647">
        <v>0</v>
      </c>
      <c r="K647">
        <v>580.91999999999996</v>
      </c>
      <c r="M647" t="str">
        <f t="shared" si="40"/>
        <v>Jul</v>
      </c>
      <c r="N647">
        <f t="shared" si="41"/>
        <v>7</v>
      </c>
      <c r="O647">
        <f t="shared" si="42"/>
        <v>580.91999999999996</v>
      </c>
      <c r="P647" t="str">
        <f t="shared" si="43"/>
        <v>OK</v>
      </c>
    </row>
    <row r="648" spans="1:16" x14ac:dyDescent="0.35">
      <c r="A648" t="s">
        <v>979</v>
      </c>
      <c r="B648" s="3">
        <v>45534</v>
      </c>
      <c r="C648" t="s">
        <v>24</v>
      </c>
      <c r="D648" t="s">
        <v>19</v>
      </c>
      <c r="E648" t="s">
        <v>286</v>
      </c>
      <c r="F648" t="s">
        <v>35</v>
      </c>
      <c r="G648" t="s">
        <v>67</v>
      </c>
      <c r="H648">
        <v>11</v>
      </c>
      <c r="I648">
        <v>99.59</v>
      </c>
      <c r="J648">
        <v>0.15</v>
      </c>
      <c r="K648">
        <v>931.17</v>
      </c>
      <c r="M648" t="str">
        <f t="shared" si="40"/>
        <v>Aug</v>
      </c>
      <c r="N648">
        <f t="shared" si="41"/>
        <v>8</v>
      </c>
      <c r="O648">
        <f t="shared" si="42"/>
        <v>931.16649999999993</v>
      </c>
      <c r="P648" t="str">
        <f t="shared" si="43"/>
        <v>OK</v>
      </c>
    </row>
    <row r="649" spans="1:16" x14ac:dyDescent="0.35">
      <c r="A649" t="s">
        <v>980</v>
      </c>
      <c r="B649" s="3">
        <v>45627</v>
      </c>
      <c r="C649" t="s">
        <v>33</v>
      </c>
      <c r="D649" t="s">
        <v>19</v>
      </c>
      <c r="E649" t="s">
        <v>26</v>
      </c>
      <c r="F649" t="s">
        <v>44</v>
      </c>
      <c r="G649" t="s">
        <v>86</v>
      </c>
      <c r="H649">
        <v>3</v>
      </c>
      <c r="I649">
        <v>117.57</v>
      </c>
      <c r="J649">
        <v>0</v>
      </c>
      <c r="K649">
        <v>352.71</v>
      </c>
      <c r="M649" t="str">
        <f t="shared" si="40"/>
        <v>Dec</v>
      </c>
      <c r="N649">
        <f t="shared" si="41"/>
        <v>12</v>
      </c>
      <c r="O649">
        <f t="shared" si="42"/>
        <v>352.71</v>
      </c>
      <c r="P649" t="str">
        <f t="shared" si="43"/>
        <v>OK</v>
      </c>
    </row>
    <row r="650" spans="1:16" x14ac:dyDescent="0.35">
      <c r="A650" t="s">
        <v>981</v>
      </c>
      <c r="B650" s="3">
        <v>45451</v>
      </c>
      <c r="C650" t="s">
        <v>41</v>
      </c>
      <c r="D650" t="s">
        <v>19</v>
      </c>
      <c r="E650" t="s">
        <v>431</v>
      </c>
      <c r="F650" t="s">
        <v>35</v>
      </c>
      <c r="G650" t="s">
        <v>177</v>
      </c>
      <c r="H650">
        <v>10</v>
      </c>
      <c r="I650">
        <v>135.02000000000001</v>
      </c>
      <c r="J650">
        <v>0</v>
      </c>
      <c r="K650">
        <v>1350.2</v>
      </c>
      <c r="M650" t="str">
        <f t="shared" si="40"/>
        <v>Jun</v>
      </c>
      <c r="N650">
        <f t="shared" si="41"/>
        <v>6</v>
      </c>
      <c r="O650">
        <f t="shared" si="42"/>
        <v>1350.2</v>
      </c>
      <c r="P650" t="str">
        <f t="shared" si="43"/>
        <v>OK</v>
      </c>
    </row>
    <row r="651" spans="1:16" x14ac:dyDescent="0.35">
      <c r="A651" t="s">
        <v>982</v>
      </c>
      <c r="B651" s="3">
        <v>45338</v>
      </c>
      <c r="C651" t="s">
        <v>33</v>
      </c>
      <c r="D651" t="s">
        <v>13</v>
      </c>
      <c r="E651" t="s">
        <v>52</v>
      </c>
      <c r="F651" t="s">
        <v>53</v>
      </c>
      <c r="G651" t="s">
        <v>54</v>
      </c>
      <c r="H651">
        <v>12</v>
      </c>
      <c r="I651">
        <v>27.63</v>
      </c>
      <c r="J651">
        <v>0.1</v>
      </c>
      <c r="K651">
        <v>298.39999999999998</v>
      </c>
      <c r="M651" t="str">
        <f t="shared" si="40"/>
        <v>Feb</v>
      </c>
      <c r="N651">
        <f t="shared" si="41"/>
        <v>2</v>
      </c>
      <c r="O651">
        <f t="shared" si="42"/>
        <v>298.404</v>
      </c>
      <c r="P651" t="str">
        <f t="shared" si="43"/>
        <v>OK</v>
      </c>
    </row>
    <row r="652" spans="1:16" x14ac:dyDescent="0.35">
      <c r="A652" t="s">
        <v>984</v>
      </c>
      <c r="B652" s="3">
        <v>45634</v>
      </c>
      <c r="C652" t="s">
        <v>24</v>
      </c>
      <c r="D652" t="s">
        <v>57</v>
      </c>
      <c r="E652" t="s">
        <v>137</v>
      </c>
      <c r="F652" t="s">
        <v>35</v>
      </c>
      <c r="G652" t="s">
        <v>67</v>
      </c>
      <c r="H652">
        <v>5</v>
      </c>
      <c r="I652">
        <v>88.88</v>
      </c>
      <c r="J652">
        <v>0</v>
      </c>
      <c r="K652">
        <v>444.4</v>
      </c>
      <c r="M652" t="str">
        <f t="shared" si="40"/>
        <v>Dec</v>
      </c>
      <c r="N652">
        <f t="shared" si="41"/>
        <v>12</v>
      </c>
      <c r="O652">
        <f t="shared" si="42"/>
        <v>444.4</v>
      </c>
      <c r="P652" t="str">
        <f t="shared" si="43"/>
        <v>OK</v>
      </c>
    </row>
    <row r="653" spans="1:16" x14ac:dyDescent="0.35">
      <c r="A653" t="s">
        <v>985</v>
      </c>
      <c r="B653" s="3">
        <v>45579</v>
      </c>
      <c r="C653" t="s">
        <v>33</v>
      </c>
      <c r="D653" t="s">
        <v>42</v>
      </c>
      <c r="E653" t="s">
        <v>330</v>
      </c>
      <c r="F653" t="s">
        <v>15</v>
      </c>
      <c r="G653" t="s">
        <v>74</v>
      </c>
      <c r="H653">
        <v>12</v>
      </c>
      <c r="I653">
        <v>32.409999999999997</v>
      </c>
      <c r="J653">
        <v>0</v>
      </c>
      <c r="K653">
        <v>388.92</v>
      </c>
      <c r="M653" t="str">
        <f t="shared" si="40"/>
        <v>Oct</v>
      </c>
      <c r="N653">
        <f t="shared" si="41"/>
        <v>10</v>
      </c>
      <c r="O653">
        <f t="shared" si="42"/>
        <v>388.91999999999996</v>
      </c>
      <c r="P653" t="str">
        <f t="shared" si="43"/>
        <v>OK</v>
      </c>
    </row>
    <row r="654" spans="1:16" x14ac:dyDescent="0.35">
      <c r="A654" t="s">
        <v>986</v>
      </c>
      <c r="B654" s="3">
        <v>45614</v>
      </c>
      <c r="C654" t="s">
        <v>24</v>
      </c>
      <c r="D654" t="s">
        <v>25</v>
      </c>
      <c r="E654" t="s">
        <v>128</v>
      </c>
      <c r="F654" t="s">
        <v>21</v>
      </c>
      <c r="G654" t="s">
        <v>70</v>
      </c>
      <c r="H654">
        <v>12</v>
      </c>
      <c r="I654">
        <v>123.5</v>
      </c>
      <c r="J654">
        <v>0.1</v>
      </c>
      <c r="K654">
        <v>1333.8</v>
      </c>
      <c r="M654" t="str">
        <f t="shared" si="40"/>
        <v>Nov</v>
      </c>
      <c r="N654">
        <f t="shared" si="41"/>
        <v>11</v>
      </c>
      <c r="O654">
        <f t="shared" si="42"/>
        <v>1333.8</v>
      </c>
      <c r="P654" t="str">
        <f t="shared" si="43"/>
        <v>OK</v>
      </c>
    </row>
    <row r="655" spans="1:16" x14ac:dyDescent="0.35">
      <c r="A655" t="s">
        <v>987</v>
      </c>
      <c r="B655" s="3">
        <v>45639</v>
      </c>
      <c r="C655" t="s">
        <v>18</v>
      </c>
      <c r="D655" t="s">
        <v>19</v>
      </c>
      <c r="E655" t="s">
        <v>302</v>
      </c>
      <c r="F655" t="s">
        <v>15</v>
      </c>
      <c r="G655" t="s">
        <v>111</v>
      </c>
      <c r="H655">
        <v>2</v>
      </c>
      <c r="I655">
        <v>158.35</v>
      </c>
      <c r="J655">
        <v>0</v>
      </c>
      <c r="K655">
        <v>316.7</v>
      </c>
      <c r="M655" t="str">
        <f t="shared" si="40"/>
        <v>Dec</v>
      </c>
      <c r="N655">
        <f t="shared" si="41"/>
        <v>12</v>
      </c>
      <c r="O655">
        <f t="shared" si="42"/>
        <v>316.7</v>
      </c>
      <c r="P655" t="str">
        <f t="shared" si="43"/>
        <v>OK</v>
      </c>
    </row>
    <row r="656" spans="1:16" x14ac:dyDescent="0.35">
      <c r="A656" t="s">
        <v>988</v>
      </c>
      <c r="B656" s="3">
        <v>45337</v>
      </c>
      <c r="C656" t="s">
        <v>41</v>
      </c>
      <c r="D656" t="s">
        <v>57</v>
      </c>
      <c r="E656" t="s">
        <v>989</v>
      </c>
      <c r="F656" t="s">
        <v>15</v>
      </c>
      <c r="G656" t="s">
        <v>74</v>
      </c>
      <c r="H656">
        <v>4</v>
      </c>
      <c r="I656">
        <v>101.18</v>
      </c>
      <c r="J656">
        <v>0</v>
      </c>
      <c r="K656">
        <v>404.72</v>
      </c>
      <c r="M656" t="str">
        <f t="shared" si="40"/>
        <v>Feb</v>
      </c>
      <c r="N656">
        <f t="shared" si="41"/>
        <v>2</v>
      </c>
      <c r="O656">
        <f t="shared" si="42"/>
        <v>404.72</v>
      </c>
      <c r="P656" t="str">
        <f t="shared" si="43"/>
        <v>OK</v>
      </c>
    </row>
    <row r="657" spans="1:16" x14ac:dyDescent="0.35">
      <c r="A657" t="s">
        <v>990</v>
      </c>
      <c r="B657" s="3">
        <v>45486</v>
      </c>
      <c r="C657" t="s">
        <v>18</v>
      </c>
      <c r="D657" t="s">
        <v>19</v>
      </c>
      <c r="E657" t="s">
        <v>366</v>
      </c>
      <c r="F657" t="s">
        <v>53</v>
      </c>
      <c r="G657" t="s">
        <v>104</v>
      </c>
      <c r="H657">
        <v>10</v>
      </c>
      <c r="I657">
        <v>81.150000000000006</v>
      </c>
      <c r="J657">
        <v>0.1</v>
      </c>
      <c r="K657">
        <v>730.35</v>
      </c>
      <c r="M657" t="str">
        <f t="shared" si="40"/>
        <v>Jul</v>
      </c>
      <c r="N657">
        <f t="shared" si="41"/>
        <v>7</v>
      </c>
      <c r="O657">
        <f t="shared" si="42"/>
        <v>730.35</v>
      </c>
      <c r="P657" t="str">
        <f t="shared" si="43"/>
        <v>OK</v>
      </c>
    </row>
    <row r="658" spans="1:16" x14ac:dyDescent="0.35">
      <c r="A658" t="s">
        <v>991</v>
      </c>
      <c r="B658" s="3">
        <v>45391</v>
      </c>
      <c r="C658" t="s">
        <v>33</v>
      </c>
      <c r="D658" t="s">
        <v>19</v>
      </c>
      <c r="E658" t="s">
        <v>865</v>
      </c>
      <c r="F658" t="s">
        <v>53</v>
      </c>
      <c r="G658" t="s">
        <v>59</v>
      </c>
      <c r="H658">
        <v>11</v>
      </c>
      <c r="I658">
        <v>86.5</v>
      </c>
      <c r="J658">
        <v>0</v>
      </c>
      <c r="K658">
        <v>951.5</v>
      </c>
      <c r="M658" t="str">
        <f t="shared" si="40"/>
        <v>Apr</v>
      </c>
      <c r="N658">
        <f t="shared" si="41"/>
        <v>4</v>
      </c>
      <c r="O658">
        <f t="shared" si="42"/>
        <v>951.5</v>
      </c>
      <c r="P658" t="str">
        <f t="shared" si="43"/>
        <v>OK</v>
      </c>
    </row>
    <row r="659" spans="1:16" x14ac:dyDescent="0.35">
      <c r="A659" t="s">
        <v>992</v>
      </c>
      <c r="B659" s="3">
        <v>45510</v>
      </c>
      <c r="C659" t="s">
        <v>41</v>
      </c>
      <c r="D659" t="s">
        <v>19</v>
      </c>
      <c r="E659" t="s">
        <v>52</v>
      </c>
      <c r="F659" t="s">
        <v>15</v>
      </c>
      <c r="G659" t="s">
        <v>147</v>
      </c>
      <c r="H659">
        <v>9</v>
      </c>
      <c r="I659">
        <v>84.79</v>
      </c>
      <c r="J659">
        <v>0.15</v>
      </c>
      <c r="K659">
        <v>648.64</v>
      </c>
      <c r="M659" t="str">
        <f t="shared" si="40"/>
        <v>Aug</v>
      </c>
      <c r="N659">
        <f t="shared" si="41"/>
        <v>8</v>
      </c>
      <c r="O659">
        <f t="shared" si="42"/>
        <v>648.64350000000002</v>
      </c>
      <c r="P659" t="str">
        <f t="shared" si="43"/>
        <v>OK</v>
      </c>
    </row>
    <row r="660" spans="1:16" x14ac:dyDescent="0.35">
      <c r="A660" t="s">
        <v>993</v>
      </c>
      <c r="B660" s="3">
        <v>45339</v>
      </c>
      <c r="C660" t="s">
        <v>65</v>
      </c>
      <c r="D660" t="s">
        <v>13</v>
      </c>
      <c r="E660" t="s">
        <v>120</v>
      </c>
      <c r="F660" t="s">
        <v>53</v>
      </c>
      <c r="G660" t="s">
        <v>59</v>
      </c>
      <c r="H660">
        <v>10</v>
      </c>
      <c r="I660">
        <v>231.27</v>
      </c>
      <c r="J660">
        <v>0</v>
      </c>
      <c r="K660">
        <v>2312.6999999999998</v>
      </c>
      <c r="M660" t="str">
        <f t="shared" si="40"/>
        <v>Feb</v>
      </c>
      <c r="N660">
        <f t="shared" si="41"/>
        <v>2</v>
      </c>
      <c r="O660">
        <f t="shared" si="42"/>
        <v>2312.7000000000003</v>
      </c>
      <c r="P660" t="str">
        <f t="shared" si="43"/>
        <v>OK</v>
      </c>
    </row>
    <row r="661" spans="1:16" x14ac:dyDescent="0.35">
      <c r="A661" t="s">
        <v>994</v>
      </c>
      <c r="B661" s="3">
        <v>45313</v>
      </c>
      <c r="C661" t="s">
        <v>41</v>
      </c>
      <c r="D661" t="s">
        <v>25</v>
      </c>
      <c r="E661" t="s">
        <v>96</v>
      </c>
      <c r="F661" t="s">
        <v>35</v>
      </c>
      <c r="G661" t="s">
        <v>83</v>
      </c>
      <c r="H661">
        <v>6</v>
      </c>
      <c r="I661">
        <v>130.5</v>
      </c>
      <c r="J661">
        <v>0.05</v>
      </c>
      <c r="K661">
        <v>743.85</v>
      </c>
      <c r="M661" t="str">
        <f t="shared" si="40"/>
        <v>Jan</v>
      </c>
      <c r="N661">
        <f t="shared" si="41"/>
        <v>1</v>
      </c>
      <c r="O661">
        <f t="shared" si="42"/>
        <v>743.84999999999991</v>
      </c>
      <c r="P661" t="str">
        <f t="shared" si="43"/>
        <v>OK</v>
      </c>
    </row>
    <row r="662" spans="1:16" x14ac:dyDescent="0.35">
      <c r="A662" t="s">
        <v>995</v>
      </c>
      <c r="B662" s="3">
        <v>45601</v>
      </c>
      <c r="C662" t="s">
        <v>41</v>
      </c>
      <c r="D662" t="s">
        <v>13</v>
      </c>
      <c r="E662" t="s">
        <v>233</v>
      </c>
      <c r="F662" t="s">
        <v>53</v>
      </c>
      <c r="G662" t="s">
        <v>104</v>
      </c>
      <c r="H662">
        <v>1</v>
      </c>
      <c r="I662">
        <v>237.82</v>
      </c>
      <c r="J662">
        <v>0.05</v>
      </c>
      <c r="K662">
        <v>225.93</v>
      </c>
      <c r="M662" t="str">
        <f t="shared" si="40"/>
        <v>Nov</v>
      </c>
      <c r="N662">
        <f t="shared" si="41"/>
        <v>11</v>
      </c>
      <c r="O662">
        <f t="shared" si="42"/>
        <v>225.92899999999997</v>
      </c>
      <c r="P662" t="str">
        <f t="shared" si="43"/>
        <v>OK</v>
      </c>
    </row>
    <row r="663" spans="1:16" x14ac:dyDescent="0.35">
      <c r="A663" t="s">
        <v>996</v>
      </c>
      <c r="B663" s="3">
        <v>45326</v>
      </c>
      <c r="C663" t="s">
        <v>65</v>
      </c>
      <c r="D663" t="s">
        <v>57</v>
      </c>
      <c r="E663" t="s">
        <v>299</v>
      </c>
      <c r="F663" t="s">
        <v>35</v>
      </c>
      <c r="G663" t="s">
        <v>177</v>
      </c>
      <c r="H663">
        <v>2</v>
      </c>
      <c r="I663">
        <v>98.16</v>
      </c>
      <c r="J663">
        <v>0</v>
      </c>
      <c r="K663">
        <v>196.32</v>
      </c>
      <c r="M663" t="str">
        <f t="shared" si="40"/>
        <v>Feb</v>
      </c>
      <c r="N663">
        <f t="shared" si="41"/>
        <v>2</v>
      </c>
      <c r="O663">
        <f t="shared" si="42"/>
        <v>196.32</v>
      </c>
      <c r="P663" t="str">
        <f t="shared" si="43"/>
        <v>OK</v>
      </c>
    </row>
    <row r="664" spans="1:16" x14ac:dyDescent="0.35">
      <c r="A664" t="s">
        <v>997</v>
      </c>
      <c r="B664" s="3">
        <v>45486</v>
      </c>
      <c r="C664" t="s">
        <v>65</v>
      </c>
      <c r="D664" t="s">
        <v>25</v>
      </c>
      <c r="E664" t="s">
        <v>142</v>
      </c>
      <c r="F664" t="s">
        <v>35</v>
      </c>
      <c r="G664" t="s">
        <v>177</v>
      </c>
      <c r="H664">
        <v>6</v>
      </c>
      <c r="I664">
        <v>6.44</v>
      </c>
      <c r="J664">
        <v>0</v>
      </c>
      <c r="K664">
        <v>38.64</v>
      </c>
      <c r="M664" t="str">
        <f t="shared" si="40"/>
        <v>Jul</v>
      </c>
      <c r="N664">
        <f t="shared" si="41"/>
        <v>7</v>
      </c>
      <c r="O664">
        <f t="shared" si="42"/>
        <v>38.64</v>
      </c>
      <c r="P664" t="str">
        <f t="shared" si="43"/>
        <v>OK</v>
      </c>
    </row>
    <row r="665" spans="1:16" x14ac:dyDescent="0.35">
      <c r="A665" t="s">
        <v>998</v>
      </c>
      <c r="B665" s="3">
        <v>45399</v>
      </c>
      <c r="C665" t="s">
        <v>65</v>
      </c>
      <c r="D665" t="s">
        <v>25</v>
      </c>
      <c r="E665" t="s">
        <v>595</v>
      </c>
      <c r="F665" t="s">
        <v>15</v>
      </c>
      <c r="G665" t="s">
        <v>111</v>
      </c>
      <c r="H665">
        <v>3</v>
      </c>
      <c r="I665">
        <v>136.19</v>
      </c>
      <c r="J665">
        <v>0.1</v>
      </c>
      <c r="K665">
        <v>367.71</v>
      </c>
      <c r="M665" t="str">
        <f t="shared" si="40"/>
        <v>Apr</v>
      </c>
      <c r="N665">
        <f t="shared" si="41"/>
        <v>4</v>
      </c>
      <c r="O665">
        <f t="shared" si="42"/>
        <v>367.71300000000002</v>
      </c>
      <c r="P665" t="str">
        <f t="shared" si="43"/>
        <v>OK</v>
      </c>
    </row>
    <row r="666" spans="1:16" x14ac:dyDescent="0.35">
      <c r="A666" t="s">
        <v>999</v>
      </c>
      <c r="B666" s="3">
        <v>45577</v>
      </c>
      <c r="C666" t="s">
        <v>18</v>
      </c>
      <c r="D666" t="s">
        <v>19</v>
      </c>
      <c r="E666" t="s">
        <v>460</v>
      </c>
      <c r="F666" t="s">
        <v>35</v>
      </c>
      <c r="G666" t="s">
        <v>36</v>
      </c>
      <c r="H666">
        <v>12</v>
      </c>
      <c r="I666">
        <v>206.4</v>
      </c>
      <c r="J666">
        <v>0</v>
      </c>
      <c r="K666">
        <v>2476.8000000000002</v>
      </c>
      <c r="M666" t="str">
        <f t="shared" si="40"/>
        <v>Oct</v>
      </c>
      <c r="N666">
        <f t="shared" si="41"/>
        <v>10</v>
      </c>
      <c r="O666">
        <f t="shared" si="42"/>
        <v>2476.8000000000002</v>
      </c>
      <c r="P666" t="str">
        <f t="shared" si="43"/>
        <v>OK</v>
      </c>
    </row>
    <row r="667" spans="1:16" x14ac:dyDescent="0.35">
      <c r="A667" t="s">
        <v>1000</v>
      </c>
      <c r="B667" s="3">
        <v>45313</v>
      </c>
      <c r="C667" t="s">
        <v>33</v>
      </c>
      <c r="D667" t="s">
        <v>42</v>
      </c>
      <c r="E667" t="s">
        <v>360</v>
      </c>
      <c r="F667" t="s">
        <v>35</v>
      </c>
      <c r="G667" t="s">
        <v>67</v>
      </c>
      <c r="H667">
        <v>7</v>
      </c>
      <c r="I667">
        <v>155.63999999999999</v>
      </c>
      <c r="J667">
        <v>0</v>
      </c>
      <c r="K667">
        <v>1089.48</v>
      </c>
      <c r="M667" t="str">
        <f t="shared" si="40"/>
        <v>Jan</v>
      </c>
      <c r="N667">
        <f t="shared" si="41"/>
        <v>1</v>
      </c>
      <c r="O667">
        <f t="shared" si="42"/>
        <v>1089.48</v>
      </c>
      <c r="P667" t="str">
        <f t="shared" si="43"/>
        <v>OK</v>
      </c>
    </row>
    <row r="668" spans="1:16" x14ac:dyDescent="0.35">
      <c r="A668" t="s">
        <v>1001</v>
      </c>
      <c r="B668" s="3">
        <v>45521</v>
      </c>
      <c r="C668" t="s">
        <v>18</v>
      </c>
      <c r="D668" t="s">
        <v>13</v>
      </c>
      <c r="E668" t="s">
        <v>133</v>
      </c>
      <c r="F668" t="s">
        <v>53</v>
      </c>
      <c r="G668" t="s">
        <v>260</v>
      </c>
      <c r="H668">
        <v>10</v>
      </c>
      <c r="I668">
        <v>193.59</v>
      </c>
      <c r="J668">
        <v>0.15</v>
      </c>
      <c r="K668">
        <v>1645.52</v>
      </c>
      <c r="M668" t="str">
        <f t="shared" si="40"/>
        <v>Aug</v>
      </c>
      <c r="N668">
        <f t="shared" si="41"/>
        <v>8</v>
      </c>
      <c r="O668">
        <f t="shared" si="42"/>
        <v>1645.5150000000001</v>
      </c>
      <c r="P668" t="str">
        <f t="shared" si="43"/>
        <v>OK</v>
      </c>
    </row>
    <row r="669" spans="1:16" x14ac:dyDescent="0.35">
      <c r="A669" t="s">
        <v>1002</v>
      </c>
      <c r="B669" s="3">
        <v>45520</v>
      </c>
      <c r="C669" t="s">
        <v>18</v>
      </c>
      <c r="D669" t="s">
        <v>42</v>
      </c>
      <c r="E669" t="s">
        <v>299</v>
      </c>
      <c r="F669" t="s">
        <v>15</v>
      </c>
      <c r="G669" t="s">
        <v>74</v>
      </c>
      <c r="H669">
        <v>8</v>
      </c>
      <c r="I669">
        <v>194.82</v>
      </c>
      <c r="J669">
        <v>0.1</v>
      </c>
      <c r="K669">
        <v>1402.7</v>
      </c>
      <c r="M669" t="str">
        <f t="shared" si="40"/>
        <v>Aug</v>
      </c>
      <c r="N669">
        <f t="shared" si="41"/>
        <v>8</v>
      </c>
      <c r="O669">
        <f t="shared" si="42"/>
        <v>1402.704</v>
      </c>
      <c r="P669" t="str">
        <f t="shared" si="43"/>
        <v>OK</v>
      </c>
    </row>
    <row r="670" spans="1:16" x14ac:dyDescent="0.35">
      <c r="A670" t="s">
        <v>1003</v>
      </c>
      <c r="B670" s="3">
        <v>45515</v>
      </c>
      <c r="C670" t="s">
        <v>18</v>
      </c>
      <c r="D670" t="s">
        <v>13</v>
      </c>
      <c r="E670" t="s">
        <v>642</v>
      </c>
      <c r="F670" t="s">
        <v>15</v>
      </c>
      <c r="G670" t="s">
        <v>27</v>
      </c>
      <c r="H670">
        <v>7</v>
      </c>
      <c r="I670">
        <v>133.37</v>
      </c>
      <c r="J670">
        <v>0</v>
      </c>
      <c r="K670">
        <v>933.59</v>
      </c>
      <c r="M670" t="str">
        <f t="shared" si="40"/>
        <v>Aug</v>
      </c>
      <c r="N670">
        <f t="shared" si="41"/>
        <v>8</v>
      </c>
      <c r="O670">
        <f t="shared" si="42"/>
        <v>933.59</v>
      </c>
      <c r="P670" t="str">
        <f t="shared" si="43"/>
        <v>OK</v>
      </c>
    </row>
    <row r="671" spans="1:16" x14ac:dyDescent="0.35">
      <c r="A671" t="s">
        <v>1004</v>
      </c>
      <c r="B671" s="3">
        <v>45345</v>
      </c>
      <c r="C671" t="s">
        <v>41</v>
      </c>
      <c r="D671" t="s">
        <v>13</v>
      </c>
      <c r="E671" t="s">
        <v>357</v>
      </c>
      <c r="F671" t="s">
        <v>21</v>
      </c>
      <c r="G671" t="s">
        <v>167</v>
      </c>
      <c r="H671">
        <v>8</v>
      </c>
      <c r="I671">
        <v>228.25</v>
      </c>
      <c r="J671">
        <v>0.1</v>
      </c>
      <c r="K671">
        <v>1643.4</v>
      </c>
      <c r="M671" t="str">
        <f t="shared" si="40"/>
        <v>Feb</v>
      </c>
      <c r="N671">
        <f t="shared" si="41"/>
        <v>2</v>
      </c>
      <c r="O671">
        <f t="shared" si="42"/>
        <v>1643.4</v>
      </c>
      <c r="P671" t="str">
        <f t="shared" si="43"/>
        <v>OK</v>
      </c>
    </row>
    <row r="672" spans="1:16" x14ac:dyDescent="0.35">
      <c r="A672" t="s">
        <v>1005</v>
      </c>
      <c r="B672" s="3">
        <v>45479</v>
      </c>
      <c r="C672" t="s">
        <v>65</v>
      </c>
      <c r="D672" t="s">
        <v>19</v>
      </c>
      <c r="E672" t="s">
        <v>52</v>
      </c>
      <c r="F672" t="s">
        <v>35</v>
      </c>
      <c r="G672" t="s">
        <v>83</v>
      </c>
      <c r="H672">
        <v>6</v>
      </c>
      <c r="I672">
        <v>238.04</v>
      </c>
      <c r="J672">
        <v>0.05</v>
      </c>
      <c r="K672">
        <v>1356.83</v>
      </c>
      <c r="M672" t="str">
        <f t="shared" si="40"/>
        <v>Jul</v>
      </c>
      <c r="N672">
        <f t="shared" si="41"/>
        <v>7</v>
      </c>
      <c r="O672">
        <f t="shared" si="42"/>
        <v>1356.828</v>
      </c>
      <c r="P672" t="str">
        <f t="shared" si="43"/>
        <v>OK</v>
      </c>
    </row>
    <row r="673" spans="1:16" x14ac:dyDescent="0.35">
      <c r="A673" t="s">
        <v>1006</v>
      </c>
      <c r="B673" s="3">
        <v>45613</v>
      </c>
      <c r="C673" t="s">
        <v>41</v>
      </c>
      <c r="D673" t="s">
        <v>13</v>
      </c>
      <c r="E673" t="s">
        <v>360</v>
      </c>
      <c r="F673" t="s">
        <v>44</v>
      </c>
      <c r="G673" t="s">
        <v>107</v>
      </c>
      <c r="H673">
        <v>10</v>
      </c>
      <c r="I673">
        <v>230.37</v>
      </c>
      <c r="J673">
        <v>0.15</v>
      </c>
      <c r="K673">
        <v>1958.14</v>
      </c>
      <c r="M673" t="str">
        <f t="shared" si="40"/>
        <v>Nov</v>
      </c>
      <c r="N673">
        <f t="shared" si="41"/>
        <v>11</v>
      </c>
      <c r="O673">
        <f t="shared" si="42"/>
        <v>1958.1449999999998</v>
      </c>
      <c r="P673" t="str">
        <f t="shared" si="43"/>
        <v>MISMATCH</v>
      </c>
    </row>
    <row r="674" spans="1:16" x14ac:dyDescent="0.35">
      <c r="A674" t="s">
        <v>1008</v>
      </c>
      <c r="B674" s="3">
        <v>45513</v>
      </c>
      <c r="C674" t="s">
        <v>33</v>
      </c>
      <c r="D674" t="s">
        <v>42</v>
      </c>
      <c r="E674" t="s">
        <v>431</v>
      </c>
      <c r="F674" t="s">
        <v>15</v>
      </c>
      <c r="G674" t="s">
        <v>16</v>
      </c>
      <c r="H674">
        <v>11</v>
      </c>
      <c r="I674">
        <v>9.14</v>
      </c>
      <c r="J674">
        <v>0</v>
      </c>
      <c r="K674">
        <v>100.54</v>
      </c>
      <c r="M674" t="str">
        <f t="shared" si="40"/>
        <v>Aug</v>
      </c>
      <c r="N674">
        <f t="shared" si="41"/>
        <v>8</v>
      </c>
      <c r="O674">
        <f t="shared" si="42"/>
        <v>100.54</v>
      </c>
      <c r="P674" t="str">
        <f t="shared" si="43"/>
        <v>OK</v>
      </c>
    </row>
    <row r="675" spans="1:16" x14ac:dyDescent="0.35">
      <c r="A675" t="s">
        <v>1009</v>
      </c>
      <c r="B675" s="3">
        <v>45493</v>
      </c>
      <c r="C675" t="s">
        <v>18</v>
      </c>
      <c r="D675" t="s">
        <v>25</v>
      </c>
      <c r="E675" t="s">
        <v>49</v>
      </c>
      <c r="F675" t="s">
        <v>53</v>
      </c>
      <c r="G675" t="s">
        <v>104</v>
      </c>
      <c r="H675">
        <v>10</v>
      </c>
      <c r="I675">
        <v>125.16</v>
      </c>
      <c r="J675">
        <v>0.1</v>
      </c>
      <c r="K675">
        <v>1126.44</v>
      </c>
      <c r="M675" t="str">
        <f t="shared" si="40"/>
        <v>Jul</v>
      </c>
      <c r="N675">
        <f t="shared" si="41"/>
        <v>7</v>
      </c>
      <c r="O675">
        <f t="shared" si="42"/>
        <v>1126.44</v>
      </c>
      <c r="P675" t="str">
        <f t="shared" si="43"/>
        <v>OK</v>
      </c>
    </row>
    <row r="676" spans="1:16" x14ac:dyDescent="0.35">
      <c r="A676" t="s">
        <v>1011</v>
      </c>
      <c r="B676" s="3">
        <v>45390</v>
      </c>
      <c r="C676" t="s">
        <v>33</v>
      </c>
      <c r="D676" t="s">
        <v>13</v>
      </c>
      <c r="E676" t="s">
        <v>590</v>
      </c>
      <c r="F676" t="s">
        <v>53</v>
      </c>
      <c r="G676" t="s">
        <v>260</v>
      </c>
      <c r="H676">
        <v>5</v>
      </c>
      <c r="I676">
        <v>204.73</v>
      </c>
      <c r="J676">
        <v>0.05</v>
      </c>
      <c r="K676">
        <v>972.47</v>
      </c>
      <c r="M676" t="str">
        <f t="shared" si="40"/>
        <v>Apr</v>
      </c>
      <c r="N676">
        <f t="shared" si="41"/>
        <v>4</v>
      </c>
      <c r="O676">
        <f t="shared" si="42"/>
        <v>972.46749999999997</v>
      </c>
      <c r="P676" t="str">
        <f t="shared" si="43"/>
        <v>OK</v>
      </c>
    </row>
    <row r="677" spans="1:16" x14ac:dyDescent="0.35">
      <c r="A677" t="s">
        <v>1012</v>
      </c>
      <c r="B677" s="3">
        <v>45339</v>
      </c>
      <c r="C677" t="s">
        <v>41</v>
      </c>
      <c r="D677" t="s">
        <v>19</v>
      </c>
      <c r="E677" t="s">
        <v>470</v>
      </c>
      <c r="F677" t="s">
        <v>53</v>
      </c>
      <c r="G677" t="s">
        <v>59</v>
      </c>
      <c r="H677">
        <v>4</v>
      </c>
      <c r="I677">
        <v>169.83</v>
      </c>
      <c r="J677">
        <v>0</v>
      </c>
      <c r="K677">
        <v>679.32</v>
      </c>
      <c r="M677" t="str">
        <f t="shared" si="40"/>
        <v>Feb</v>
      </c>
      <c r="N677">
        <f t="shared" si="41"/>
        <v>2</v>
      </c>
      <c r="O677">
        <f t="shared" si="42"/>
        <v>679.32</v>
      </c>
      <c r="P677" t="str">
        <f t="shared" si="43"/>
        <v>OK</v>
      </c>
    </row>
    <row r="678" spans="1:16" x14ac:dyDescent="0.35">
      <c r="A678" t="s">
        <v>1013</v>
      </c>
      <c r="B678" s="3">
        <v>45438</v>
      </c>
      <c r="C678" t="s">
        <v>18</v>
      </c>
      <c r="D678" t="s">
        <v>25</v>
      </c>
      <c r="E678" t="s">
        <v>659</v>
      </c>
      <c r="F678" t="s">
        <v>53</v>
      </c>
      <c r="G678" t="s">
        <v>260</v>
      </c>
      <c r="H678">
        <v>12</v>
      </c>
      <c r="I678">
        <v>128.04</v>
      </c>
      <c r="J678">
        <v>0.15</v>
      </c>
      <c r="K678">
        <v>1306.01</v>
      </c>
      <c r="M678" t="str">
        <f t="shared" si="40"/>
        <v>May</v>
      </c>
      <c r="N678">
        <f t="shared" si="41"/>
        <v>5</v>
      </c>
      <c r="O678">
        <f t="shared" si="42"/>
        <v>1306.008</v>
      </c>
      <c r="P678" t="str">
        <f t="shared" si="43"/>
        <v>OK</v>
      </c>
    </row>
    <row r="679" spans="1:16" x14ac:dyDescent="0.35">
      <c r="A679" t="s">
        <v>1014</v>
      </c>
      <c r="B679" s="3">
        <v>45540</v>
      </c>
      <c r="C679" t="s">
        <v>24</v>
      </c>
      <c r="D679" t="s">
        <v>42</v>
      </c>
      <c r="E679" t="s">
        <v>85</v>
      </c>
      <c r="F679" t="s">
        <v>53</v>
      </c>
      <c r="G679" t="s">
        <v>260</v>
      </c>
      <c r="H679">
        <v>9</v>
      </c>
      <c r="I679">
        <v>120.19</v>
      </c>
      <c r="J679">
        <v>0.15</v>
      </c>
      <c r="K679">
        <v>919.45</v>
      </c>
      <c r="M679" t="str">
        <f t="shared" si="40"/>
        <v>Sep</v>
      </c>
      <c r="N679">
        <f t="shared" si="41"/>
        <v>9</v>
      </c>
      <c r="O679">
        <f t="shared" si="42"/>
        <v>919.45349999999996</v>
      </c>
      <c r="P679" t="str">
        <f t="shared" si="43"/>
        <v>OK</v>
      </c>
    </row>
    <row r="680" spans="1:16" x14ac:dyDescent="0.35">
      <c r="A680" t="s">
        <v>1015</v>
      </c>
      <c r="B680" s="3">
        <v>45388</v>
      </c>
      <c r="C680" t="s">
        <v>18</v>
      </c>
      <c r="D680" t="s">
        <v>19</v>
      </c>
      <c r="E680" t="s">
        <v>304</v>
      </c>
      <c r="F680" t="s">
        <v>35</v>
      </c>
      <c r="G680" t="s">
        <v>36</v>
      </c>
      <c r="H680">
        <v>1</v>
      </c>
      <c r="I680">
        <v>175.09</v>
      </c>
      <c r="J680">
        <v>0</v>
      </c>
      <c r="K680">
        <v>175.09</v>
      </c>
      <c r="M680" t="str">
        <f t="shared" si="40"/>
        <v>Apr</v>
      </c>
      <c r="N680">
        <f t="shared" si="41"/>
        <v>4</v>
      </c>
      <c r="O680">
        <f t="shared" si="42"/>
        <v>175.09</v>
      </c>
      <c r="P680" t="str">
        <f t="shared" si="43"/>
        <v>OK</v>
      </c>
    </row>
    <row r="681" spans="1:16" x14ac:dyDescent="0.35">
      <c r="A681" t="s">
        <v>1016</v>
      </c>
      <c r="B681" s="3">
        <v>45388</v>
      </c>
      <c r="C681" t="s">
        <v>33</v>
      </c>
      <c r="D681" t="s">
        <v>42</v>
      </c>
      <c r="E681" t="s">
        <v>334</v>
      </c>
      <c r="F681" t="s">
        <v>53</v>
      </c>
      <c r="G681" t="s">
        <v>63</v>
      </c>
      <c r="H681">
        <v>2</v>
      </c>
      <c r="I681">
        <v>137.78</v>
      </c>
      <c r="J681">
        <v>0</v>
      </c>
      <c r="K681">
        <v>275.56</v>
      </c>
      <c r="M681" t="str">
        <f t="shared" si="40"/>
        <v>Apr</v>
      </c>
      <c r="N681">
        <f t="shared" si="41"/>
        <v>4</v>
      </c>
      <c r="O681">
        <f t="shared" si="42"/>
        <v>275.56</v>
      </c>
      <c r="P681" t="str">
        <f t="shared" si="43"/>
        <v>OK</v>
      </c>
    </row>
    <row r="682" spans="1:16" x14ac:dyDescent="0.35">
      <c r="A682" t="s">
        <v>1017</v>
      </c>
      <c r="B682" s="3">
        <v>45518</v>
      </c>
      <c r="C682" t="s">
        <v>33</v>
      </c>
      <c r="D682" t="s">
        <v>57</v>
      </c>
      <c r="E682" t="s">
        <v>825</v>
      </c>
      <c r="F682" t="s">
        <v>35</v>
      </c>
      <c r="G682" t="s">
        <v>177</v>
      </c>
      <c r="H682">
        <v>9</v>
      </c>
      <c r="I682">
        <v>247.26</v>
      </c>
      <c r="J682">
        <v>0.05</v>
      </c>
      <c r="K682">
        <v>2114.0700000000002</v>
      </c>
      <c r="M682" t="str">
        <f t="shared" si="40"/>
        <v>Aug</v>
      </c>
      <c r="N682">
        <f t="shared" si="41"/>
        <v>8</v>
      </c>
      <c r="O682">
        <f t="shared" si="42"/>
        <v>2114.0729999999999</v>
      </c>
      <c r="P682" t="str">
        <f t="shared" si="43"/>
        <v>OK</v>
      </c>
    </row>
    <row r="683" spans="1:16" x14ac:dyDescent="0.35">
      <c r="A683" t="s">
        <v>1018</v>
      </c>
      <c r="B683" s="3">
        <v>45355</v>
      </c>
      <c r="C683" t="s">
        <v>65</v>
      </c>
      <c r="D683" t="s">
        <v>42</v>
      </c>
      <c r="E683" t="s">
        <v>404</v>
      </c>
      <c r="F683" t="s">
        <v>44</v>
      </c>
      <c r="G683" t="s">
        <v>50</v>
      </c>
      <c r="H683">
        <v>8</v>
      </c>
      <c r="I683">
        <v>242.07</v>
      </c>
      <c r="J683">
        <v>0.05</v>
      </c>
      <c r="K683">
        <v>1839.73</v>
      </c>
      <c r="M683" t="str">
        <f t="shared" si="40"/>
        <v>Mar</v>
      </c>
      <c r="N683">
        <f t="shared" si="41"/>
        <v>3</v>
      </c>
      <c r="O683">
        <f t="shared" si="42"/>
        <v>1839.732</v>
      </c>
      <c r="P683" t="str">
        <f t="shared" si="43"/>
        <v>OK</v>
      </c>
    </row>
    <row r="684" spans="1:16" x14ac:dyDescent="0.35">
      <c r="A684" t="s">
        <v>1019</v>
      </c>
      <c r="B684" s="3">
        <v>45553</v>
      </c>
      <c r="C684" t="s">
        <v>33</v>
      </c>
      <c r="D684" t="s">
        <v>19</v>
      </c>
      <c r="E684" t="s">
        <v>360</v>
      </c>
      <c r="F684" t="s">
        <v>21</v>
      </c>
      <c r="G684" t="s">
        <v>167</v>
      </c>
      <c r="H684">
        <v>2</v>
      </c>
      <c r="I684">
        <v>243.02</v>
      </c>
      <c r="J684">
        <v>0.05</v>
      </c>
      <c r="K684">
        <v>461.74</v>
      </c>
      <c r="M684" t="str">
        <f t="shared" si="40"/>
        <v>Sep</v>
      </c>
      <c r="N684">
        <f t="shared" si="41"/>
        <v>9</v>
      </c>
      <c r="O684">
        <f t="shared" si="42"/>
        <v>461.738</v>
      </c>
      <c r="P684" t="str">
        <f t="shared" si="43"/>
        <v>OK</v>
      </c>
    </row>
    <row r="685" spans="1:16" x14ac:dyDescent="0.35">
      <c r="A685" t="s">
        <v>1021</v>
      </c>
      <c r="B685" s="3">
        <v>45436</v>
      </c>
      <c r="C685" t="s">
        <v>41</v>
      </c>
      <c r="D685" t="s">
        <v>57</v>
      </c>
      <c r="E685" t="s">
        <v>146</v>
      </c>
      <c r="F685" t="s">
        <v>53</v>
      </c>
      <c r="G685" t="s">
        <v>63</v>
      </c>
      <c r="H685">
        <v>12</v>
      </c>
      <c r="I685">
        <v>62.63</v>
      </c>
      <c r="J685">
        <v>0.1</v>
      </c>
      <c r="K685">
        <v>676.4</v>
      </c>
      <c r="M685" t="str">
        <f t="shared" si="40"/>
        <v>May</v>
      </c>
      <c r="N685">
        <f t="shared" si="41"/>
        <v>5</v>
      </c>
      <c r="O685">
        <f t="shared" si="42"/>
        <v>676.40400000000011</v>
      </c>
      <c r="P685" t="str">
        <f t="shared" si="43"/>
        <v>OK</v>
      </c>
    </row>
    <row r="686" spans="1:16" x14ac:dyDescent="0.35">
      <c r="A686" t="s">
        <v>1022</v>
      </c>
      <c r="B686" s="3">
        <v>45485</v>
      </c>
      <c r="C686" t="s">
        <v>65</v>
      </c>
      <c r="D686" t="s">
        <v>13</v>
      </c>
      <c r="E686" t="s">
        <v>66</v>
      </c>
      <c r="F686" t="s">
        <v>44</v>
      </c>
      <c r="G686" t="s">
        <v>45</v>
      </c>
      <c r="H686">
        <v>8</v>
      </c>
      <c r="I686">
        <v>166.85</v>
      </c>
      <c r="J686">
        <v>0.15</v>
      </c>
      <c r="K686">
        <v>1134.58</v>
      </c>
      <c r="M686" t="str">
        <f t="shared" si="40"/>
        <v>Jul</v>
      </c>
      <c r="N686">
        <f t="shared" si="41"/>
        <v>7</v>
      </c>
      <c r="O686">
        <f t="shared" si="42"/>
        <v>1134.58</v>
      </c>
      <c r="P686" t="str">
        <f t="shared" si="43"/>
        <v>OK</v>
      </c>
    </row>
    <row r="687" spans="1:16" x14ac:dyDescent="0.35">
      <c r="A687" t="s">
        <v>1023</v>
      </c>
      <c r="B687" s="3">
        <v>45507</v>
      </c>
      <c r="C687" t="s">
        <v>24</v>
      </c>
      <c r="D687" t="s">
        <v>57</v>
      </c>
      <c r="E687" t="s">
        <v>164</v>
      </c>
      <c r="F687" t="s">
        <v>35</v>
      </c>
      <c r="G687" t="s">
        <v>36</v>
      </c>
      <c r="H687">
        <v>5</v>
      </c>
      <c r="I687">
        <v>193.68</v>
      </c>
      <c r="J687">
        <v>0</v>
      </c>
      <c r="K687">
        <v>968.4</v>
      </c>
      <c r="M687" t="str">
        <f t="shared" si="40"/>
        <v>Aug</v>
      </c>
      <c r="N687">
        <f t="shared" si="41"/>
        <v>8</v>
      </c>
      <c r="O687">
        <f t="shared" si="42"/>
        <v>968.40000000000009</v>
      </c>
      <c r="P687" t="str">
        <f t="shared" si="43"/>
        <v>OK</v>
      </c>
    </row>
    <row r="688" spans="1:16" x14ac:dyDescent="0.35">
      <c r="A688" t="s">
        <v>1024</v>
      </c>
      <c r="B688" s="3">
        <v>45447</v>
      </c>
      <c r="C688" t="s">
        <v>24</v>
      </c>
      <c r="D688" t="s">
        <v>25</v>
      </c>
      <c r="E688" t="s">
        <v>474</v>
      </c>
      <c r="F688" t="s">
        <v>53</v>
      </c>
      <c r="G688" t="s">
        <v>104</v>
      </c>
      <c r="H688">
        <v>11</v>
      </c>
      <c r="I688">
        <v>163.05000000000001</v>
      </c>
      <c r="J688">
        <v>0.1</v>
      </c>
      <c r="K688">
        <v>1614.2</v>
      </c>
      <c r="M688" t="str">
        <f t="shared" si="40"/>
        <v>Jun</v>
      </c>
      <c r="N688">
        <f t="shared" si="41"/>
        <v>6</v>
      </c>
      <c r="O688">
        <f t="shared" si="42"/>
        <v>1614.1950000000002</v>
      </c>
      <c r="P688" t="str">
        <f t="shared" si="43"/>
        <v>OK</v>
      </c>
    </row>
    <row r="689" spans="1:16" x14ac:dyDescent="0.35">
      <c r="A689" t="s">
        <v>1025</v>
      </c>
      <c r="B689" s="3">
        <v>45426</v>
      </c>
      <c r="C689" t="s">
        <v>24</v>
      </c>
      <c r="D689" t="s">
        <v>19</v>
      </c>
      <c r="E689" t="s">
        <v>370</v>
      </c>
      <c r="F689" t="s">
        <v>15</v>
      </c>
      <c r="G689" t="s">
        <v>147</v>
      </c>
      <c r="H689">
        <v>9</v>
      </c>
      <c r="I689">
        <v>18.100000000000001</v>
      </c>
      <c r="J689">
        <v>0</v>
      </c>
      <c r="K689">
        <v>162.9</v>
      </c>
      <c r="M689" t="str">
        <f t="shared" si="40"/>
        <v>May</v>
      </c>
      <c r="N689">
        <f t="shared" si="41"/>
        <v>5</v>
      </c>
      <c r="O689">
        <f t="shared" si="42"/>
        <v>162.9</v>
      </c>
      <c r="P689" t="str">
        <f t="shared" si="43"/>
        <v>OK</v>
      </c>
    </row>
    <row r="690" spans="1:16" x14ac:dyDescent="0.35">
      <c r="A690" t="s">
        <v>1026</v>
      </c>
      <c r="B690" s="3">
        <v>45350</v>
      </c>
      <c r="C690" t="s">
        <v>41</v>
      </c>
      <c r="D690" t="s">
        <v>19</v>
      </c>
      <c r="E690" t="s">
        <v>241</v>
      </c>
      <c r="F690" t="s">
        <v>21</v>
      </c>
      <c r="G690" t="s">
        <v>194</v>
      </c>
      <c r="H690">
        <v>12</v>
      </c>
      <c r="I690">
        <v>69.39</v>
      </c>
      <c r="J690">
        <v>0</v>
      </c>
      <c r="K690">
        <v>832.68</v>
      </c>
      <c r="M690" t="str">
        <f t="shared" si="40"/>
        <v>Feb</v>
      </c>
      <c r="N690">
        <f t="shared" si="41"/>
        <v>2</v>
      </c>
      <c r="O690">
        <f t="shared" si="42"/>
        <v>832.68000000000006</v>
      </c>
      <c r="P690" t="str">
        <f t="shared" si="43"/>
        <v>OK</v>
      </c>
    </row>
    <row r="691" spans="1:16" x14ac:dyDescent="0.35">
      <c r="A691" t="s">
        <v>1027</v>
      </c>
      <c r="B691" s="3">
        <v>45486</v>
      </c>
      <c r="C691" t="s">
        <v>65</v>
      </c>
      <c r="D691" t="s">
        <v>25</v>
      </c>
      <c r="E691" t="s">
        <v>586</v>
      </c>
      <c r="F691" t="s">
        <v>21</v>
      </c>
      <c r="G691" t="s">
        <v>167</v>
      </c>
      <c r="H691">
        <v>8</v>
      </c>
      <c r="I691">
        <v>161.24</v>
      </c>
      <c r="J691">
        <v>0.1</v>
      </c>
      <c r="K691">
        <v>1160.93</v>
      </c>
      <c r="M691" t="str">
        <f t="shared" si="40"/>
        <v>Jul</v>
      </c>
      <c r="N691">
        <f t="shared" si="41"/>
        <v>7</v>
      </c>
      <c r="O691">
        <f t="shared" si="42"/>
        <v>1160.9280000000001</v>
      </c>
      <c r="P691" t="str">
        <f t="shared" si="43"/>
        <v>OK</v>
      </c>
    </row>
    <row r="692" spans="1:16" x14ac:dyDescent="0.35">
      <c r="A692" t="s">
        <v>1028</v>
      </c>
      <c r="B692" s="3">
        <v>45369</v>
      </c>
      <c r="C692" t="s">
        <v>18</v>
      </c>
      <c r="D692" t="s">
        <v>42</v>
      </c>
      <c r="E692" t="s">
        <v>69</v>
      </c>
      <c r="F692" t="s">
        <v>21</v>
      </c>
      <c r="G692" t="s">
        <v>194</v>
      </c>
      <c r="H692">
        <v>5</v>
      </c>
      <c r="I692">
        <v>139.03</v>
      </c>
      <c r="J692">
        <v>0</v>
      </c>
      <c r="K692">
        <v>695.15</v>
      </c>
      <c r="M692" t="str">
        <f t="shared" si="40"/>
        <v>Mar</v>
      </c>
      <c r="N692">
        <f t="shared" si="41"/>
        <v>3</v>
      </c>
      <c r="O692">
        <f t="shared" si="42"/>
        <v>695.15</v>
      </c>
      <c r="P692" t="str">
        <f t="shared" si="43"/>
        <v>OK</v>
      </c>
    </row>
    <row r="693" spans="1:16" x14ac:dyDescent="0.35">
      <c r="A693" t="s">
        <v>1029</v>
      </c>
      <c r="B693" s="3">
        <v>45352</v>
      </c>
      <c r="C693" t="s">
        <v>24</v>
      </c>
      <c r="D693" t="s">
        <v>42</v>
      </c>
      <c r="E693" t="s">
        <v>477</v>
      </c>
      <c r="F693" t="s">
        <v>35</v>
      </c>
      <c r="G693" t="s">
        <v>83</v>
      </c>
      <c r="H693">
        <v>9</v>
      </c>
      <c r="I693">
        <v>165.59</v>
      </c>
      <c r="J693">
        <v>0</v>
      </c>
      <c r="K693">
        <v>1490.31</v>
      </c>
      <c r="M693" t="str">
        <f t="shared" si="40"/>
        <v>Mar</v>
      </c>
      <c r="N693">
        <f t="shared" si="41"/>
        <v>3</v>
      </c>
      <c r="O693">
        <f t="shared" si="42"/>
        <v>1490.31</v>
      </c>
      <c r="P693" t="str">
        <f t="shared" si="43"/>
        <v>OK</v>
      </c>
    </row>
    <row r="694" spans="1:16" x14ac:dyDescent="0.35">
      <c r="A694" t="s">
        <v>1030</v>
      </c>
      <c r="B694" s="3">
        <v>45529</v>
      </c>
      <c r="C694" t="s">
        <v>33</v>
      </c>
      <c r="D694" t="s">
        <v>13</v>
      </c>
      <c r="E694" t="s">
        <v>288</v>
      </c>
      <c r="F694" t="s">
        <v>21</v>
      </c>
      <c r="G694" t="s">
        <v>70</v>
      </c>
      <c r="H694">
        <v>12</v>
      </c>
      <c r="I694">
        <v>231.88</v>
      </c>
      <c r="J694">
        <v>0.1</v>
      </c>
      <c r="K694">
        <v>2504.3000000000002</v>
      </c>
      <c r="M694" t="str">
        <f t="shared" si="40"/>
        <v>Aug</v>
      </c>
      <c r="N694">
        <f t="shared" si="41"/>
        <v>8</v>
      </c>
      <c r="O694">
        <f t="shared" si="42"/>
        <v>2504.3040000000001</v>
      </c>
      <c r="P694" t="str">
        <f t="shared" si="43"/>
        <v>OK</v>
      </c>
    </row>
    <row r="695" spans="1:16" x14ac:dyDescent="0.35">
      <c r="A695" t="s">
        <v>1032</v>
      </c>
      <c r="B695" s="3">
        <v>45487</v>
      </c>
      <c r="C695" t="s">
        <v>24</v>
      </c>
      <c r="D695" t="s">
        <v>13</v>
      </c>
      <c r="E695" t="s">
        <v>164</v>
      </c>
      <c r="F695" t="s">
        <v>21</v>
      </c>
      <c r="G695" t="s">
        <v>194</v>
      </c>
      <c r="H695">
        <v>3</v>
      </c>
      <c r="I695">
        <v>97.95</v>
      </c>
      <c r="J695">
        <v>0</v>
      </c>
      <c r="K695">
        <v>293.85000000000002</v>
      </c>
      <c r="M695" t="str">
        <f t="shared" si="40"/>
        <v>Jul</v>
      </c>
      <c r="N695">
        <f t="shared" si="41"/>
        <v>7</v>
      </c>
      <c r="O695">
        <f t="shared" si="42"/>
        <v>293.85000000000002</v>
      </c>
      <c r="P695" t="str">
        <f t="shared" si="43"/>
        <v>OK</v>
      </c>
    </row>
    <row r="696" spans="1:16" x14ac:dyDescent="0.35">
      <c r="A696" t="s">
        <v>1033</v>
      </c>
      <c r="B696" s="3">
        <v>45312</v>
      </c>
      <c r="C696" t="s">
        <v>24</v>
      </c>
      <c r="D696" t="s">
        <v>57</v>
      </c>
      <c r="E696" t="s">
        <v>183</v>
      </c>
      <c r="F696" t="s">
        <v>21</v>
      </c>
      <c r="G696" t="s">
        <v>129</v>
      </c>
      <c r="H696">
        <v>5</v>
      </c>
      <c r="I696">
        <v>9.25</v>
      </c>
      <c r="J696">
        <v>0</v>
      </c>
      <c r="K696">
        <v>46.25</v>
      </c>
      <c r="M696" t="str">
        <f t="shared" si="40"/>
        <v>Jan</v>
      </c>
      <c r="N696">
        <f t="shared" si="41"/>
        <v>1</v>
      </c>
      <c r="O696">
        <f t="shared" si="42"/>
        <v>46.25</v>
      </c>
      <c r="P696" t="str">
        <f t="shared" si="43"/>
        <v>OK</v>
      </c>
    </row>
    <row r="697" spans="1:16" x14ac:dyDescent="0.35">
      <c r="A697" t="s">
        <v>1034</v>
      </c>
      <c r="B697" s="3">
        <v>45478</v>
      </c>
      <c r="C697" t="s">
        <v>65</v>
      </c>
      <c r="D697" t="s">
        <v>25</v>
      </c>
      <c r="E697" t="s">
        <v>492</v>
      </c>
      <c r="F697" t="s">
        <v>15</v>
      </c>
      <c r="G697" t="s">
        <v>27</v>
      </c>
      <c r="H697">
        <v>9</v>
      </c>
      <c r="I697">
        <v>194.23</v>
      </c>
      <c r="J697">
        <v>0.05</v>
      </c>
      <c r="K697">
        <v>1660.67</v>
      </c>
      <c r="M697" t="str">
        <f t="shared" si="40"/>
        <v>Jul</v>
      </c>
      <c r="N697">
        <f t="shared" si="41"/>
        <v>7</v>
      </c>
      <c r="O697">
        <f t="shared" si="42"/>
        <v>1660.6664999999998</v>
      </c>
      <c r="P697" t="str">
        <f t="shared" si="43"/>
        <v>OK</v>
      </c>
    </row>
    <row r="698" spans="1:16" x14ac:dyDescent="0.35">
      <c r="A698" t="s">
        <v>1035</v>
      </c>
      <c r="B698" s="3">
        <v>45548</v>
      </c>
      <c r="C698" t="s">
        <v>18</v>
      </c>
      <c r="D698" t="s">
        <v>25</v>
      </c>
      <c r="E698" t="s">
        <v>420</v>
      </c>
      <c r="F698" t="s">
        <v>21</v>
      </c>
      <c r="G698" t="s">
        <v>167</v>
      </c>
      <c r="H698">
        <v>5</v>
      </c>
      <c r="I698">
        <v>202.92</v>
      </c>
      <c r="J698">
        <v>0.15</v>
      </c>
      <c r="K698">
        <v>862.41</v>
      </c>
      <c r="M698" t="str">
        <f t="shared" si="40"/>
        <v>Sep</v>
      </c>
      <c r="N698">
        <f t="shared" si="41"/>
        <v>9</v>
      </c>
      <c r="O698">
        <f t="shared" si="42"/>
        <v>862.40999999999985</v>
      </c>
      <c r="P698" t="str">
        <f t="shared" si="43"/>
        <v>OK</v>
      </c>
    </row>
    <row r="699" spans="1:16" x14ac:dyDescent="0.35">
      <c r="A699" t="s">
        <v>1036</v>
      </c>
      <c r="B699" s="3">
        <v>45435</v>
      </c>
      <c r="C699" t="s">
        <v>41</v>
      </c>
      <c r="D699" t="s">
        <v>25</v>
      </c>
      <c r="E699" t="s">
        <v>1037</v>
      </c>
      <c r="F699" t="s">
        <v>15</v>
      </c>
      <c r="G699" t="s">
        <v>16</v>
      </c>
      <c r="H699">
        <v>8</v>
      </c>
      <c r="I699">
        <v>61.9</v>
      </c>
      <c r="J699">
        <v>0</v>
      </c>
      <c r="K699">
        <v>495.2</v>
      </c>
      <c r="M699" t="str">
        <f t="shared" si="40"/>
        <v>May</v>
      </c>
      <c r="N699">
        <f t="shared" si="41"/>
        <v>5</v>
      </c>
      <c r="O699">
        <f t="shared" si="42"/>
        <v>495.2</v>
      </c>
      <c r="P699" t="str">
        <f t="shared" si="43"/>
        <v>OK</v>
      </c>
    </row>
    <row r="700" spans="1:16" x14ac:dyDescent="0.35">
      <c r="A700" t="s">
        <v>1038</v>
      </c>
      <c r="B700" s="3">
        <v>45362</v>
      </c>
      <c r="C700" t="s">
        <v>41</v>
      </c>
      <c r="D700" t="s">
        <v>13</v>
      </c>
      <c r="E700" t="s">
        <v>110</v>
      </c>
      <c r="F700" t="s">
        <v>15</v>
      </c>
      <c r="G700" t="s">
        <v>16</v>
      </c>
      <c r="H700">
        <v>11</v>
      </c>
      <c r="I700">
        <v>191.61</v>
      </c>
      <c r="J700">
        <v>0.05</v>
      </c>
      <c r="K700">
        <v>2002.32</v>
      </c>
      <c r="M700" t="str">
        <f t="shared" si="40"/>
        <v>Mar</v>
      </c>
      <c r="N700">
        <f t="shared" si="41"/>
        <v>3</v>
      </c>
      <c r="O700">
        <f t="shared" si="42"/>
        <v>2002.3244999999999</v>
      </c>
      <c r="P700" t="str">
        <f t="shared" si="43"/>
        <v>OK</v>
      </c>
    </row>
    <row r="701" spans="1:16" x14ac:dyDescent="0.35">
      <c r="A701" t="s">
        <v>1039</v>
      </c>
      <c r="B701" s="3">
        <v>45551</v>
      </c>
      <c r="C701" t="s">
        <v>41</v>
      </c>
      <c r="D701" t="s">
        <v>19</v>
      </c>
      <c r="E701" t="s">
        <v>80</v>
      </c>
      <c r="F701" t="s">
        <v>15</v>
      </c>
      <c r="G701" t="s">
        <v>74</v>
      </c>
      <c r="H701">
        <v>11</v>
      </c>
      <c r="I701">
        <v>212.13</v>
      </c>
      <c r="J701">
        <v>0.1</v>
      </c>
      <c r="K701">
        <v>2100.09</v>
      </c>
      <c r="M701" t="str">
        <f t="shared" si="40"/>
        <v>Sep</v>
      </c>
      <c r="N701">
        <f t="shared" si="41"/>
        <v>9</v>
      </c>
      <c r="O701">
        <f t="shared" si="42"/>
        <v>2100.087</v>
      </c>
      <c r="P701" t="str">
        <f t="shared" si="43"/>
        <v>OK</v>
      </c>
    </row>
    <row r="702" spans="1:16" x14ac:dyDescent="0.35">
      <c r="A702" t="s">
        <v>1040</v>
      </c>
      <c r="B702" s="3">
        <v>45363</v>
      </c>
      <c r="C702" t="s">
        <v>33</v>
      </c>
      <c r="D702" t="s">
        <v>13</v>
      </c>
      <c r="E702" t="s">
        <v>454</v>
      </c>
      <c r="F702" t="s">
        <v>44</v>
      </c>
      <c r="G702" t="s">
        <v>45</v>
      </c>
      <c r="H702">
        <v>8</v>
      </c>
      <c r="I702">
        <v>78.78</v>
      </c>
      <c r="J702">
        <v>0</v>
      </c>
      <c r="K702">
        <v>630.24</v>
      </c>
      <c r="M702" t="str">
        <f t="shared" si="40"/>
        <v>Mar</v>
      </c>
      <c r="N702">
        <f t="shared" si="41"/>
        <v>3</v>
      </c>
      <c r="O702">
        <f t="shared" si="42"/>
        <v>630.24</v>
      </c>
      <c r="P702" t="str">
        <f t="shared" si="43"/>
        <v>OK</v>
      </c>
    </row>
    <row r="703" spans="1:16" x14ac:dyDescent="0.35">
      <c r="A703" t="s">
        <v>1041</v>
      </c>
      <c r="B703" s="3">
        <v>45612</v>
      </c>
      <c r="C703" t="s">
        <v>18</v>
      </c>
      <c r="D703" t="s">
        <v>42</v>
      </c>
      <c r="E703" t="s">
        <v>217</v>
      </c>
      <c r="F703" t="s">
        <v>21</v>
      </c>
      <c r="G703" t="s">
        <v>129</v>
      </c>
      <c r="H703">
        <v>3</v>
      </c>
      <c r="I703">
        <v>217.75</v>
      </c>
      <c r="J703">
        <v>0</v>
      </c>
      <c r="K703">
        <v>653.25</v>
      </c>
      <c r="M703" t="str">
        <f t="shared" si="40"/>
        <v>Nov</v>
      </c>
      <c r="N703">
        <f t="shared" si="41"/>
        <v>11</v>
      </c>
      <c r="O703">
        <f t="shared" si="42"/>
        <v>653.25</v>
      </c>
      <c r="P703" t="str">
        <f t="shared" si="43"/>
        <v>OK</v>
      </c>
    </row>
    <row r="704" spans="1:16" x14ac:dyDescent="0.35">
      <c r="A704" t="s">
        <v>1042</v>
      </c>
      <c r="B704" s="3">
        <v>45325</v>
      </c>
      <c r="C704" t="s">
        <v>24</v>
      </c>
      <c r="D704" t="s">
        <v>57</v>
      </c>
      <c r="E704" t="s">
        <v>457</v>
      </c>
      <c r="F704" t="s">
        <v>44</v>
      </c>
      <c r="G704" t="s">
        <v>45</v>
      </c>
      <c r="H704">
        <v>1</v>
      </c>
      <c r="I704">
        <v>10.26</v>
      </c>
      <c r="J704">
        <v>0</v>
      </c>
      <c r="K704">
        <v>10.26</v>
      </c>
      <c r="M704" t="str">
        <f t="shared" si="40"/>
        <v>Feb</v>
      </c>
      <c r="N704">
        <f t="shared" si="41"/>
        <v>2</v>
      </c>
      <c r="O704">
        <f t="shared" si="42"/>
        <v>10.26</v>
      </c>
      <c r="P704" t="str">
        <f t="shared" si="43"/>
        <v>OK</v>
      </c>
    </row>
    <row r="705" spans="1:16" x14ac:dyDescent="0.35">
      <c r="A705" t="s">
        <v>1043</v>
      </c>
      <c r="B705" s="3">
        <v>45499</v>
      </c>
      <c r="C705" t="s">
        <v>41</v>
      </c>
      <c r="D705" t="s">
        <v>13</v>
      </c>
      <c r="E705" t="s">
        <v>771</v>
      </c>
      <c r="F705" t="s">
        <v>15</v>
      </c>
      <c r="G705" t="s">
        <v>111</v>
      </c>
      <c r="H705">
        <v>9</v>
      </c>
      <c r="I705">
        <v>97</v>
      </c>
      <c r="J705">
        <v>0.05</v>
      </c>
      <c r="K705">
        <v>829.35</v>
      </c>
      <c r="M705" t="str">
        <f t="shared" si="40"/>
        <v>Jul</v>
      </c>
      <c r="N705">
        <f t="shared" si="41"/>
        <v>7</v>
      </c>
      <c r="O705">
        <f t="shared" si="42"/>
        <v>829.34999999999991</v>
      </c>
      <c r="P705" t="str">
        <f t="shared" si="43"/>
        <v>OK</v>
      </c>
    </row>
    <row r="706" spans="1:16" x14ac:dyDescent="0.35">
      <c r="A706" t="s">
        <v>1044</v>
      </c>
      <c r="B706" s="3">
        <v>45402</v>
      </c>
      <c r="C706" t="s">
        <v>41</v>
      </c>
      <c r="D706" t="s">
        <v>57</v>
      </c>
      <c r="E706" t="s">
        <v>100</v>
      </c>
      <c r="F706" t="s">
        <v>44</v>
      </c>
      <c r="G706" t="s">
        <v>86</v>
      </c>
      <c r="H706">
        <v>4</v>
      </c>
      <c r="I706">
        <v>29.8</v>
      </c>
      <c r="J706">
        <v>0.1</v>
      </c>
      <c r="K706">
        <v>107.28</v>
      </c>
      <c r="M706" t="str">
        <f t="shared" si="40"/>
        <v>Apr</v>
      </c>
      <c r="N706">
        <f t="shared" si="41"/>
        <v>4</v>
      </c>
      <c r="O706">
        <f t="shared" si="42"/>
        <v>107.28</v>
      </c>
      <c r="P706" t="str">
        <f t="shared" si="43"/>
        <v>OK</v>
      </c>
    </row>
    <row r="707" spans="1:16" x14ac:dyDescent="0.35">
      <c r="A707" t="s">
        <v>1045</v>
      </c>
      <c r="B707" s="3">
        <v>45633</v>
      </c>
      <c r="C707" t="s">
        <v>24</v>
      </c>
      <c r="D707" t="s">
        <v>13</v>
      </c>
      <c r="E707" t="s">
        <v>542</v>
      </c>
      <c r="F707" t="s">
        <v>15</v>
      </c>
      <c r="G707" t="s">
        <v>147</v>
      </c>
      <c r="H707">
        <v>9</v>
      </c>
      <c r="I707">
        <v>30.78</v>
      </c>
      <c r="J707">
        <v>0.1</v>
      </c>
      <c r="K707">
        <v>249.32</v>
      </c>
      <c r="M707" t="str">
        <f t="shared" ref="M707:M770" si="44">TEXT(B707,"mmm")</f>
        <v>Dec</v>
      </c>
      <c r="N707">
        <f t="shared" ref="N707:N770" si="45">MONTH(B707)</f>
        <v>12</v>
      </c>
      <c r="O707">
        <f t="shared" ref="O707:O770" si="46">H707*I707*(1-J707)</f>
        <v>249.31799999999998</v>
      </c>
      <c r="P707" t="str">
        <f t="shared" ref="P707:P770" si="47">IF(ROUND(K707,2)=ROUND(O707,2),"OK","MISMATCH")</f>
        <v>OK</v>
      </c>
    </row>
    <row r="708" spans="1:16" x14ac:dyDescent="0.35">
      <c r="A708" t="s">
        <v>1046</v>
      </c>
      <c r="B708" s="3">
        <v>45426</v>
      </c>
      <c r="C708" t="s">
        <v>65</v>
      </c>
      <c r="D708" t="s">
        <v>42</v>
      </c>
      <c r="E708" t="s">
        <v>317</v>
      </c>
      <c r="F708" t="s">
        <v>53</v>
      </c>
      <c r="G708" t="s">
        <v>63</v>
      </c>
      <c r="H708">
        <v>11</v>
      </c>
      <c r="I708">
        <v>157.05000000000001</v>
      </c>
      <c r="J708">
        <v>0</v>
      </c>
      <c r="K708">
        <v>1727.55</v>
      </c>
      <c r="M708" t="str">
        <f t="shared" si="44"/>
        <v>May</v>
      </c>
      <c r="N708">
        <f t="shared" si="45"/>
        <v>5</v>
      </c>
      <c r="O708">
        <f t="shared" si="46"/>
        <v>1727.5500000000002</v>
      </c>
      <c r="P708" t="str">
        <f t="shared" si="47"/>
        <v>OK</v>
      </c>
    </row>
    <row r="709" spans="1:16" x14ac:dyDescent="0.35">
      <c r="A709" t="s">
        <v>1047</v>
      </c>
      <c r="B709" s="3">
        <v>45314</v>
      </c>
      <c r="C709" t="s">
        <v>41</v>
      </c>
      <c r="D709" t="s">
        <v>13</v>
      </c>
      <c r="E709" t="s">
        <v>567</v>
      </c>
      <c r="F709" t="s">
        <v>15</v>
      </c>
      <c r="G709" t="s">
        <v>16</v>
      </c>
      <c r="H709">
        <v>9</v>
      </c>
      <c r="I709">
        <v>51.97</v>
      </c>
      <c r="J709">
        <v>0.15</v>
      </c>
      <c r="K709">
        <v>397.57</v>
      </c>
      <c r="M709" t="str">
        <f t="shared" si="44"/>
        <v>Jan</v>
      </c>
      <c r="N709">
        <f t="shared" si="45"/>
        <v>1</v>
      </c>
      <c r="O709">
        <f t="shared" si="46"/>
        <v>397.57049999999998</v>
      </c>
      <c r="P709" t="str">
        <f t="shared" si="47"/>
        <v>OK</v>
      </c>
    </row>
    <row r="710" spans="1:16" x14ac:dyDescent="0.35">
      <c r="A710" t="s">
        <v>1049</v>
      </c>
      <c r="B710" s="3">
        <v>45407</v>
      </c>
      <c r="C710" t="s">
        <v>33</v>
      </c>
      <c r="D710" t="s">
        <v>19</v>
      </c>
      <c r="E710" t="s">
        <v>20</v>
      </c>
      <c r="F710" t="s">
        <v>21</v>
      </c>
      <c r="G710" t="s">
        <v>22</v>
      </c>
      <c r="H710">
        <v>7</v>
      </c>
      <c r="I710">
        <v>186.83</v>
      </c>
      <c r="J710">
        <v>0.1</v>
      </c>
      <c r="K710">
        <v>1177.03</v>
      </c>
      <c r="M710" t="str">
        <f t="shared" si="44"/>
        <v>Apr</v>
      </c>
      <c r="N710">
        <f t="shared" si="45"/>
        <v>4</v>
      </c>
      <c r="O710">
        <f t="shared" si="46"/>
        <v>1177.0290000000002</v>
      </c>
      <c r="P710" t="str">
        <f t="shared" si="47"/>
        <v>OK</v>
      </c>
    </row>
    <row r="711" spans="1:16" x14ac:dyDescent="0.35">
      <c r="A711" t="s">
        <v>1051</v>
      </c>
      <c r="B711" s="3">
        <v>45361</v>
      </c>
      <c r="C711" t="s">
        <v>65</v>
      </c>
      <c r="D711" t="s">
        <v>19</v>
      </c>
      <c r="E711" t="s">
        <v>454</v>
      </c>
      <c r="F711" t="s">
        <v>44</v>
      </c>
      <c r="G711" t="s">
        <v>50</v>
      </c>
      <c r="H711">
        <v>11</v>
      </c>
      <c r="I711">
        <v>181.36</v>
      </c>
      <c r="J711">
        <v>0</v>
      </c>
      <c r="K711">
        <v>1994.96</v>
      </c>
      <c r="M711" t="str">
        <f t="shared" si="44"/>
        <v>Mar</v>
      </c>
      <c r="N711">
        <f t="shared" si="45"/>
        <v>3</v>
      </c>
      <c r="O711">
        <f t="shared" si="46"/>
        <v>1994.96</v>
      </c>
      <c r="P711" t="str">
        <f t="shared" si="47"/>
        <v>OK</v>
      </c>
    </row>
    <row r="712" spans="1:16" x14ac:dyDescent="0.35">
      <c r="A712" t="s">
        <v>1052</v>
      </c>
      <c r="B712" s="3">
        <v>45403</v>
      </c>
      <c r="C712" t="s">
        <v>24</v>
      </c>
      <c r="D712" t="s">
        <v>25</v>
      </c>
      <c r="E712" t="s">
        <v>313</v>
      </c>
      <c r="F712" t="s">
        <v>53</v>
      </c>
      <c r="G712" t="s">
        <v>54</v>
      </c>
      <c r="H712">
        <v>5</v>
      </c>
      <c r="I712">
        <v>39.33</v>
      </c>
      <c r="J712">
        <v>0</v>
      </c>
      <c r="K712">
        <v>196.65</v>
      </c>
      <c r="M712" t="str">
        <f t="shared" si="44"/>
        <v>Apr</v>
      </c>
      <c r="N712">
        <f t="shared" si="45"/>
        <v>4</v>
      </c>
      <c r="O712">
        <f t="shared" si="46"/>
        <v>196.64999999999998</v>
      </c>
      <c r="P712" t="str">
        <f t="shared" si="47"/>
        <v>OK</v>
      </c>
    </row>
    <row r="713" spans="1:16" x14ac:dyDescent="0.35">
      <c r="A713" t="s">
        <v>1053</v>
      </c>
      <c r="B713" s="3">
        <v>45485</v>
      </c>
      <c r="C713" t="s">
        <v>24</v>
      </c>
      <c r="D713" t="s">
        <v>57</v>
      </c>
      <c r="E713" t="s">
        <v>330</v>
      </c>
      <c r="F713" t="s">
        <v>53</v>
      </c>
      <c r="G713" t="s">
        <v>63</v>
      </c>
      <c r="H713">
        <v>11</v>
      </c>
      <c r="I713">
        <v>140.25</v>
      </c>
      <c r="J713">
        <v>0.1</v>
      </c>
      <c r="K713">
        <v>1388.48</v>
      </c>
      <c r="M713" t="str">
        <f t="shared" si="44"/>
        <v>Jul</v>
      </c>
      <c r="N713">
        <f t="shared" si="45"/>
        <v>7</v>
      </c>
      <c r="O713">
        <f t="shared" si="46"/>
        <v>1388.4750000000001</v>
      </c>
      <c r="P713" t="str">
        <f t="shared" si="47"/>
        <v>OK</v>
      </c>
    </row>
    <row r="714" spans="1:16" x14ac:dyDescent="0.35">
      <c r="A714" t="s">
        <v>1054</v>
      </c>
      <c r="B714" s="3">
        <v>45603</v>
      </c>
      <c r="C714" t="s">
        <v>33</v>
      </c>
      <c r="D714" t="s">
        <v>25</v>
      </c>
      <c r="E714" t="s">
        <v>231</v>
      </c>
      <c r="F714" t="s">
        <v>53</v>
      </c>
      <c r="G714" t="s">
        <v>260</v>
      </c>
      <c r="H714">
        <v>12</v>
      </c>
      <c r="I714">
        <v>172.08</v>
      </c>
      <c r="J714">
        <v>0</v>
      </c>
      <c r="K714">
        <v>2064.96</v>
      </c>
      <c r="M714" t="str">
        <f t="shared" si="44"/>
        <v>Nov</v>
      </c>
      <c r="N714">
        <f t="shared" si="45"/>
        <v>11</v>
      </c>
      <c r="O714">
        <f t="shared" si="46"/>
        <v>2064.96</v>
      </c>
      <c r="P714" t="str">
        <f t="shared" si="47"/>
        <v>OK</v>
      </c>
    </row>
    <row r="715" spans="1:16" x14ac:dyDescent="0.35">
      <c r="A715" t="s">
        <v>1055</v>
      </c>
      <c r="B715" s="3">
        <v>45477</v>
      </c>
      <c r="C715" t="s">
        <v>41</v>
      </c>
      <c r="D715" t="s">
        <v>42</v>
      </c>
      <c r="E715" t="s">
        <v>288</v>
      </c>
      <c r="F715" t="s">
        <v>44</v>
      </c>
      <c r="G715" t="s">
        <v>94</v>
      </c>
      <c r="H715">
        <v>12</v>
      </c>
      <c r="I715">
        <v>73.790000000000006</v>
      </c>
      <c r="J715">
        <v>0.15</v>
      </c>
      <c r="K715">
        <v>752.66</v>
      </c>
      <c r="M715" t="str">
        <f t="shared" si="44"/>
        <v>Jul</v>
      </c>
      <c r="N715">
        <f t="shared" si="45"/>
        <v>7</v>
      </c>
      <c r="O715">
        <f t="shared" si="46"/>
        <v>752.65800000000002</v>
      </c>
      <c r="P715" t="str">
        <f t="shared" si="47"/>
        <v>OK</v>
      </c>
    </row>
    <row r="716" spans="1:16" x14ac:dyDescent="0.35">
      <c r="A716" t="s">
        <v>1056</v>
      </c>
      <c r="B716" s="3">
        <v>45504</v>
      </c>
      <c r="C716" t="s">
        <v>33</v>
      </c>
      <c r="D716" t="s">
        <v>25</v>
      </c>
      <c r="E716" t="s">
        <v>328</v>
      </c>
      <c r="F716" t="s">
        <v>35</v>
      </c>
      <c r="G716" t="s">
        <v>36</v>
      </c>
      <c r="H716">
        <v>5</v>
      </c>
      <c r="I716">
        <v>137.03</v>
      </c>
      <c r="J716">
        <v>0</v>
      </c>
      <c r="K716">
        <v>685.15</v>
      </c>
      <c r="M716" t="str">
        <f t="shared" si="44"/>
        <v>Jul</v>
      </c>
      <c r="N716">
        <f t="shared" si="45"/>
        <v>7</v>
      </c>
      <c r="O716">
        <f t="shared" si="46"/>
        <v>685.15</v>
      </c>
      <c r="P716" t="str">
        <f t="shared" si="47"/>
        <v>OK</v>
      </c>
    </row>
    <row r="717" spans="1:16" x14ac:dyDescent="0.35">
      <c r="A717" t="s">
        <v>1057</v>
      </c>
      <c r="B717" s="3">
        <v>45500</v>
      </c>
      <c r="C717" t="s">
        <v>18</v>
      </c>
      <c r="D717" t="s">
        <v>42</v>
      </c>
      <c r="E717" t="s">
        <v>288</v>
      </c>
      <c r="F717" t="s">
        <v>35</v>
      </c>
      <c r="G717" t="s">
        <v>36</v>
      </c>
      <c r="H717">
        <v>4</v>
      </c>
      <c r="I717">
        <v>88.72</v>
      </c>
      <c r="J717">
        <v>0</v>
      </c>
      <c r="K717">
        <v>354.88</v>
      </c>
      <c r="M717" t="str">
        <f t="shared" si="44"/>
        <v>Jul</v>
      </c>
      <c r="N717">
        <f t="shared" si="45"/>
        <v>7</v>
      </c>
      <c r="O717">
        <f t="shared" si="46"/>
        <v>354.88</v>
      </c>
      <c r="P717" t="str">
        <f t="shared" si="47"/>
        <v>OK</v>
      </c>
    </row>
    <row r="718" spans="1:16" x14ac:dyDescent="0.35">
      <c r="A718" t="s">
        <v>1058</v>
      </c>
      <c r="B718" s="3">
        <v>45527</v>
      </c>
      <c r="C718" t="s">
        <v>65</v>
      </c>
      <c r="D718" t="s">
        <v>57</v>
      </c>
      <c r="E718" t="s">
        <v>693</v>
      </c>
      <c r="F718" t="s">
        <v>53</v>
      </c>
      <c r="G718" t="s">
        <v>104</v>
      </c>
      <c r="H718">
        <v>3</v>
      </c>
      <c r="I718">
        <v>89.99</v>
      </c>
      <c r="J718">
        <v>0</v>
      </c>
      <c r="K718">
        <v>269.97000000000003</v>
      </c>
      <c r="M718" t="str">
        <f t="shared" si="44"/>
        <v>Aug</v>
      </c>
      <c r="N718">
        <f t="shared" si="45"/>
        <v>8</v>
      </c>
      <c r="O718">
        <f t="shared" si="46"/>
        <v>269.96999999999997</v>
      </c>
      <c r="P718" t="str">
        <f t="shared" si="47"/>
        <v>OK</v>
      </c>
    </row>
    <row r="719" spans="1:16" x14ac:dyDescent="0.35">
      <c r="A719" t="s">
        <v>1059</v>
      </c>
      <c r="B719" s="3">
        <v>45505</v>
      </c>
      <c r="C719" t="s">
        <v>33</v>
      </c>
      <c r="D719" t="s">
        <v>57</v>
      </c>
      <c r="E719" t="s">
        <v>474</v>
      </c>
      <c r="F719" t="s">
        <v>21</v>
      </c>
      <c r="G719" t="s">
        <v>129</v>
      </c>
      <c r="H719">
        <v>12</v>
      </c>
      <c r="I719">
        <v>81.92</v>
      </c>
      <c r="J719">
        <v>0.05</v>
      </c>
      <c r="K719">
        <v>933.89</v>
      </c>
      <c r="M719" t="str">
        <f t="shared" si="44"/>
        <v>Aug</v>
      </c>
      <c r="N719">
        <f t="shared" si="45"/>
        <v>8</v>
      </c>
      <c r="O719">
        <f t="shared" si="46"/>
        <v>933.88799999999992</v>
      </c>
      <c r="P719" t="str">
        <f t="shared" si="47"/>
        <v>OK</v>
      </c>
    </row>
    <row r="720" spans="1:16" x14ac:dyDescent="0.35">
      <c r="A720" t="s">
        <v>1060</v>
      </c>
      <c r="B720" s="3">
        <v>45409</v>
      </c>
      <c r="C720" t="s">
        <v>65</v>
      </c>
      <c r="D720" t="s">
        <v>42</v>
      </c>
      <c r="E720" t="s">
        <v>858</v>
      </c>
      <c r="F720" t="s">
        <v>15</v>
      </c>
      <c r="G720" t="s">
        <v>147</v>
      </c>
      <c r="H720">
        <v>11</v>
      </c>
      <c r="I720">
        <v>88.28</v>
      </c>
      <c r="J720">
        <v>0</v>
      </c>
      <c r="K720">
        <v>971.08</v>
      </c>
      <c r="M720" t="str">
        <f t="shared" si="44"/>
        <v>Apr</v>
      </c>
      <c r="N720">
        <f t="shared" si="45"/>
        <v>4</v>
      </c>
      <c r="O720">
        <f t="shared" si="46"/>
        <v>971.08</v>
      </c>
      <c r="P720" t="str">
        <f t="shared" si="47"/>
        <v>OK</v>
      </c>
    </row>
    <row r="721" spans="1:16" x14ac:dyDescent="0.35">
      <c r="A721" t="s">
        <v>1061</v>
      </c>
      <c r="B721" s="3">
        <v>45578</v>
      </c>
      <c r="C721" t="s">
        <v>65</v>
      </c>
      <c r="D721" t="s">
        <v>57</v>
      </c>
      <c r="E721" t="s">
        <v>117</v>
      </c>
      <c r="F721" t="s">
        <v>21</v>
      </c>
      <c r="G721" t="s">
        <v>167</v>
      </c>
      <c r="H721">
        <v>11</v>
      </c>
      <c r="I721">
        <v>101.68</v>
      </c>
      <c r="J721">
        <v>0.1</v>
      </c>
      <c r="K721">
        <v>1006.63</v>
      </c>
      <c r="M721" t="str">
        <f t="shared" si="44"/>
        <v>Oct</v>
      </c>
      <c r="N721">
        <f t="shared" si="45"/>
        <v>10</v>
      </c>
      <c r="O721">
        <f t="shared" si="46"/>
        <v>1006.6320000000001</v>
      </c>
      <c r="P721" t="str">
        <f t="shared" si="47"/>
        <v>OK</v>
      </c>
    </row>
    <row r="722" spans="1:16" x14ac:dyDescent="0.35">
      <c r="A722" t="s">
        <v>1062</v>
      </c>
      <c r="B722" s="3">
        <v>45615</v>
      </c>
      <c r="C722" t="s">
        <v>24</v>
      </c>
      <c r="D722" t="s">
        <v>57</v>
      </c>
      <c r="E722" t="s">
        <v>158</v>
      </c>
      <c r="F722" t="s">
        <v>53</v>
      </c>
      <c r="G722" t="s">
        <v>63</v>
      </c>
      <c r="H722">
        <v>11</v>
      </c>
      <c r="I722">
        <v>107.73</v>
      </c>
      <c r="J722">
        <v>0.15</v>
      </c>
      <c r="K722">
        <v>1007.28</v>
      </c>
      <c r="M722" t="str">
        <f t="shared" si="44"/>
        <v>Nov</v>
      </c>
      <c r="N722">
        <f t="shared" si="45"/>
        <v>11</v>
      </c>
      <c r="O722">
        <f t="shared" si="46"/>
        <v>1007.2755</v>
      </c>
      <c r="P722" t="str">
        <f t="shared" si="47"/>
        <v>OK</v>
      </c>
    </row>
    <row r="723" spans="1:16" x14ac:dyDescent="0.35">
      <c r="A723" t="s">
        <v>1063</v>
      </c>
      <c r="B723" s="3">
        <v>45567</v>
      </c>
      <c r="C723" t="s">
        <v>24</v>
      </c>
      <c r="D723" t="s">
        <v>19</v>
      </c>
      <c r="E723" t="s">
        <v>489</v>
      </c>
      <c r="F723" t="s">
        <v>44</v>
      </c>
      <c r="G723" t="s">
        <v>50</v>
      </c>
      <c r="H723">
        <v>6</v>
      </c>
      <c r="I723">
        <v>74.25</v>
      </c>
      <c r="J723">
        <v>0.15</v>
      </c>
      <c r="K723">
        <v>378.68</v>
      </c>
      <c r="M723" t="str">
        <f t="shared" si="44"/>
        <v>Oct</v>
      </c>
      <c r="N723">
        <f t="shared" si="45"/>
        <v>10</v>
      </c>
      <c r="O723">
        <f t="shared" si="46"/>
        <v>378.67500000000001</v>
      </c>
      <c r="P723" t="str">
        <f t="shared" si="47"/>
        <v>OK</v>
      </c>
    </row>
    <row r="724" spans="1:16" x14ac:dyDescent="0.35">
      <c r="A724" t="s">
        <v>1064</v>
      </c>
      <c r="B724" s="3">
        <v>45639</v>
      </c>
      <c r="C724" t="s">
        <v>33</v>
      </c>
      <c r="D724" t="s">
        <v>25</v>
      </c>
      <c r="E724" t="s">
        <v>679</v>
      </c>
      <c r="F724" t="s">
        <v>53</v>
      </c>
      <c r="G724" t="s">
        <v>260</v>
      </c>
      <c r="H724">
        <v>11</v>
      </c>
      <c r="I724">
        <v>19.350000000000001</v>
      </c>
      <c r="J724">
        <v>0.05</v>
      </c>
      <c r="K724">
        <v>202.21</v>
      </c>
      <c r="M724" t="str">
        <f t="shared" si="44"/>
        <v>Dec</v>
      </c>
      <c r="N724">
        <f t="shared" si="45"/>
        <v>12</v>
      </c>
      <c r="O724">
        <f t="shared" si="46"/>
        <v>202.20750000000001</v>
      </c>
      <c r="P724" t="str">
        <f t="shared" si="47"/>
        <v>OK</v>
      </c>
    </row>
    <row r="725" spans="1:16" x14ac:dyDescent="0.35">
      <c r="A725" t="s">
        <v>1066</v>
      </c>
      <c r="B725" s="3">
        <v>45486</v>
      </c>
      <c r="C725" t="s">
        <v>33</v>
      </c>
      <c r="D725" t="s">
        <v>25</v>
      </c>
      <c r="E725" t="s">
        <v>567</v>
      </c>
      <c r="F725" t="s">
        <v>21</v>
      </c>
      <c r="G725" t="s">
        <v>167</v>
      </c>
      <c r="H725">
        <v>8</v>
      </c>
      <c r="I725">
        <v>205.81</v>
      </c>
      <c r="J725">
        <v>0</v>
      </c>
      <c r="K725">
        <v>1646.48</v>
      </c>
      <c r="M725" t="str">
        <f t="shared" si="44"/>
        <v>Jul</v>
      </c>
      <c r="N725">
        <f t="shared" si="45"/>
        <v>7</v>
      </c>
      <c r="O725">
        <f t="shared" si="46"/>
        <v>1646.48</v>
      </c>
      <c r="P725" t="str">
        <f t="shared" si="47"/>
        <v>OK</v>
      </c>
    </row>
    <row r="726" spans="1:16" x14ac:dyDescent="0.35">
      <c r="A726" t="s">
        <v>1067</v>
      </c>
      <c r="B726" s="3">
        <v>45480</v>
      </c>
      <c r="C726" t="s">
        <v>41</v>
      </c>
      <c r="D726" t="s">
        <v>13</v>
      </c>
      <c r="E726" t="s">
        <v>659</v>
      </c>
      <c r="F726" t="s">
        <v>44</v>
      </c>
      <c r="G726" t="s">
        <v>86</v>
      </c>
      <c r="H726">
        <v>11</v>
      </c>
      <c r="I726">
        <v>156.5</v>
      </c>
      <c r="J726">
        <v>0.05</v>
      </c>
      <c r="K726">
        <v>1635.42</v>
      </c>
      <c r="M726" t="str">
        <f t="shared" si="44"/>
        <v>Jul</v>
      </c>
      <c r="N726">
        <f t="shared" si="45"/>
        <v>7</v>
      </c>
      <c r="O726">
        <f t="shared" si="46"/>
        <v>1635.425</v>
      </c>
      <c r="P726" t="str">
        <f t="shared" si="47"/>
        <v>MISMATCH</v>
      </c>
    </row>
    <row r="727" spans="1:16" x14ac:dyDescent="0.35">
      <c r="A727" t="s">
        <v>1068</v>
      </c>
      <c r="B727" s="3">
        <v>45367</v>
      </c>
      <c r="C727" t="s">
        <v>24</v>
      </c>
      <c r="D727" t="s">
        <v>57</v>
      </c>
      <c r="E727" t="s">
        <v>30</v>
      </c>
      <c r="F727" t="s">
        <v>44</v>
      </c>
      <c r="G727" t="s">
        <v>86</v>
      </c>
      <c r="H727">
        <v>2</v>
      </c>
      <c r="I727">
        <v>217.77</v>
      </c>
      <c r="J727">
        <v>0</v>
      </c>
      <c r="K727">
        <v>435.54</v>
      </c>
      <c r="M727" t="str">
        <f t="shared" si="44"/>
        <v>Mar</v>
      </c>
      <c r="N727">
        <f t="shared" si="45"/>
        <v>3</v>
      </c>
      <c r="O727">
        <f t="shared" si="46"/>
        <v>435.54</v>
      </c>
      <c r="P727" t="str">
        <f t="shared" si="47"/>
        <v>OK</v>
      </c>
    </row>
    <row r="728" spans="1:16" x14ac:dyDescent="0.35">
      <c r="A728" t="s">
        <v>1069</v>
      </c>
      <c r="B728" s="3">
        <v>45528</v>
      </c>
      <c r="C728" t="s">
        <v>24</v>
      </c>
      <c r="D728" t="s">
        <v>42</v>
      </c>
      <c r="E728" t="s">
        <v>437</v>
      </c>
      <c r="F728" t="s">
        <v>15</v>
      </c>
      <c r="G728" t="s">
        <v>16</v>
      </c>
      <c r="H728">
        <v>1</v>
      </c>
      <c r="I728">
        <v>228.58</v>
      </c>
      <c r="J728">
        <v>0.05</v>
      </c>
      <c r="K728">
        <v>217.15</v>
      </c>
      <c r="M728" t="str">
        <f t="shared" si="44"/>
        <v>Aug</v>
      </c>
      <c r="N728">
        <f t="shared" si="45"/>
        <v>8</v>
      </c>
      <c r="O728">
        <f t="shared" si="46"/>
        <v>217.15100000000001</v>
      </c>
      <c r="P728" t="str">
        <f t="shared" si="47"/>
        <v>OK</v>
      </c>
    </row>
    <row r="729" spans="1:16" x14ac:dyDescent="0.35">
      <c r="A729" t="s">
        <v>1070</v>
      </c>
      <c r="B729" s="3">
        <v>45509</v>
      </c>
      <c r="C729" t="s">
        <v>24</v>
      </c>
      <c r="D729" t="s">
        <v>57</v>
      </c>
      <c r="E729" t="s">
        <v>201</v>
      </c>
      <c r="F729" t="s">
        <v>35</v>
      </c>
      <c r="G729" t="s">
        <v>83</v>
      </c>
      <c r="H729">
        <v>1</v>
      </c>
      <c r="I729">
        <v>97.04</v>
      </c>
      <c r="J729">
        <v>0</v>
      </c>
      <c r="K729">
        <v>97.04</v>
      </c>
      <c r="M729" t="str">
        <f t="shared" si="44"/>
        <v>Aug</v>
      </c>
      <c r="N729">
        <f t="shared" si="45"/>
        <v>8</v>
      </c>
      <c r="O729">
        <f t="shared" si="46"/>
        <v>97.04</v>
      </c>
      <c r="P729" t="str">
        <f t="shared" si="47"/>
        <v>OK</v>
      </c>
    </row>
    <row r="730" spans="1:16" x14ac:dyDescent="0.35">
      <c r="A730" t="s">
        <v>1071</v>
      </c>
      <c r="B730" s="3">
        <v>45314</v>
      </c>
      <c r="C730" t="s">
        <v>41</v>
      </c>
      <c r="D730" t="s">
        <v>57</v>
      </c>
      <c r="E730" t="s">
        <v>439</v>
      </c>
      <c r="F730" t="s">
        <v>53</v>
      </c>
      <c r="G730" t="s">
        <v>104</v>
      </c>
      <c r="H730">
        <v>8</v>
      </c>
      <c r="I730">
        <v>191.44</v>
      </c>
      <c r="J730">
        <v>0.1</v>
      </c>
      <c r="K730">
        <v>1378.37</v>
      </c>
      <c r="M730" t="str">
        <f t="shared" si="44"/>
        <v>Jan</v>
      </c>
      <c r="N730">
        <f t="shared" si="45"/>
        <v>1</v>
      </c>
      <c r="O730">
        <f t="shared" si="46"/>
        <v>1378.3679999999999</v>
      </c>
      <c r="P730" t="str">
        <f t="shared" si="47"/>
        <v>OK</v>
      </c>
    </row>
    <row r="731" spans="1:16" x14ac:dyDescent="0.35">
      <c r="A731" t="s">
        <v>1072</v>
      </c>
      <c r="B731" s="3">
        <v>45401</v>
      </c>
      <c r="C731" t="s">
        <v>18</v>
      </c>
      <c r="D731" t="s">
        <v>42</v>
      </c>
      <c r="E731" t="s">
        <v>902</v>
      </c>
      <c r="F731" t="s">
        <v>44</v>
      </c>
      <c r="G731" t="s">
        <v>86</v>
      </c>
      <c r="H731">
        <v>8</v>
      </c>
      <c r="I731">
        <v>175.03</v>
      </c>
      <c r="J731">
        <v>0</v>
      </c>
      <c r="K731">
        <v>1400.24</v>
      </c>
      <c r="M731" t="str">
        <f t="shared" si="44"/>
        <v>Apr</v>
      </c>
      <c r="N731">
        <f t="shared" si="45"/>
        <v>4</v>
      </c>
      <c r="O731">
        <f t="shared" si="46"/>
        <v>1400.24</v>
      </c>
      <c r="P731" t="str">
        <f t="shared" si="47"/>
        <v>OK</v>
      </c>
    </row>
    <row r="732" spans="1:16" x14ac:dyDescent="0.35">
      <c r="A732" t="s">
        <v>1073</v>
      </c>
      <c r="B732" s="3">
        <v>45653</v>
      </c>
      <c r="C732" t="s">
        <v>65</v>
      </c>
      <c r="D732" t="s">
        <v>42</v>
      </c>
      <c r="E732" t="s">
        <v>137</v>
      </c>
      <c r="F732" t="s">
        <v>35</v>
      </c>
      <c r="G732" t="s">
        <v>67</v>
      </c>
      <c r="H732">
        <v>2</v>
      </c>
      <c r="I732">
        <v>191.95</v>
      </c>
      <c r="J732">
        <v>0.05</v>
      </c>
      <c r="K732">
        <v>364.7</v>
      </c>
      <c r="M732" t="str">
        <f t="shared" si="44"/>
        <v>Dec</v>
      </c>
      <c r="N732">
        <f t="shared" si="45"/>
        <v>12</v>
      </c>
      <c r="O732">
        <f t="shared" si="46"/>
        <v>364.70499999999998</v>
      </c>
      <c r="P732" t="str">
        <f t="shared" si="47"/>
        <v>MISMATCH</v>
      </c>
    </row>
    <row r="733" spans="1:16" x14ac:dyDescent="0.35">
      <c r="A733" t="s">
        <v>1075</v>
      </c>
      <c r="B733" s="3">
        <v>45392</v>
      </c>
      <c r="C733" t="s">
        <v>33</v>
      </c>
      <c r="D733" t="s">
        <v>42</v>
      </c>
      <c r="E733" t="s">
        <v>80</v>
      </c>
      <c r="F733" t="s">
        <v>35</v>
      </c>
      <c r="G733" t="s">
        <v>83</v>
      </c>
      <c r="H733">
        <v>10</v>
      </c>
      <c r="I733">
        <v>214.97</v>
      </c>
      <c r="J733">
        <v>0.05</v>
      </c>
      <c r="K733">
        <v>2042.21</v>
      </c>
      <c r="M733" t="str">
        <f t="shared" si="44"/>
        <v>Apr</v>
      </c>
      <c r="N733">
        <f t="shared" si="45"/>
        <v>4</v>
      </c>
      <c r="O733">
        <f t="shared" si="46"/>
        <v>2042.2149999999997</v>
      </c>
      <c r="P733" t="str">
        <f t="shared" si="47"/>
        <v>MISMATCH</v>
      </c>
    </row>
    <row r="734" spans="1:16" x14ac:dyDescent="0.35">
      <c r="A734" t="s">
        <v>1076</v>
      </c>
      <c r="B734" s="3">
        <v>45569</v>
      </c>
      <c r="C734" t="s">
        <v>24</v>
      </c>
      <c r="D734" t="s">
        <v>19</v>
      </c>
      <c r="E734" t="s">
        <v>293</v>
      </c>
      <c r="F734" t="s">
        <v>44</v>
      </c>
      <c r="G734" t="s">
        <v>107</v>
      </c>
      <c r="H734">
        <v>11</v>
      </c>
      <c r="I734">
        <v>116.25</v>
      </c>
      <c r="J734">
        <v>0.1</v>
      </c>
      <c r="K734">
        <v>1150.8800000000001</v>
      </c>
      <c r="M734" t="str">
        <f t="shared" si="44"/>
        <v>Oct</v>
      </c>
      <c r="N734">
        <f t="shared" si="45"/>
        <v>10</v>
      </c>
      <c r="O734">
        <f t="shared" si="46"/>
        <v>1150.875</v>
      </c>
      <c r="P734" t="str">
        <f t="shared" si="47"/>
        <v>OK</v>
      </c>
    </row>
    <row r="735" spans="1:16" x14ac:dyDescent="0.35">
      <c r="A735" t="s">
        <v>1077</v>
      </c>
      <c r="B735" s="3">
        <v>45528</v>
      </c>
      <c r="C735" t="s">
        <v>18</v>
      </c>
      <c r="D735" t="s">
        <v>19</v>
      </c>
      <c r="E735" t="s">
        <v>336</v>
      </c>
      <c r="F735" t="s">
        <v>44</v>
      </c>
      <c r="G735" t="s">
        <v>86</v>
      </c>
      <c r="H735">
        <v>12</v>
      </c>
      <c r="I735">
        <v>63.89</v>
      </c>
      <c r="J735">
        <v>0.15</v>
      </c>
      <c r="K735">
        <v>651.67999999999995</v>
      </c>
      <c r="M735" t="str">
        <f t="shared" si="44"/>
        <v>Aug</v>
      </c>
      <c r="N735">
        <f t="shared" si="45"/>
        <v>8</v>
      </c>
      <c r="O735">
        <f t="shared" si="46"/>
        <v>651.678</v>
      </c>
      <c r="P735" t="str">
        <f t="shared" si="47"/>
        <v>OK</v>
      </c>
    </row>
    <row r="736" spans="1:16" x14ac:dyDescent="0.35">
      <c r="A736" t="s">
        <v>1078</v>
      </c>
      <c r="B736" s="3">
        <v>45545</v>
      </c>
      <c r="C736" t="s">
        <v>18</v>
      </c>
      <c r="D736" t="s">
        <v>42</v>
      </c>
      <c r="E736" t="s">
        <v>693</v>
      </c>
      <c r="F736" t="s">
        <v>15</v>
      </c>
      <c r="G736" t="s">
        <v>111</v>
      </c>
      <c r="H736">
        <v>2</v>
      </c>
      <c r="I736">
        <v>154.93</v>
      </c>
      <c r="J736">
        <v>0</v>
      </c>
      <c r="K736">
        <v>309.86</v>
      </c>
      <c r="M736" t="str">
        <f t="shared" si="44"/>
        <v>Sep</v>
      </c>
      <c r="N736">
        <f t="shared" si="45"/>
        <v>9</v>
      </c>
      <c r="O736">
        <f t="shared" si="46"/>
        <v>309.86</v>
      </c>
      <c r="P736" t="str">
        <f t="shared" si="47"/>
        <v>OK</v>
      </c>
    </row>
    <row r="737" spans="1:16" x14ac:dyDescent="0.35">
      <c r="A737" t="s">
        <v>1079</v>
      </c>
      <c r="B737" s="3">
        <v>45406</v>
      </c>
      <c r="C737" t="s">
        <v>41</v>
      </c>
      <c r="D737" t="s">
        <v>19</v>
      </c>
      <c r="E737" t="s">
        <v>2217</v>
      </c>
      <c r="F737" t="s">
        <v>15</v>
      </c>
      <c r="G737" t="s">
        <v>74</v>
      </c>
      <c r="H737">
        <v>12</v>
      </c>
      <c r="I737">
        <v>97.7</v>
      </c>
      <c r="J737">
        <v>0.15</v>
      </c>
      <c r="K737">
        <v>996.54</v>
      </c>
      <c r="M737" t="str">
        <f t="shared" si="44"/>
        <v>Apr</v>
      </c>
      <c r="N737">
        <f t="shared" si="45"/>
        <v>4</v>
      </c>
      <c r="O737">
        <f t="shared" si="46"/>
        <v>996.54000000000008</v>
      </c>
      <c r="P737" t="str">
        <f t="shared" si="47"/>
        <v>OK</v>
      </c>
    </row>
    <row r="738" spans="1:16" x14ac:dyDescent="0.35">
      <c r="A738" t="s">
        <v>1081</v>
      </c>
      <c r="B738" s="3">
        <v>45334</v>
      </c>
      <c r="C738" t="s">
        <v>18</v>
      </c>
      <c r="D738" t="s">
        <v>57</v>
      </c>
      <c r="E738" t="s">
        <v>508</v>
      </c>
      <c r="F738" t="s">
        <v>53</v>
      </c>
      <c r="G738" t="s">
        <v>63</v>
      </c>
      <c r="H738">
        <v>2</v>
      </c>
      <c r="I738">
        <v>152.38999999999999</v>
      </c>
      <c r="J738">
        <v>0.05</v>
      </c>
      <c r="K738">
        <v>289.54000000000002</v>
      </c>
      <c r="M738" t="str">
        <f t="shared" si="44"/>
        <v>Feb</v>
      </c>
      <c r="N738">
        <f t="shared" si="45"/>
        <v>2</v>
      </c>
      <c r="O738">
        <f t="shared" si="46"/>
        <v>289.54099999999994</v>
      </c>
      <c r="P738" t="str">
        <f t="shared" si="47"/>
        <v>OK</v>
      </c>
    </row>
    <row r="739" spans="1:16" x14ac:dyDescent="0.35">
      <c r="A739" t="s">
        <v>1082</v>
      </c>
      <c r="B739" s="3">
        <v>45364</v>
      </c>
      <c r="C739" t="s">
        <v>24</v>
      </c>
      <c r="D739" t="s">
        <v>57</v>
      </c>
      <c r="E739" t="s">
        <v>120</v>
      </c>
      <c r="F739" t="s">
        <v>15</v>
      </c>
      <c r="G739" t="s">
        <v>27</v>
      </c>
      <c r="H739">
        <v>2</v>
      </c>
      <c r="I739">
        <v>118.91</v>
      </c>
      <c r="J739">
        <v>0.1</v>
      </c>
      <c r="K739">
        <v>214.04</v>
      </c>
      <c r="M739" t="str">
        <f t="shared" si="44"/>
        <v>Mar</v>
      </c>
      <c r="N739">
        <f t="shared" si="45"/>
        <v>3</v>
      </c>
      <c r="O739">
        <f t="shared" si="46"/>
        <v>214.03800000000001</v>
      </c>
      <c r="P739" t="str">
        <f t="shared" si="47"/>
        <v>OK</v>
      </c>
    </row>
    <row r="740" spans="1:16" x14ac:dyDescent="0.35">
      <c r="A740" t="s">
        <v>1083</v>
      </c>
      <c r="B740" s="3">
        <v>45335</v>
      </c>
      <c r="C740" t="s">
        <v>65</v>
      </c>
      <c r="D740" t="s">
        <v>57</v>
      </c>
      <c r="E740" t="s">
        <v>1084</v>
      </c>
      <c r="F740" t="s">
        <v>35</v>
      </c>
      <c r="G740" t="s">
        <v>67</v>
      </c>
      <c r="H740">
        <v>3</v>
      </c>
      <c r="I740">
        <v>82.13</v>
      </c>
      <c r="J740">
        <v>0.05</v>
      </c>
      <c r="K740">
        <v>234.07</v>
      </c>
      <c r="M740" t="str">
        <f t="shared" si="44"/>
        <v>Feb</v>
      </c>
      <c r="N740">
        <f t="shared" si="45"/>
        <v>2</v>
      </c>
      <c r="O740">
        <f t="shared" si="46"/>
        <v>234.07049999999998</v>
      </c>
      <c r="P740" t="str">
        <f t="shared" si="47"/>
        <v>OK</v>
      </c>
    </row>
    <row r="741" spans="1:16" x14ac:dyDescent="0.35">
      <c r="A741" t="s">
        <v>1085</v>
      </c>
      <c r="B741" s="3">
        <v>45392</v>
      </c>
      <c r="C741" t="s">
        <v>41</v>
      </c>
      <c r="D741" t="s">
        <v>25</v>
      </c>
      <c r="E741" t="s">
        <v>221</v>
      </c>
      <c r="F741" t="s">
        <v>44</v>
      </c>
      <c r="G741" t="s">
        <v>86</v>
      </c>
      <c r="H741">
        <v>11</v>
      </c>
      <c r="I741">
        <v>184.72</v>
      </c>
      <c r="J741">
        <v>0</v>
      </c>
      <c r="K741">
        <v>2031.92</v>
      </c>
      <c r="M741" t="str">
        <f t="shared" si="44"/>
        <v>Apr</v>
      </c>
      <c r="N741">
        <f t="shared" si="45"/>
        <v>4</v>
      </c>
      <c r="O741">
        <f t="shared" si="46"/>
        <v>2031.92</v>
      </c>
      <c r="P741" t="str">
        <f t="shared" si="47"/>
        <v>OK</v>
      </c>
    </row>
    <row r="742" spans="1:16" x14ac:dyDescent="0.35">
      <c r="A742" t="s">
        <v>1086</v>
      </c>
      <c r="B742" s="3">
        <v>45410</v>
      </c>
      <c r="C742" t="s">
        <v>18</v>
      </c>
      <c r="D742" t="s">
        <v>42</v>
      </c>
      <c r="E742" t="s">
        <v>547</v>
      </c>
      <c r="F742" t="s">
        <v>35</v>
      </c>
      <c r="G742" t="s">
        <v>134</v>
      </c>
      <c r="H742">
        <v>4</v>
      </c>
      <c r="I742">
        <v>69.77</v>
      </c>
      <c r="J742">
        <v>0</v>
      </c>
      <c r="K742">
        <v>279.08</v>
      </c>
      <c r="M742" t="str">
        <f t="shared" si="44"/>
        <v>Apr</v>
      </c>
      <c r="N742">
        <f t="shared" si="45"/>
        <v>4</v>
      </c>
      <c r="O742">
        <f t="shared" si="46"/>
        <v>279.08</v>
      </c>
      <c r="P742" t="str">
        <f t="shared" si="47"/>
        <v>OK</v>
      </c>
    </row>
    <row r="743" spans="1:16" x14ac:dyDescent="0.35">
      <c r="A743" t="s">
        <v>1087</v>
      </c>
      <c r="B743" s="3">
        <v>45574</v>
      </c>
      <c r="C743" t="s">
        <v>65</v>
      </c>
      <c r="D743" t="s">
        <v>25</v>
      </c>
      <c r="E743" t="s">
        <v>291</v>
      </c>
      <c r="F743" t="s">
        <v>44</v>
      </c>
      <c r="G743" t="s">
        <v>45</v>
      </c>
      <c r="H743">
        <v>5</v>
      </c>
      <c r="I743">
        <v>176.47</v>
      </c>
      <c r="J743">
        <v>0.15</v>
      </c>
      <c r="K743">
        <v>750</v>
      </c>
      <c r="M743" t="str">
        <f t="shared" si="44"/>
        <v>Oct</v>
      </c>
      <c r="N743">
        <f t="shared" si="45"/>
        <v>10</v>
      </c>
      <c r="O743">
        <f t="shared" si="46"/>
        <v>749.99749999999995</v>
      </c>
      <c r="P743" t="str">
        <f t="shared" si="47"/>
        <v>OK</v>
      </c>
    </row>
    <row r="744" spans="1:16" x14ac:dyDescent="0.35">
      <c r="A744" t="s">
        <v>1088</v>
      </c>
      <c r="B744" s="3">
        <v>45396</v>
      </c>
      <c r="C744" t="s">
        <v>18</v>
      </c>
      <c r="D744" t="s">
        <v>57</v>
      </c>
      <c r="E744" t="s">
        <v>357</v>
      </c>
      <c r="F744" t="s">
        <v>21</v>
      </c>
      <c r="G744" t="s">
        <v>70</v>
      </c>
      <c r="H744">
        <v>5</v>
      </c>
      <c r="I744">
        <v>158.65</v>
      </c>
      <c r="J744">
        <v>0.15</v>
      </c>
      <c r="K744">
        <v>674.26</v>
      </c>
      <c r="M744" t="str">
        <f t="shared" si="44"/>
        <v>Apr</v>
      </c>
      <c r="N744">
        <f t="shared" si="45"/>
        <v>4</v>
      </c>
      <c r="O744">
        <f t="shared" si="46"/>
        <v>674.26249999999993</v>
      </c>
      <c r="P744" t="str">
        <f t="shared" si="47"/>
        <v>OK</v>
      </c>
    </row>
    <row r="745" spans="1:16" x14ac:dyDescent="0.35">
      <c r="A745" t="s">
        <v>1089</v>
      </c>
      <c r="B745" s="3">
        <v>45624</v>
      </c>
      <c r="C745" t="s">
        <v>33</v>
      </c>
      <c r="D745" t="s">
        <v>19</v>
      </c>
      <c r="E745" t="s">
        <v>52</v>
      </c>
      <c r="F745" t="s">
        <v>53</v>
      </c>
      <c r="G745" t="s">
        <v>104</v>
      </c>
      <c r="H745">
        <v>1</v>
      </c>
      <c r="I745">
        <v>106.81</v>
      </c>
      <c r="J745">
        <v>0</v>
      </c>
      <c r="K745">
        <v>106.81</v>
      </c>
      <c r="M745" t="str">
        <f t="shared" si="44"/>
        <v>Nov</v>
      </c>
      <c r="N745">
        <f t="shared" si="45"/>
        <v>11</v>
      </c>
      <c r="O745">
        <f t="shared" si="46"/>
        <v>106.81</v>
      </c>
      <c r="P745" t="str">
        <f t="shared" si="47"/>
        <v>OK</v>
      </c>
    </row>
    <row r="746" spans="1:16" x14ac:dyDescent="0.35">
      <c r="A746" t="s">
        <v>1090</v>
      </c>
      <c r="B746" s="3">
        <v>45300</v>
      </c>
      <c r="C746" t="s">
        <v>33</v>
      </c>
      <c r="D746" t="s">
        <v>19</v>
      </c>
      <c r="E746" t="s">
        <v>426</v>
      </c>
      <c r="F746" t="s">
        <v>44</v>
      </c>
      <c r="G746" t="s">
        <v>50</v>
      </c>
      <c r="H746">
        <v>6</v>
      </c>
      <c r="I746">
        <v>20.63</v>
      </c>
      <c r="J746">
        <v>0</v>
      </c>
      <c r="K746">
        <v>123.78</v>
      </c>
      <c r="M746" t="str">
        <f t="shared" si="44"/>
        <v>Jan</v>
      </c>
      <c r="N746">
        <f t="shared" si="45"/>
        <v>1</v>
      </c>
      <c r="O746">
        <f t="shared" si="46"/>
        <v>123.78</v>
      </c>
      <c r="P746" t="str">
        <f t="shared" si="47"/>
        <v>OK</v>
      </c>
    </row>
    <row r="747" spans="1:16" x14ac:dyDescent="0.35">
      <c r="A747" t="s">
        <v>1091</v>
      </c>
      <c r="B747" s="3">
        <v>45395</v>
      </c>
      <c r="C747" t="s">
        <v>33</v>
      </c>
      <c r="D747" t="s">
        <v>57</v>
      </c>
      <c r="E747" t="s">
        <v>106</v>
      </c>
      <c r="F747" t="s">
        <v>15</v>
      </c>
      <c r="G747" t="s">
        <v>147</v>
      </c>
      <c r="H747">
        <v>10</v>
      </c>
      <c r="I747">
        <v>189.27</v>
      </c>
      <c r="J747">
        <v>0</v>
      </c>
      <c r="K747">
        <v>1892.7</v>
      </c>
      <c r="M747" t="str">
        <f t="shared" si="44"/>
        <v>Apr</v>
      </c>
      <c r="N747">
        <f t="shared" si="45"/>
        <v>4</v>
      </c>
      <c r="O747">
        <f t="shared" si="46"/>
        <v>1892.7</v>
      </c>
      <c r="P747" t="str">
        <f t="shared" si="47"/>
        <v>OK</v>
      </c>
    </row>
    <row r="748" spans="1:16" x14ac:dyDescent="0.35">
      <c r="A748" t="s">
        <v>1093</v>
      </c>
      <c r="B748" s="3">
        <v>45643</v>
      </c>
      <c r="C748" t="s">
        <v>41</v>
      </c>
      <c r="D748" t="s">
        <v>19</v>
      </c>
      <c r="E748" t="s">
        <v>683</v>
      </c>
      <c r="F748" t="s">
        <v>44</v>
      </c>
      <c r="G748" t="s">
        <v>86</v>
      </c>
      <c r="H748">
        <v>5</v>
      </c>
      <c r="I748">
        <v>248.32</v>
      </c>
      <c r="J748">
        <v>0</v>
      </c>
      <c r="K748">
        <v>1241.5999999999999</v>
      </c>
      <c r="M748" t="str">
        <f t="shared" si="44"/>
        <v>Dec</v>
      </c>
      <c r="N748">
        <f t="shared" si="45"/>
        <v>12</v>
      </c>
      <c r="O748">
        <f t="shared" si="46"/>
        <v>1241.5999999999999</v>
      </c>
      <c r="P748" t="str">
        <f t="shared" si="47"/>
        <v>OK</v>
      </c>
    </row>
    <row r="749" spans="1:16" x14ac:dyDescent="0.35">
      <c r="A749" t="s">
        <v>1094</v>
      </c>
      <c r="B749" s="3">
        <v>45305</v>
      </c>
      <c r="C749" t="s">
        <v>41</v>
      </c>
      <c r="D749" t="s">
        <v>42</v>
      </c>
      <c r="E749" t="s">
        <v>663</v>
      </c>
      <c r="F749" t="s">
        <v>35</v>
      </c>
      <c r="G749" t="s">
        <v>67</v>
      </c>
      <c r="H749">
        <v>2</v>
      </c>
      <c r="I749">
        <v>23.99</v>
      </c>
      <c r="J749">
        <v>0.1</v>
      </c>
      <c r="K749">
        <v>43.18</v>
      </c>
      <c r="M749" t="str">
        <f t="shared" si="44"/>
        <v>Jan</v>
      </c>
      <c r="N749">
        <f t="shared" si="45"/>
        <v>1</v>
      </c>
      <c r="O749">
        <f t="shared" si="46"/>
        <v>43.181999999999995</v>
      </c>
      <c r="P749" t="str">
        <f t="shared" si="47"/>
        <v>OK</v>
      </c>
    </row>
    <row r="750" spans="1:16" x14ac:dyDescent="0.35">
      <c r="A750" t="s">
        <v>1096</v>
      </c>
      <c r="B750" s="3">
        <v>45346</v>
      </c>
      <c r="C750" t="s">
        <v>41</v>
      </c>
      <c r="D750" t="s">
        <v>25</v>
      </c>
      <c r="E750" t="s">
        <v>366</v>
      </c>
      <c r="F750" t="s">
        <v>53</v>
      </c>
      <c r="G750" t="s">
        <v>260</v>
      </c>
      <c r="H750">
        <v>6</v>
      </c>
      <c r="I750">
        <v>124.52</v>
      </c>
      <c r="J750">
        <v>0.1</v>
      </c>
      <c r="K750">
        <v>672.41</v>
      </c>
      <c r="M750" t="str">
        <f t="shared" si="44"/>
        <v>Feb</v>
      </c>
      <c r="N750">
        <f t="shared" si="45"/>
        <v>2</v>
      </c>
      <c r="O750">
        <f t="shared" si="46"/>
        <v>672.40800000000002</v>
      </c>
      <c r="P750" t="str">
        <f t="shared" si="47"/>
        <v>OK</v>
      </c>
    </row>
    <row r="751" spans="1:16" x14ac:dyDescent="0.35">
      <c r="A751" t="s">
        <v>1098</v>
      </c>
      <c r="B751" s="3">
        <v>45573</v>
      </c>
      <c r="C751" t="s">
        <v>41</v>
      </c>
      <c r="D751" t="s">
        <v>42</v>
      </c>
      <c r="E751" t="s">
        <v>379</v>
      </c>
      <c r="F751" t="s">
        <v>35</v>
      </c>
      <c r="G751" t="s">
        <v>83</v>
      </c>
      <c r="H751">
        <v>8</v>
      </c>
      <c r="I751">
        <v>91.19</v>
      </c>
      <c r="J751">
        <v>0</v>
      </c>
      <c r="K751">
        <v>729.52</v>
      </c>
      <c r="M751" t="str">
        <f t="shared" si="44"/>
        <v>Oct</v>
      </c>
      <c r="N751">
        <f t="shared" si="45"/>
        <v>10</v>
      </c>
      <c r="O751">
        <f t="shared" si="46"/>
        <v>729.52</v>
      </c>
      <c r="P751" t="str">
        <f t="shared" si="47"/>
        <v>OK</v>
      </c>
    </row>
    <row r="752" spans="1:16" x14ac:dyDescent="0.35">
      <c r="A752" t="s">
        <v>1099</v>
      </c>
      <c r="B752" s="3">
        <v>45609</v>
      </c>
      <c r="C752" t="s">
        <v>18</v>
      </c>
      <c r="D752" t="s">
        <v>42</v>
      </c>
      <c r="E752" t="s">
        <v>381</v>
      </c>
      <c r="F752" t="s">
        <v>53</v>
      </c>
      <c r="G752" t="s">
        <v>59</v>
      </c>
      <c r="H752">
        <v>9</v>
      </c>
      <c r="I752">
        <v>113</v>
      </c>
      <c r="J752">
        <v>0.1</v>
      </c>
      <c r="K752">
        <v>915.3</v>
      </c>
      <c r="M752" t="str">
        <f t="shared" si="44"/>
        <v>Nov</v>
      </c>
      <c r="N752">
        <f t="shared" si="45"/>
        <v>11</v>
      </c>
      <c r="O752">
        <f t="shared" si="46"/>
        <v>915.30000000000007</v>
      </c>
      <c r="P752" t="str">
        <f t="shared" si="47"/>
        <v>OK</v>
      </c>
    </row>
    <row r="753" spans="1:16" x14ac:dyDescent="0.35">
      <c r="A753" t="s">
        <v>1101</v>
      </c>
      <c r="B753" s="3">
        <v>45634</v>
      </c>
      <c r="C753" t="s">
        <v>65</v>
      </c>
      <c r="D753" t="s">
        <v>13</v>
      </c>
      <c r="E753" t="s">
        <v>2217</v>
      </c>
      <c r="F753" t="s">
        <v>35</v>
      </c>
      <c r="G753" t="s">
        <v>36</v>
      </c>
      <c r="H753">
        <v>5</v>
      </c>
      <c r="I753">
        <v>120.34</v>
      </c>
      <c r="J753">
        <v>0</v>
      </c>
      <c r="K753">
        <v>601.70000000000005</v>
      </c>
      <c r="M753" t="str">
        <f t="shared" si="44"/>
        <v>Dec</v>
      </c>
      <c r="N753">
        <f t="shared" si="45"/>
        <v>12</v>
      </c>
      <c r="O753">
        <f t="shared" si="46"/>
        <v>601.70000000000005</v>
      </c>
      <c r="P753" t="str">
        <f t="shared" si="47"/>
        <v>OK</v>
      </c>
    </row>
    <row r="754" spans="1:16" x14ac:dyDescent="0.35">
      <c r="A754" t="s">
        <v>1102</v>
      </c>
      <c r="B754" s="3">
        <v>45377</v>
      </c>
      <c r="C754" t="s">
        <v>33</v>
      </c>
      <c r="D754" t="s">
        <v>57</v>
      </c>
      <c r="E754" t="s">
        <v>73</v>
      </c>
      <c r="F754" t="s">
        <v>53</v>
      </c>
      <c r="G754" t="s">
        <v>125</v>
      </c>
      <c r="H754">
        <v>7</v>
      </c>
      <c r="I754">
        <v>148.25</v>
      </c>
      <c r="J754">
        <v>0</v>
      </c>
      <c r="K754">
        <v>1037.75</v>
      </c>
      <c r="M754" t="str">
        <f t="shared" si="44"/>
        <v>Mar</v>
      </c>
      <c r="N754">
        <f t="shared" si="45"/>
        <v>3</v>
      </c>
      <c r="O754">
        <f t="shared" si="46"/>
        <v>1037.75</v>
      </c>
      <c r="P754" t="str">
        <f t="shared" si="47"/>
        <v>OK</v>
      </c>
    </row>
    <row r="755" spans="1:16" x14ac:dyDescent="0.35">
      <c r="A755" t="s">
        <v>1103</v>
      </c>
      <c r="B755" s="3">
        <v>45370</v>
      </c>
      <c r="C755" t="s">
        <v>65</v>
      </c>
      <c r="D755" t="s">
        <v>13</v>
      </c>
      <c r="E755" t="s">
        <v>146</v>
      </c>
      <c r="F755" t="s">
        <v>53</v>
      </c>
      <c r="G755" t="s">
        <v>54</v>
      </c>
      <c r="H755">
        <v>1</v>
      </c>
      <c r="I755">
        <v>65.180000000000007</v>
      </c>
      <c r="J755">
        <v>0</v>
      </c>
      <c r="K755">
        <v>65.180000000000007</v>
      </c>
      <c r="M755" t="str">
        <f t="shared" si="44"/>
        <v>Mar</v>
      </c>
      <c r="N755">
        <f t="shared" si="45"/>
        <v>3</v>
      </c>
      <c r="O755">
        <f t="shared" si="46"/>
        <v>65.180000000000007</v>
      </c>
      <c r="P755" t="str">
        <f t="shared" si="47"/>
        <v>OK</v>
      </c>
    </row>
    <row r="756" spans="1:16" x14ac:dyDescent="0.35">
      <c r="A756" t="s">
        <v>1104</v>
      </c>
      <c r="B756" s="3">
        <v>45368</v>
      </c>
      <c r="C756" t="s">
        <v>65</v>
      </c>
      <c r="D756" t="s">
        <v>25</v>
      </c>
      <c r="E756" t="s">
        <v>155</v>
      </c>
      <c r="F756" t="s">
        <v>44</v>
      </c>
      <c r="G756" t="s">
        <v>86</v>
      </c>
      <c r="H756">
        <v>4</v>
      </c>
      <c r="I756">
        <v>128.09</v>
      </c>
      <c r="J756">
        <v>0</v>
      </c>
      <c r="K756">
        <v>512.36</v>
      </c>
      <c r="M756" t="str">
        <f t="shared" si="44"/>
        <v>Mar</v>
      </c>
      <c r="N756">
        <f t="shared" si="45"/>
        <v>3</v>
      </c>
      <c r="O756">
        <f t="shared" si="46"/>
        <v>512.36</v>
      </c>
      <c r="P756" t="str">
        <f t="shared" si="47"/>
        <v>OK</v>
      </c>
    </row>
    <row r="757" spans="1:16" x14ac:dyDescent="0.35">
      <c r="A757" t="s">
        <v>1105</v>
      </c>
      <c r="B757" s="3">
        <v>45368</v>
      </c>
      <c r="C757" t="s">
        <v>18</v>
      </c>
      <c r="D757" t="s">
        <v>57</v>
      </c>
      <c r="E757" t="s">
        <v>339</v>
      </c>
      <c r="F757" t="s">
        <v>35</v>
      </c>
      <c r="G757" t="s">
        <v>134</v>
      </c>
      <c r="H757">
        <v>7</v>
      </c>
      <c r="I757">
        <v>83.46</v>
      </c>
      <c r="J757">
        <v>0.05</v>
      </c>
      <c r="K757">
        <v>555.01</v>
      </c>
      <c r="M757" t="str">
        <f t="shared" si="44"/>
        <v>Mar</v>
      </c>
      <c r="N757">
        <f t="shared" si="45"/>
        <v>3</v>
      </c>
      <c r="O757">
        <f t="shared" si="46"/>
        <v>555.0089999999999</v>
      </c>
      <c r="P757" t="str">
        <f t="shared" si="47"/>
        <v>OK</v>
      </c>
    </row>
    <row r="758" spans="1:16" x14ac:dyDescent="0.35">
      <c r="A758" t="s">
        <v>1107</v>
      </c>
      <c r="B758" s="3">
        <v>45397</v>
      </c>
      <c r="C758" t="s">
        <v>18</v>
      </c>
      <c r="D758" t="s">
        <v>42</v>
      </c>
      <c r="E758" t="s">
        <v>472</v>
      </c>
      <c r="F758" t="s">
        <v>44</v>
      </c>
      <c r="G758" t="s">
        <v>86</v>
      </c>
      <c r="H758">
        <v>11</v>
      </c>
      <c r="I758">
        <v>167.8</v>
      </c>
      <c r="J758">
        <v>0.15</v>
      </c>
      <c r="K758">
        <v>1568.93</v>
      </c>
      <c r="M758" t="str">
        <f t="shared" si="44"/>
        <v>Apr</v>
      </c>
      <c r="N758">
        <f t="shared" si="45"/>
        <v>4</v>
      </c>
      <c r="O758">
        <f t="shared" si="46"/>
        <v>1568.93</v>
      </c>
      <c r="P758" t="str">
        <f t="shared" si="47"/>
        <v>OK</v>
      </c>
    </row>
    <row r="759" spans="1:16" x14ac:dyDescent="0.35">
      <c r="A759" t="s">
        <v>1109</v>
      </c>
      <c r="B759" s="3">
        <v>45631</v>
      </c>
      <c r="C759" t="s">
        <v>33</v>
      </c>
      <c r="D759" t="s">
        <v>57</v>
      </c>
      <c r="E759" t="s">
        <v>470</v>
      </c>
      <c r="F759" t="s">
        <v>53</v>
      </c>
      <c r="G759" t="s">
        <v>59</v>
      </c>
      <c r="H759">
        <v>3</v>
      </c>
      <c r="I759">
        <v>147.51</v>
      </c>
      <c r="J759">
        <v>0</v>
      </c>
      <c r="K759">
        <v>442.53</v>
      </c>
      <c r="M759" t="str">
        <f t="shared" si="44"/>
        <v>Dec</v>
      </c>
      <c r="N759">
        <f t="shared" si="45"/>
        <v>12</v>
      </c>
      <c r="O759">
        <f t="shared" si="46"/>
        <v>442.53</v>
      </c>
      <c r="P759" t="str">
        <f t="shared" si="47"/>
        <v>OK</v>
      </c>
    </row>
    <row r="760" spans="1:16" x14ac:dyDescent="0.35">
      <c r="A760" t="s">
        <v>1110</v>
      </c>
      <c r="B760" s="3">
        <v>45598</v>
      </c>
      <c r="C760" t="s">
        <v>41</v>
      </c>
      <c r="D760" t="s">
        <v>19</v>
      </c>
      <c r="E760" t="s">
        <v>370</v>
      </c>
      <c r="F760" t="s">
        <v>44</v>
      </c>
      <c r="G760" t="s">
        <v>45</v>
      </c>
      <c r="H760">
        <v>1</v>
      </c>
      <c r="I760">
        <v>97.85</v>
      </c>
      <c r="J760">
        <v>0</v>
      </c>
      <c r="K760">
        <v>97.85</v>
      </c>
      <c r="M760" t="str">
        <f t="shared" si="44"/>
        <v>Nov</v>
      </c>
      <c r="N760">
        <f t="shared" si="45"/>
        <v>11</v>
      </c>
      <c r="O760">
        <f t="shared" si="46"/>
        <v>97.85</v>
      </c>
      <c r="P760" t="str">
        <f t="shared" si="47"/>
        <v>OK</v>
      </c>
    </row>
    <row r="761" spans="1:16" x14ac:dyDescent="0.35">
      <c r="A761" t="s">
        <v>1111</v>
      </c>
      <c r="B761" s="3">
        <v>45382</v>
      </c>
      <c r="C761" t="s">
        <v>41</v>
      </c>
      <c r="D761" t="s">
        <v>13</v>
      </c>
      <c r="E761" t="s">
        <v>412</v>
      </c>
      <c r="F761" t="s">
        <v>21</v>
      </c>
      <c r="G761" t="s">
        <v>22</v>
      </c>
      <c r="H761">
        <v>4</v>
      </c>
      <c r="I761">
        <v>173.4</v>
      </c>
      <c r="J761">
        <v>0</v>
      </c>
      <c r="K761">
        <v>693.6</v>
      </c>
      <c r="M761" t="str">
        <f t="shared" si="44"/>
        <v>Mar</v>
      </c>
      <c r="N761">
        <f t="shared" si="45"/>
        <v>3</v>
      </c>
      <c r="O761">
        <f t="shared" si="46"/>
        <v>693.6</v>
      </c>
      <c r="P761" t="str">
        <f t="shared" si="47"/>
        <v>OK</v>
      </c>
    </row>
    <row r="762" spans="1:16" x14ac:dyDescent="0.35">
      <c r="A762" t="s">
        <v>1112</v>
      </c>
      <c r="B762" s="3">
        <v>45454</v>
      </c>
      <c r="C762" t="s">
        <v>18</v>
      </c>
      <c r="D762" t="s">
        <v>42</v>
      </c>
      <c r="E762" t="s">
        <v>439</v>
      </c>
      <c r="F762" t="s">
        <v>35</v>
      </c>
      <c r="G762" t="s">
        <v>83</v>
      </c>
      <c r="H762">
        <v>12</v>
      </c>
      <c r="I762">
        <v>65.2</v>
      </c>
      <c r="J762">
        <v>0</v>
      </c>
      <c r="K762">
        <v>782.4</v>
      </c>
      <c r="M762" t="str">
        <f t="shared" si="44"/>
        <v>Jun</v>
      </c>
      <c r="N762">
        <f t="shared" si="45"/>
        <v>6</v>
      </c>
      <c r="O762">
        <f t="shared" si="46"/>
        <v>782.40000000000009</v>
      </c>
      <c r="P762" t="str">
        <f t="shared" si="47"/>
        <v>OK</v>
      </c>
    </row>
    <row r="763" spans="1:16" x14ac:dyDescent="0.35">
      <c r="A763" t="s">
        <v>1113</v>
      </c>
      <c r="B763" s="3">
        <v>45564</v>
      </c>
      <c r="C763" t="s">
        <v>41</v>
      </c>
      <c r="D763" t="s">
        <v>42</v>
      </c>
      <c r="E763" t="s">
        <v>266</v>
      </c>
      <c r="F763" t="s">
        <v>21</v>
      </c>
      <c r="G763" t="s">
        <v>129</v>
      </c>
      <c r="H763">
        <v>1</v>
      </c>
      <c r="I763">
        <v>166.8</v>
      </c>
      <c r="J763">
        <v>0.1</v>
      </c>
      <c r="K763">
        <v>150.12</v>
      </c>
      <c r="M763" t="str">
        <f t="shared" si="44"/>
        <v>Sep</v>
      </c>
      <c r="N763">
        <f t="shared" si="45"/>
        <v>9</v>
      </c>
      <c r="O763">
        <f t="shared" si="46"/>
        <v>150.12</v>
      </c>
      <c r="P763" t="str">
        <f t="shared" si="47"/>
        <v>OK</v>
      </c>
    </row>
    <row r="764" spans="1:16" x14ac:dyDescent="0.35">
      <c r="A764" t="s">
        <v>1114</v>
      </c>
      <c r="B764" s="3">
        <v>45325</v>
      </c>
      <c r="C764" t="s">
        <v>65</v>
      </c>
      <c r="D764" t="s">
        <v>25</v>
      </c>
      <c r="E764" t="s">
        <v>368</v>
      </c>
      <c r="F764" t="s">
        <v>15</v>
      </c>
      <c r="G764" t="s">
        <v>74</v>
      </c>
      <c r="H764">
        <v>1</v>
      </c>
      <c r="I764">
        <v>37.450000000000003</v>
      </c>
      <c r="J764">
        <v>0</v>
      </c>
      <c r="K764">
        <v>37.450000000000003</v>
      </c>
      <c r="M764" t="str">
        <f t="shared" si="44"/>
        <v>Feb</v>
      </c>
      <c r="N764">
        <f t="shared" si="45"/>
        <v>2</v>
      </c>
      <c r="O764">
        <f t="shared" si="46"/>
        <v>37.450000000000003</v>
      </c>
      <c r="P764" t="str">
        <f t="shared" si="47"/>
        <v>OK</v>
      </c>
    </row>
    <row r="765" spans="1:16" x14ac:dyDescent="0.35">
      <c r="A765" t="s">
        <v>1115</v>
      </c>
      <c r="B765" s="3">
        <v>45486</v>
      </c>
      <c r="C765" t="s">
        <v>41</v>
      </c>
      <c r="D765" t="s">
        <v>42</v>
      </c>
      <c r="E765" t="s">
        <v>199</v>
      </c>
      <c r="F765" t="s">
        <v>53</v>
      </c>
      <c r="G765" t="s">
        <v>63</v>
      </c>
      <c r="H765">
        <v>8</v>
      </c>
      <c r="I765">
        <v>139.08000000000001</v>
      </c>
      <c r="J765">
        <v>0.15</v>
      </c>
      <c r="K765">
        <v>945.74</v>
      </c>
      <c r="M765" t="str">
        <f t="shared" si="44"/>
        <v>Jul</v>
      </c>
      <c r="N765">
        <f t="shared" si="45"/>
        <v>7</v>
      </c>
      <c r="O765">
        <f t="shared" si="46"/>
        <v>945.74400000000003</v>
      </c>
      <c r="P765" t="str">
        <f t="shared" si="47"/>
        <v>OK</v>
      </c>
    </row>
    <row r="766" spans="1:16" x14ac:dyDescent="0.35">
      <c r="A766" t="s">
        <v>1116</v>
      </c>
      <c r="B766" s="3">
        <v>45356</v>
      </c>
      <c r="C766" t="s">
        <v>41</v>
      </c>
      <c r="D766" t="s">
        <v>25</v>
      </c>
      <c r="E766" t="s">
        <v>825</v>
      </c>
      <c r="F766" t="s">
        <v>21</v>
      </c>
      <c r="G766" t="s">
        <v>194</v>
      </c>
      <c r="H766">
        <v>11</v>
      </c>
      <c r="I766">
        <v>56.85</v>
      </c>
      <c r="J766">
        <v>0.15</v>
      </c>
      <c r="K766">
        <v>531.54999999999995</v>
      </c>
      <c r="M766" t="str">
        <f t="shared" si="44"/>
        <v>Mar</v>
      </c>
      <c r="N766">
        <f t="shared" si="45"/>
        <v>3</v>
      </c>
      <c r="O766">
        <f t="shared" si="46"/>
        <v>531.54750000000001</v>
      </c>
      <c r="P766" t="str">
        <f t="shared" si="47"/>
        <v>OK</v>
      </c>
    </row>
    <row r="767" spans="1:16" x14ac:dyDescent="0.35">
      <c r="A767" t="s">
        <v>1117</v>
      </c>
      <c r="B767" s="3">
        <v>45349</v>
      </c>
      <c r="C767" t="s">
        <v>33</v>
      </c>
      <c r="D767" t="s">
        <v>13</v>
      </c>
      <c r="E767" t="s">
        <v>293</v>
      </c>
      <c r="F767" t="s">
        <v>21</v>
      </c>
      <c r="G767" t="s">
        <v>70</v>
      </c>
      <c r="H767">
        <v>8</v>
      </c>
      <c r="I767">
        <v>44.81</v>
      </c>
      <c r="J767">
        <v>0.15</v>
      </c>
      <c r="K767">
        <v>304.70999999999998</v>
      </c>
      <c r="M767" t="str">
        <f t="shared" si="44"/>
        <v>Feb</v>
      </c>
      <c r="N767">
        <f t="shared" si="45"/>
        <v>2</v>
      </c>
      <c r="O767">
        <f t="shared" si="46"/>
        <v>304.70800000000003</v>
      </c>
      <c r="P767" t="str">
        <f t="shared" si="47"/>
        <v>OK</v>
      </c>
    </row>
    <row r="768" spans="1:16" x14ac:dyDescent="0.35">
      <c r="A768" t="s">
        <v>1118</v>
      </c>
      <c r="B768" s="3">
        <v>45352</v>
      </c>
      <c r="C768" t="s">
        <v>18</v>
      </c>
      <c r="D768" t="s">
        <v>19</v>
      </c>
      <c r="E768" t="s">
        <v>2217</v>
      </c>
      <c r="F768" t="s">
        <v>44</v>
      </c>
      <c r="G768" t="s">
        <v>50</v>
      </c>
      <c r="H768">
        <v>12</v>
      </c>
      <c r="I768">
        <v>248.96</v>
      </c>
      <c r="J768">
        <v>0.15</v>
      </c>
      <c r="K768">
        <v>2539.39</v>
      </c>
      <c r="M768" t="str">
        <f t="shared" si="44"/>
        <v>Mar</v>
      </c>
      <c r="N768">
        <f t="shared" si="45"/>
        <v>3</v>
      </c>
      <c r="O768">
        <f t="shared" si="46"/>
        <v>2539.3919999999998</v>
      </c>
      <c r="P768" t="str">
        <f t="shared" si="47"/>
        <v>OK</v>
      </c>
    </row>
    <row r="769" spans="1:16" x14ac:dyDescent="0.35">
      <c r="A769" t="s">
        <v>1119</v>
      </c>
      <c r="B769" s="3">
        <v>45298</v>
      </c>
      <c r="C769" t="s">
        <v>41</v>
      </c>
      <c r="D769" t="s">
        <v>57</v>
      </c>
      <c r="E769" t="s">
        <v>351</v>
      </c>
      <c r="F769" t="s">
        <v>15</v>
      </c>
      <c r="G769" t="s">
        <v>111</v>
      </c>
      <c r="H769">
        <v>4</v>
      </c>
      <c r="I769">
        <v>150.26</v>
      </c>
      <c r="J769">
        <v>0.1</v>
      </c>
      <c r="K769">
        <v>540.94000000000005</v>
      </c>
      <c r="M769" t="str">
        <f t="shared" si="44"/>
        <v>Jan</v>
      </c>
      <c r="N769">
        <f t="shared" si="45"/>
        <v>1</v>
      </c>
      <c r="O769">
        <f t="shared" si="46"/>
        <v>540.93600000000004</v>
      </c>
      <c r="P769" t="str">
        <f t="shared" si="47"/>
        <v>OK</v>
      </c>
    </row>
    <row r="770" spans="1:16" x14ac:dyDescent="0.35">
      <c r="A770" t="s">
        <v>1120</v>
      </c>
      <c r="B770" s="3">
        <v>45361</v>
      </c>
      <c r="C770" t="s">
        <v>24</v>
      </c>
      <c r="D770" t="s">
        <v>42</v>
      </c>
      <c r="E770" t="s">
        <v>433</v>
      </c>
      <c r="F770" t="s">
        <v>44</v>
      </c>
      <c r="G770" t="s">
        <v>45</v>
      </c>
      <c r="H770">
        <v>8</v>
      </c>
      <c r="I770">
        <v>202.15</v>
      </c>
      <c r="J770">
        <v>0</v>
      </c>
      <c r="K770">
        <v>1617.2</v>
      </c>
      <c r="M770" t="str">
        <f t="shared" si="44"/>
        <v>Mar</v>
      </c>
      <c r="N770">
        <f t="shared" si="45"/>
        <v>3</v>
      </c>
      <c r="O770">
        <f t="shared" si="46"/>
        <v>1617.2</v>
      </c>
      <c r="P770" t="str">
        <f t="shared" si="47"/>
        <v>OK</v>
      </c>
    </row>
    <row r="771" spans="1:16" x14ac:dyDescent="0.35">
      <c r="A771" t="s">
        <v>1121</v>
      </c>
      <c r="B771" s="3">
        <v>45497</v>
      </c>
      <c r="C771" t="s">
        <v>18</v>
      </c>
      <c r="D771" t="s">
        <v>2216</v>
      </c>
      <c r="E771" t="s">
        <v>400</v>
      </c>
      <c r="F771" t="s">
        <v>35</v>
      </c>
      <c r="G771" t="s">
        <v>83</v>
      </c>
      <c r="H771">
        <v>8</v>
      </c>
      <c r="I771">
        <v>158.12</v>
      </c>
      <c r="J771">
        <v>0.15</v>
      </c>
      <c r="K771">
        <v>1075.22</v>
      </c>
      <c r="M771" t="str">
        <f t="shared" ref="M771:M834" si="48">TEXT(B771,"mmm")</f>
        <v>Jul</v>
      </c>
      <c r="N771">
        <f t="shared" ref="N771:N834" si="49">MONTH(B771)</f>
        <v>7</v>
      </c>
      <c r="O771">
        <f t="shared" ref="O771:O834" si="50">H771*I771*(1-J771)</f>
        <v>1075.2159999999999</v>
      </c>
      <c r="P771" t="str">
        <f t="shared" ref="P771:P834" si="51">IF(ROUND(K771,2)=ROUND(O771,2),"OK","MISMATCH")</f>
        <v>OK</v>
      </c>
    </row>
    <row r="772" spans="1:16" x14ac:dyDescent="0.35">
      <c r="A772" t="s">
        <v>1122</v>
      </c>
      <c r="B772" s="3">
        <v>45375</v>
      </c>
      <c r="C772" t="s">
        <v>24</v>
      </c>
      <c r="D772" t="s">
        <v>57</v>
      </c>
      <c r="E772" t="s">
        <v>535</v>
      </c>
      <c r="F772" t="s">
        <v>15</v>
      </c>
      <c r="G772" t="s">
        <v>111</v>
      </c>
      <c r="H772">
        <v>10</v>
      </c>
      <c r="I772">
        <v>230.98</v>
      </c>
      <c r="J772">
        <v>0.15</v>
      </c>
      <c r="K772">
        <v>1963.33</v>
      </c>
      <c r="M772" t="str">
        <f t="shared" si="48"/>
        <v>Mar</v>
      </c>
      <c r="N772">
        <f t="shared" si="49"/>
        <v>3</v>
      </c>
      <c r="O772">
        <f t="shared" si="50"/>
        <v>1963.3299999999997</v>
      </c>
      <c r="P772" t="str">
        <f t="shared" si="51"/>
        <v>OK</v>
      </c>
    </row>
    <row r="773" spans="1:16" x14ac:dyDescent="0.35">
      <c r="A773" t="s">
        <v>1123</v>
      </c>
      <c r="B773" s="3">
        <v>45471</v>
      </c>
      <c r="C773" t="s">
        <v>65</v>
      </c>
      <c r="D773" t="s">
        <v>19</v>
      </c>
      <c r="E773" t="s">
        <v>69</v>
      </c>
      <c r="F773" t="s">
        <v>21</v>
      </c>
      <c r="G773" t="s">
        <v>167</v>
      </c>
      <c r="H773">
        <v>2</v>
      </c>
      <c r="I773">
        <v>210.71</v>
      </c>
      <c r="J773">
        <v>0.15</v>
      </c>
      <c r="K773">
        <v>358.21</v>
      </c>
      <c r="M773" t="str">
        <f t="shared" si="48"/>
        <v>Jun</v>
      </c>
      <c r="N773">
        <f t="shared" si="49"/>
        <v>6</v>
      </c>
      <c r="O773">
        <f t="shared" si="50"/>
        <v>358.20699999999999</v>
      </c>
      <c r="P773" t="str">
        <f t="shared" si="51"/>
        <v>OK</v>
      </c>
    </row>
    <row r="774" spans="1:16" x14ac:dyDescent="0.35">
      <c r="A774" t="s">
        <v>1124</v>
      </c>
      <c r="B774" s="3">
        <v>45442</v>
      </c>
      <c r="C774" t="s">
        <v>18</v>
      </c>
      <c r="D774" t="s">
        <v>19</v>
      </c>
      <c r="E774" t="s">
        <v>321</v>
      </c>
      <c r="F774" t="s">
        <v>21</v>
      </c>
      <c r="G774" t="s">
        <v>129</v>
      </c>
      <c r="H774">
        <v>10</v>
      </c>
      <c r="I774">
        <v>237.83</v>
      </c>
      <c r="J774">
        <v>0.1</v>
      </c>
      <c r="K774">
        <v>2140.4699999999998</v>
      </c>
      <c r="M774" t="str">
        <f t="shared" si="48"/>
        <v>May</v>
      </c>
      <c r="N774">
        <f t="shared" si="49"/>
        <v>5</v>
      </c>
      <c r="O774">
        <f t="shared" si="50"/>
        <v>2140.4700000000003</v>
      </c>
      <c r="P774" t="str">
        <f t="shared" si="51"/>
        <v>OK</v>
      </c>
    </row>
    <row r="775" spans="1:16" x14ac:dyDescent="0.35">
      <c r="A775" t="s">
        <v>1125</v>
      </c>
      <c r="B775" s="3">
        <v>45621</v>
      </c>
      <c r="C775" t="s">
        <v>18</v>
      </c>
      <c r="D775" t="s">
        <v>25</v>
      </c>
      <c r="E775" t="s">
        <v>248</v>
      </c>
      <c r="F775" t="s">
        <v>21</v>
      </c>
      <c r="G775" t="s">
        <v>70</v>
      </c>
      <c r="H775">
        <v>12</v>
      </c>
      <c r="I775">
        <v>228.59</v>
      </c>
      <c r="J775">
        <v>0</v>
      </c>
      <c r="K775">
        <v>2743.08</v>
      </c>
      <c r="M775" t="str">
        <f t="shared" si="48"/>
        <v>Nov</v>
      </c>
      <c r="N775">
        <f t="shared" si="49"/>
        <v>11</v>
      </c>
      <c r="O775">
        <f t="shared" si="50"/>
        <v>2743.08</v>
      </c>
      <c r="P775" t="str">
        <f t="shared" si="51"/>
        <v>OK</v>
      </c>
    </row>
    <row r="776" spans="1:16" x14ac:dyDescent="0.35">
      <c r="A776" t="s">
        <v>1126</v>
      </c>
      <c r="B776" s="3">
        <v>45305</v>
      </c>
      <c r="C776" t="s">
        <v>33</v>
      </c>
      <c r="D776" t="s">
        <v>13</v>
      </c>
      <c r="E776" t="s">
        <v>567</v>
      </c>
      <c r="F776" t="s">
        <v>35</v>
      </c>
      <c r="G776" t="s">
        <v>177</v>
      </c>
      <c r="H776">
        <v>2</v>
      </c>
      <c r="I776">
        <v>72.349999999999994</v>
      </c>
      <c r="J776">
        <v>0.1</v>
      </c>
      <c r="K776">
        <v>130.22999999999999</v>
      </c>
      <c r="M776" t="str">
        <f t="shared" si="48"/>
        <v>Jan</v>
      </c>
      <c r="N776">
        <f t="shared" si="49"/>
        <v>1</v>
      </c>
      <c r="O776">
        <f t="shared" si="50"/>
        <v>130.22999999999999</v>
      </c>
      <c r="P776" t="str">
        <f t="shared" si="51"/>
        <v>OK</v>
      </c>
    </row>
    <row r="777" spans="1:16" x14ac:dyDescent="0.35">
      <c r="A777" t="s">
        <v>1127</v>
      </c>
      <c r="B777" s="3">
        <v>45342</v>
      </c>
      <c r="C777" t="s">
        <v>24</v>
      </c>
      <c r="D777" t="s">
        <v>19</v>
      </c>
      <c r="E777" t="s">
        <v>197</v>
      </c>
      <c r="F777" t="s">
        <v>44</v>
      </c>
      <c r="G777" t="s">
        <v>94</v>
      </c>
      <c r="H777">
        <v>2</v>
      </c>
      <c r="I777">
        <v>74.77</v>
      </c>
      <c r="J777">
        <v>0</v>
      </c>
      <c r="K777">
        <v>149.54</v>
      </c>
      <c r="M777" t="str">
        <f t="shared" si="48"/>
        <v>Feb</v>
      </c>
      <c r="N777">
        <f t="shared" si="49"/>
        <v>2</v>
      </c>
      <c r="O777">
        <f t="shared" si="50"/>
        <v>149.54</v>
      </c>
      <c r="P777" t="str">
        <f t="shared" si="51"/>
        <v>OK</v>
      </c>
    </row>
    <row r="778" spans="1:16" x14ac:dyDescent="0.35">
      <c r="A778" t="s">
        <v>1128</v>
      </c>
      <c r="B778" s="3">
        <v>45585</v>
      </c>
      <c r="C778" t="s">
        <v>41</v>
      </c>
      <c r="D778" t="s">
        <v>25</v>
      </c>
      <c r="E778" t="s">
        <v>339</v>
      </c>
      <c r="F778" t="s">
        <v>53</v>
      </c>
      <c r="G778" t="s">
        <v>54</v>
      </c>
      <c r="H778">
        <v>6</v>
      </c>
      <c r="I778">
        <v>142.63</v>
      </c>
      <c r="J778">
        <v>0.15</v>
      </c>
      <c r="K778">
        <v>727.41</v>
      </c>
      <c r="M778" t="str">
        <f t="shared" si="48"/>
        <v>Oct</v>
      </c>
      <c r="N778">
        <f t="shared" si="49"/>
        <v>10</v>
      </c>
      <c r="O778">
        <f t="shared" si="50"/>
        <v>727.41300000000001</v>
      </c>
      <c r="P778" t="str">
        <f t="shared" si="51"/>
        <v>OK</v>
      </c>
    </row>
    <row r="779" spans="1:16" x14ac:dyDescent="0.35">
      <c r="A779" t="s">
        <v>1129</v>
      </c>
      <c r="B779" s="3">
        <v>45349</v>
      </c>
      <c r="C779" t="s">
        <v>41</v>
      </c>
      <c r="D779" t="s">
        <v>42</v>
      </c>
      <c r="E779" t="s">
        <v>674</v>
      </c>
      <c r="F779" t="s">
        <v>15</v>
      </c>
      <c r="G779" t="s">
        <v>111</v>
      </c>
      <c r="H779">
        <v>4</v>
      </c>
      <c r="I779">
        <v>195.46</v>
      </c>
      <c r="J779">
        <v>0.1</v>
      </c>
      <c r="K779">
        <v>703.66</v>
      </c>
      <c r="M779" t="str">
        <f t="shared" si="48"/>
        <v>Feb</v>
      </c>
      <c r="N779">
        <f t="shared" si="49"/>
        <v>2</v>
      </c>
      <c r="O779">
        <f t="shared" si="50"/>
        <v>703.65600000000006</v>
      </c>
      <c r="P779" t="str">
        <f t="shared" si="51"/>
        <v>OK</v>
      </c>
    </row>
    <row r="780" spans="1:16" x14ac:dyDescent="0.35">
      <c r="A780" t="s">
        <v>1130</v>
      </c>
      <c r="B780" s="3">
        <v>45441</v>
      </c>
      <c r="C780" t="s">
        <v>33</v>
      </c>
      <c r="D780" t="s">
        <v>57</v>
      </c>
      <c r="E780" t="s">
        <v>663</v>
      </c>
      <c r="F780" t="s">
        <v>44</v>
      </c>
      <c r="G780" t="s">
        <v>45</v>
      </c>
      <c r="H780">
        <v>2</v>
      </c>
      <c r="I780">
        <v>100.01</v>
      </c>
      <c r="J780">
        <v>0.15</v>
      </c>
      <c r="K780">
        <v>170.02</v>
      </c>
      <c r="M780" t="str">
        <f t="shared" si="48"/>
        <v>May</v>
      </c>
      <c r="N780">
        <f t="shared" si="49"/>
        <v>5</v>
      </c>
      <c r="O780">
        <f t="shared" si="50"/>
        <v>170.017</v>
      </c>
      <c r="P780" t="str">
        <f t="shared" si="51"/>
        <v>OK</v>
      </c>
    </row>
    <row r="781" spans="1:16" x14ac:dyDescent="0.35">
      <c r="A781" t="s">
        <v>1131</v>
      </c>
      <c r="B781" s="3">
        <v>45415</v>
      </c>
      <c r="C781" t="s">
        <v>18</v>
      </c>
      <c r="D781" t="s">
        <v>13</v>
      </c>
      <c r="E781" t="s">
        <v>246</v>
      </c>
      <c r="F781" t="s">
        <v>44</v>
      </c>
      <c r="G781" t="s">
        <v>107</v>
      </c>
      <c r="H781">
        <v>10</v>
      </c>
      <c r="I781">
        <v>129.56</v>
      </c>
      <c r="J781">
        <v>0.1</v>
      </c>
      <c r="K781">
        <v>1166.04</v>
      </c>
      <c r="M781" t="str">
        <f t="shared" si="48"/>
        <v>May</v>
      </c>
      <c r="N781">
        <f t="shared" si="49"/>
        <v>5</v>
      </c>
      <c r="O781">
        <f t="shared" si="50"/>
        <v>1166.04</v>
      </c>
      <c r="P781" t="str">
        <f t="shared" si="51"/>
        <v>OK</v>
      </c>
    </row>
    <row r="782" spans="1:16" x14ac:dyDescent="0.35">
      <c r="A782" t="s">
        <v>1132</v>
      </c>
      <c r="B782" s="3">
        <v>45341</v>
      </c>
      <c r="C782" t="s">
        <v>18</v>
      </c>
      <c r="D782" t="s">
        <v>57</v>
      </c>
      <c r="E782" t="s">
        <v>155</v>
      </c>
      <c r="F782" t="s">
        <v>15</v>
      </c>
      <c r="G782" t="s">
        <v>74</v>
      </c>
      <c r="H782">
        <v>9</v>
      </c>
      <c r="I782">
        <v>243.05</v>
      </c>
      <c r="J782">
        <v>0.1</v>
      </c>
      <c r="K782">
        <v>1968.71</v>
      </c>
      <c r="M782" t="str">
        <f t="shared" si="48"/>
        <v>Feb</v>
      </c>
      <c r="N782">
        <f t="shared" si="49"/>
        <v>2</v>
      </c>
      <c r="O782">
        <f t="shared" si="50"/>
        <v>1968.7050000000004</v>
      </c>
      <c r="P782" t="str">
        <f t="shared" si="51"/>
        <v>OK</v>
      </c>
    </row>
    <row r="783" spans="1:16" x14ac:dyDescent="0.35">
      <c r="A783" t="s">
        <v>1134</v>
      </c>
      <c r="B783" s="3">
        <v>45544</v>
      </c>
      <c r="C783" t="s">
        <v>41</v>
      </c>
      <c r="D783" t="s">
        <v>42</v>
      </c>
      <c r="E783" t="s">
        <v>825</v>
      </c>
      <c r="F783" t="s">
        <v>53</v>
      </c>
      <c r="G783" t="s">
        <v>63</v>
      </c>
      <c r="H783">
        <v>3</v>
      </c>
      <c r="I783">
        <v>26.28</v>
      </c>
      <c r="J783">
        <v>0</v>
      </c>
      <c r="K783">
        <v>78.84</v>
      </c>
      <c r="M783" t="str">
        <f t="shared" si="48"/>
        <v>Sep</v>
      </c>
      <c r="N783">
        <f t="shared" si="49"/>
        <v>9</v>
      </c>
      <c r="O783">
        <f t="shared" si="50"/>
        <v>78.84</v>
      </c>
      <c r="P783" t="str">
        <f t="shared" si="51"/>
        <v>OK</v>
      </c>
    </row>
    <row r="784" spans="1:16" x14ac:dyDescent="0.35">
      <c r="A784" t="s">
        <v>1135</v>
      </c>
      <c r="B784" s="3">
        <v>45590</v>
      </c>
      <c r="C784" t="s">
        <v>41</v>
      </c>
      <c r="D784" t="s">
        <v>25</v>
      </c>
      <c r="E784" t="s">
        <v>2217</v>
      </c>
      <c r="F784" t="s">
        <v>44</v>
      </c>
      <c r="G784" t="s">
        <v>86</v>
      </c>
      <c r="H784">
        <v>10</v>
      </c>
      <c r="I784">
        <v>5.66</v>
      </c>
      <c r="J784">
        <v>0</v>
      </c>
      <c r="K784">
        <v>56.6</v>
      </c>
      <c r="M784" t="str">
        <f t="shared" si="48"/>
        <v>Oct</v>
      </c>
      <c r="N784">
        <f t="shared" si="49"/>
        <v>10</v>
      </c>
      <c r="O784">
        <f t="shared" si="50"/>
        <v>56.6</v>
      </c>
      <c r="P784" t="str">
        <f t="shared" si="51"/>
        <v>OK</v>
      </c>
    </row>
    <row r="785" spans="1:16" x14ac:dyDescent="0.35">
      <c r="A785" t="s">
        <v>1136</v>
      </c>
      <c r="B785" s="3">
        <v>45431</v>
      </c>
      <c r="C785" t="s">
        <v>41</v>
      </c>
      <c r="D785" t="s">
        <v>42</v>
      </c>
      <c r="E785" t="s">
        <v>293</v>
      </c>
      <c r="F785" t="s">
        <v>35</v>
      </c>
      <c r="G785" t="s">
        <v>36</v>
      </c>
      <c r="H785">
        <v>10</v>
      </c>
      <c r="I785">
        <v>112.25</v>
      </c>
      <c r="J785">
        <v>0</v>
      </c>
      <c r="K785">
        <v>1122.5</v>
      </c>
      <c r="M785" t="str">
        <f t="shared" si="48"/>
        <v>May</v>
      </c>
      <c r="N785">
        <f t="shared" si="49"/>
        <v>5</v>
      </c>
      <c r="O785">
        <f t="shared" si="50"/>
        <v>1122.5</v>
      </c>
      <c r="P785" t="str">
        <f t="shared" si="51"/>
        <v>OK</v>
      </c>
    </row>
    <row r="786" spans="1:16" x14ac:dyDescent="0.35">
      <c r="A786" t="s">
        <v>1137</v>
      </c>
      <c r="B786" s="3">
        <v>45651</v>
      </c>
      <c r="C786" t="s">
        <v>18</v>
      </c>
      <c r="D786" t="s">
        <v>2216</v>
      </c>
      <c r="E786" t="s">
        <v>259</v>
      </c>
      <c r="F786" t="s">
        <v>15</v>
      </c>
      <c r="G786" t="s">
        <v>27</v>
      </c>
      <c r="H786">
        <v>4</v>
      </c>
      <c r="I786">
        <v>22.44</v>
      </c>
      <c r="J786">
        <v>0</v>
      </c>
      <c r="K786">
        <v>89.76</v>
      </c>
      <c r="M786" t="str">
        <f t="shared" si="48"/>
        <v>Dec</v>
      </c>
      <c r="N786">
        <f t="shared" si="49"/>
        <v>12</v>
      </c>
      <c r="O786">
        <f t="shared" si="50"/>
        <v>89.76</v>
      </c>
      <c r="P786" t="str">
        <f t="shared" si="51"/>
        <v>OK</v>
      </c>
    </row>
    <row r="787" spans="1:16" x14ac:dyDescent="0.35">
      <c r="A787" t="s">
        <v>1138</v>
      </c>
      <c r="B787" s="3">
        <v>45584</v>
      </c>
      <c r="C787" t="s">
        <v>18</v>
      </c>
      <c r="D787" t="s">
        <v>57</v>
      </c>
      <c r="E787" t="s">
        <v>155</v>
      </c>
      <c r="F787" t="s">
        <v>35</v>
      </c>
      <c r="G787" t="s">
        <v>177</v>
      </c>
      <c r="H787">
        <v>5</v>
      </c>
      <c r="I787">
        <v>196.72</v>
      </c>
      <c r="J787">
        <v>0</v>
      </c>
      <c r="K787">
        <v>983.6</v>
      </c>
      <c r="M787" t="str">
        <f t="shared" si="48"/>
        <v>Oct</v>
      </c>
      <c r="N787">
        <f t="shared" si="49"/>
        <v>10</v>
      </c>
      <c r="O787">
        <f t="shared" si="50"/>
        <v>983.6</v>
      </c>
      <c r="P787" t="str">
        <f t="shared" si="51"/>
        <v>OK</v>
      </c>
    </row>
    <row r="788" spans="1:16" x14ac:dyDescent="0.35">
      <c r="A788" t="s">
        <v>1139</v>
      </c>
      <c r="B788" s="3">
        <v>45612</v>
      </c>
      <c r="C788" t="s">
        <v>41</v>
      </c>
      <c r="D788" t="s">
        <v>25</v>
      </c>
      <c r="E788" t="s">
        <v>385</v>
      </c>
      <c r="F788" t="s">
        <v>44</v>
      </c>
      <c r="G788" t="s">
        <v>107</v>
      </c>
      <c r="H788">
        <v>9</v>
      </c>
      <c r="I788">
        <v>151.69999999999999</v>
      </c>
      <c r="J788">
        <v>0.15</v>
      </c>
      <c r="K788">
        <v>1160.5</v>
      </c>
      <c r="M788" t="str">
        <f t="shared" si="48"/>
        <v>Nov</v>
      </c>
      <c r="N788">
        <f t="shared" si="49"/>
        <v>11</v>
      </c>
      <c r="O788">
        <f t="shared" si="50"/>
        <v>1160.5049999999999</v>
      </c>
      <c r="P788" t="str">
        <f t="shared" si="51"/>
        <v>MISMATCH</v>
      </c>
    </row>
    <row r="789" spans="1:16" x14ac:dyDescent="0.35">
      <c r="A789" t="s">
        <v>1141</v>
      </c>
      <c r="B789" s="3">
        <v>45317</v>
      </c>
      <c r="C789" t="s">
        <v>65</v>
      </c>
      <c r="D789" t="s">
        <v>57</v>
      </c>
      <c r="E789" t="s">
        <v>693</v>
      </c>
      <c r="F789" t="s">
        <v>21</v>
      </c>
      <c r="G789" t="s">
        <v>129</v>
      </c>
      <c r="H789">
        <v>11</v>
      </c>
      <c r="I789">
        <v>126.25</v>
      </c>
      <c r="J789">
        <v>0.15</v>
      </c>
      <c r="K789">
        <v>1180.44</v>
      </c>
      <c r="M789" t="str">
        <f t="shared" si="48"/>
        <v>Jan</v>
      </c>
      <c r="N789">
        <f t="shared" si="49"/>
        <v>1</v>
      </c>
      <c r="O789">
        <f t="shared" si="50"/>
        <v>1180.4375</v>
      </c>
      <c r="P789" t="str">
        <f t="shared" si="51"/>
        <v>OK</v>
      </c>
    </row>
    <row r="790" spans="1:16" x14ac:dyDescent="0.35">
      <c r="A790" t="s">
        <v>1142</v>
      </c>
      <c r="B790" s="3">
        <v>45313</v>
      </c>
      <c r="C790" t="s">
        <v>24</v>
      </c>
      <c r="D790" t="s">
        <v>25</v>
      </c>
      <c r="E790" t="s">
        <v>117</v>
      </c>
      <c r="F790" t="s">
        <v>44</v>
      </c>
      <c r="G790" t="s">
        <v>94</v>
      </c>
      <c r="H790">
        <v>11</v>
      </c>
      <c r="I790">
        <v>241.34</v>
      </c>
      <c r="J790">
        <v>0.1</v>
      </c>
      <c r="K790">
        <v>2389.27</v>
      </c>
      <c r="M790" t="str">
        <f t="shared" si="48"/>
        <v>Jan</v>
      </c>
      <c r="N790">
        <f t="shared" si="49"/>
        <v>1</v>
      </c>
      <c r="O790">
        <f t="shared" si="50"/>
        <v>2389.2660000000001</v>
      </c>
      <c r="P790" t="str">
        <f t="shared" si="51"/>
        <v>OK</v>
      </c>
    </row>
    <row r="791" spans="1:16" x14ac:dyDescent="0.35">
      <c r="A791" t="s">
        <v>1143</v>
      </c>
      <c r="B791" s="3">
        <v>45481</v>
      </c>
      <c r="C791" t="s">
        <v>18</v>
      </c>
      <c r="D791" t="s">
        <v>13</v>
      </c>
      <c r="E791" t="s">
        <v>152</v>
      </c>
      <c r="F791" t="s">
        <v>15</v>
      </c>
      <c r="G791" t="s">
        <v>147</v>
      </c>
      <c r="H791">
        <v>8</v>
      </c>
      <c r="I791">
        <v>83.18</v>
      </c>
      <c r="J791">
        <v>0</v>
      </c>
      <c r="K791">
        <v>665.44</v>
      </c>
      <c r="M791" t="str">
        <f t="shared" si="48"/>
        <v>Jul</v>
      </c>
      <c r="N791">
        <f t="shared" si="49"/>
        <v>7</v>
      </c>
      <c r="O791">
        <f t="shared" si="50"/>
        <v>665.44</v>
      </c>
      <c r="P791" t="str">
        <f t="shared" si="51"/>
        <v>OK</v>
      </c>
    </row>
    <row r="792" spans="1:16" x14ac:dyDescent="0.35">
      <c r="A792" t="s">
        <v>1144</v>
      </c>
      <c r="B792" s="3">
        <v>45397</v>
      </c>
      <c r="C792" t="s">
        <v>41</v>
      </c>
      <c r="D792" t="s">
        <v>13</v>
      </c>
      <c r="E792" t="s">
        <v>330</v>
      </c>
      <c r="F792" t="s">
        <v>44</v>
      </c>
      <c r="G792" t="s">
        <v>94</v>
      </c>
      <c r="H792">
        <v>11</v>
      </c>
      <c r="I792">
        <v>147.35</v>
      </c>
      <c r="J792">
        <v>0</v>
      </c>
      <c r="K792">
        <v>1620.85</v>
      </c>
      <c r="M792" t="str">
        <f t="shared" si="48"/>
        <v>Apr</v>
      </c>
      <c r="N792">
        <f t="shared" si="49"/>
        <v>4</v>
      </c>
      <c r="O792">
        <f t="shared" si="50"/>
        <v>1620.85</v>
      </c>
      <c r="P792" t="str">
        <f t="shared" si="51"/>
        <v>OK</v>
      </c>
    </row>
    <row r="793" spans="1:16" x14ac:dyDescent="0.35">
      <c r="A793" t="s">
        <v>1145</v>
      </c>
      <c r="B793" s="3">
        <v>45315</v>
      </c>
      <c r="C793" t="s">
        <v>65</v>
      </c>
      <c r="D793" t="s">
        <v>19</v>
      </c>
      <c r="E793" t="s">
        <v>296</v>
      </c>
      <c r="F793" t="s">
        <v>21</v>
      </c>
      <c r="G793" t="s">
        <v>167</v>
      </c>
      <c r="H793">
        <v>9</v>
      </c>
      <c r="I793">
        <v>91.19</v>
      </c>
      <c r="J793">
        <v>0.15</v>
      </c>
      <c r="K793">
        <v>697.6</v>
      </c>
      <c r="M793" t="str">
        <f t="shared" si="48"/>
        <v>Jan</v>
      </c>
      <c r="N793">
        <f t="shared" si="49"/>
        <v>1</v>
      </c>
      <c r="O793">
        <f t="shared" si="50"/>
        <v>697.60350000000005</v>
      </c>
      <c r="P793" t="str">
        <f t="shared" si="51"/>
        <v>OK</v>
      </c>
    </row>
    <row r="794" spans="1:16" x14ac:dyDescent="0.35">
      <c r="A794" t="s">
        <v>1147</v>
      </c>
      <c r="B794" s="3">
        <v>45469</v>
      </c>
      <c r="C794" t="s">
        <v>41</v>
      </c>
      <c r="D794" t="s">
        <v>19</v>
      </c>
      <c r="E794" t="s">
        <v>128</v>
      </c>
      <c r="F794" t="s">
        <v>44</v>
      </c>
      <c r="G794" t="s">
        <v>45</v>
      </c>
      <c r="H794">
        <v>10</v>
      </c>
      <c r="I794">
        <v>248.75</v>
      </c>
      <c r="J794">
        <v>0.1</v>
      </c>
      <c r="K794">
        <v>2238.75</v>
      </c>
      <c r="M794" t="str">
        <f t="shared" si="48"/>
        <v>Jun</v>
      </c>
      <c r="N794">
        <f t="shared" si="49"/>
        <v>6</v>
      </c>
      <c r="O794">
        <f t="shared" si="50"/>
        <v>2238.75</v>
      </c>
      <c r="P794" t="str">
        <f t="shared" si="51"/>
        <v>OK</v>
      </c>
    </row>
    <row r="795" spans="1:16" x14ac:dyDescent="0.35">
      <c r="A795" t="s">
        <v>1148</v>
      </c>
      <c r="B795" s="3">
        <v>45401</v>
      </c>
      <c r="C795" t="s">
        <v>18</v>
      </c>
      <c r="D795" t="s">
        <v>2216</v>
      </c>
      <c r="E795" t="s">
        <v>73</v>
      </c>
      <c r="F795" t="s">
        <v>35</v>
      </c>
      <c r="G795" t="s">
        <v>83</v>
      </c>
      <c r="H795">
        <v>2</v>
      </c>
      <c r="I795">
        <v>39.630000000000003</v>
      </c>
      <c r="J795">
        <v>0.1</v>
      </c>
      <c r="K795">
        <v>71.33</v>
      </c>
      <c r="M795" t="str">
        <f t="shared" si="48"/>
        <v>Apr</v>
      </c>
      <c r="N795">
        <f t="shared" si="49"/>
        <v>4</v>
      </c>
      <c r="O795">
        <f t="shared" si="50"/>
        <v>71.334000000000003</v>
      </c>
      <c r="P795" t="str">
        <f t="shared" si="51"/>
        <v>OK</v>
      </c>
    </row>
    <row r="796" spans="1:16" x14ac:dyDescent="0.35">
      <c r="A796" t="s">
        <v>1149</v>
      </c>
      <c r="B796" s="3">
        <v>45298</v>
      </c>
      <c r="C796" t="s">
        <v>41</v>
      </c>
      <c r="D796" t="s">
        <v>25</v>
      </c>
      <c r="E796" t="s">
        <v>521</v>
      </c>
      <c r="F796" t="s">
        <v>21</v>
      </c>
      <c r="G796" t="s">
        <v>194</v>
      </c>
      <c r="H796">
        <v>3</v>
      </c>
      <c r="I796">
        <v>233.81</v>
      </c>
      <c r="J796">
        <v>0.05</v>
      </c>
      <c r="K796">
        <v>666.36</v>
      </c>
      <c r="M796" t="str">
        <f t="shared" si="48"/>
        <v>Jan</v>
      </c>
      <c r="N796">
        <f t="shared" si="49"/>
        <v>1</v>
      </c>
      <c r="O796">
        <f t="shared" si="50"/>
        <v>666.35850000000005</v>
      </c>
      <c r="P796" t="str">
        <f t="shared" si="51"/>
        <v>OK</v>
      </c>
    </row>
    <row r="797" spans="1:16" x14ac:dyDescent="0.35">
      <c r="A797" t="s">
        <v>1150</v>
      </c>
      <c r="B797" s="3">
        <v>45544</v>
      </c>
      <c r="C797" t="s">
        <v>41</v>
      </c>
      <c r="D797" t="s">
        <v>19</v>
      </c>
      <c r="E797" t="s">
        <v>315</v>
      </c>
      <c r="F797" t="s">
        <v>53</v>
      </c>
      <c r="G797" t="s">
        <v>59</v>
      </c>
      <c r="H797">
        <v>8</v>
      </c>
      <c r="I797">
        <v>85.52</v>
      </c>
      <c r="J797">
        <v>0.1</v>
      </c>
      <c r="K797">
        <v>615.74</v>
      </c>
      <c r="M797" t="str">
        <f t="shared" si="48"/>
        <v>Sep</v>
      </c>
      <c r="N797">
        <f t="shared" si="49"/>
        <v>9</v>
      </c>
      <c r="O797">
        <f t="shared" si="50"/>
        <v>615.74400000000003</v>
      </c>
      <c r="P797" t="str">
        <f t="shared" si="51"/>
        <v>OK</v>
      </c>
    </row>
    <row r="798" spans="1:16" x14ac:dyDescent="0.35">
      <c r="A798" t="s">
        <v>1151</v>
      </c>
      <c r="B798" s="3">
        <v>45627</v>
      </c>
      <c r="C798" t="s">
        <v>65</v>
      </c>
      <c r="D798" t="s">
        <v>13</v>
      </c>
      <c r="E798" t="s">
        <v>385</v>
      </c>
      <c r="F798" t="s">
        <v>44</v>
      </c>
      <c r="G798" t="s">
        <v>107</v>
      </c>
      <c r="H798">
        <v>2</v>
      </c>
      <c r="I798">
        <v>244.03</v>
      </c>
      <c r="J798">
        <v>0</v>
      </c>
      <c r="K798">
        <v>488.06</v>
      </c>
      <c r="M798" t="str">
        <f t="shared" si="48"/>
        <v>Dec</v>
      </c>
      <c r="N798">
        <f t="shared" si="49"/>
        <v>12</v>
      </c>
      <c r="O798">
        <f t="shared" si="50"/>
        <v>488.06</v>
      </c>
      <c r="P798" t="str">
        <f t="shared" si="51"/>
        <v>OK</v>
      </c>
    </row>
    <row r="799" spans="1:16" x14ac:dyDescent="0.35">
      <c r="A799" t="s">
        <v>1152</v>
      </c>
      <c r="B799" s="3">
        <v>45338</v>
      </c>
      <c r="C799" t="s">
        <v>65</v>
      </c>
      <c r="D799" t="s">
        <v>13</v>
      </c>
      <c r="E799" t="s">
        <v>693</v>
      </c>
      <c r="F799" t="s">
        <v>35</v>
      </c>
      <c r="G799" t="s">
        <v>36</v>
      </c>
      <c r="H799">
        <v>7</v>
      </c>
      <c r="I799">
        <v>85.05</v>
      </c>
      <c r="J799">
        <v>0</v>
      </c>
      <c r="K799">
        <v>595.35</v>
      </c>
      <c r="M799" t="str">
        <f t="shared" si="48"/>
        <v>Feb</v>
      </c>
      <c r="N799">
        <f t="shared" si="49"/>
        <v>2</v>
      </c>
      <c r="O799">
        <f t="shared" si="50"/>
        <v>595.35</v>
      </c>
      <c r="P799" t="str">
        <f t="shared" si="51"/>
        <v>OK</v>
      </c>
    </row>
    <row r="800" spans="1:16" x14ac:dyDescent="0.35">
      <c r="A800" t="s">
        <v>1153</v>
      </c>
      <c r="B800" s="3">
        <v>45406</v>
      </c>
      <c r="C800" t="s">
        <v>65</v>
      </c>
      <c r="D800" t="s">
        <v>2216</v>
      </c>
      <c r="E800" t="s">
        <v>951</v>
      </c>
      <c r="F800" t="s">
        <v>44</v>
      </c>
      <c r="G800" t="s">
        <v>107</v>
      </c>
      <c r="H800">
        <v>4</v>
      </c>
      <c r="I800">
        <v>65.11</v>
      </c>
      <c r="J800">
        <v>0.05</v>
      </c>
      <c r="K800">
        <v>247.42</v>
      </c>
      <c r="M800" t="str">
        <f t="shared" si="48"/>
        <v>Apr</v>
      </c>
      <c r="N800">
        <f t="shared" si="49"/>
        <v>4</v>
      </c>
      <c r="O800">
        <f t="shared" si="50"/>
        <v>247.41799999999998</v>
      </c>
      <c r="P800" t="str">
        <f t="shared" si="51"/>
        <v>OK</v>
      </c>
    </row>
    <row r="801" spans="1:16" x14ac:dyDescent="0.35">
      <c r="A801" t="s">
        <v>1154</v>
      </c>
      <c r="B801" s="3">
        <v>45649</v>
      </c>
      <c r="C801" t="s">
        <v>65</v>
      </c>
      <c r="D801" t="s">
        <v>57</v>
      </c>
      <c r="E801" t="s">
        <v>1155</v>
      </c>
      <c r="F801" t="s">
        <v>21</v>
      </c>
      <c r="G801" t="s">
        <v>70</v>
      </c>
      <c r="H801">
        <v>1</v>
      </c>
      <c r="I801">
        <v>248</v>
      </c>
      <c r="J801">
        <v>0.05</v>
      </c>
      <c r="K801">
        <v>235.6</v>
      </c>
      <c r="M801" t="str">
        <f t="shared" si="48"/>
        <v>Dec</v>
      </c>
      <c r="N801">
        <f t="shared" si="49"/>
        <v>12</v>
      </c>
      <c r="O801">
        <f t="shared" si="50"/>
        <v>235.6</v>
      </c>
      <c r="P801" t="str">
        <f t="shared" si="51"/>
        <v>OK</v>
      </c>
    </row>
    <row r="802" spans="1:16" x14ac:dyDescent="0.35">
      <c r="A802" t="s">
        <v>1156</v>
      </c>
      <c r="B802" s="3">
        <v>45395</v>
      </c>
      <c r="C802" t="s">
        <v>33</v>
      </c>
      <c r="D802" t="s">
        <v>19</v>
      </c>
      <c r="E802" t="s">
        <v>189</v>
      </c>
      <c r="F802" t="s">
        <v>21</v>
      </c>
      <c r="G802" t="s">
        <v>70</v>
      </c>
      <c r="H802">
        <v>1</v>
      </c>
      <c r="I802">
        <v>107.38</v>
      </c>
      <c r="J802">
        <v>0.15</v>
      </c>
      <c r="K802">
        <v>91.27</v>
      </c>
      <c r="M802" t="str">
        <f t="shared" si="48"/>
        <v>Apr</v>
      </c>
      <c r="N802">
        <f t="shared" si="49"/>
        <v>4</v>
      </c>
      <c r="O802">
        <f t="shared" si="50"/>
        <v>91.272999999999996</v>
      </c>
      <c r="P802" t="str">
        <f t="shared" si="51"/>
        <v>OK</v>
      </c>
    </row>
    <row r="803" spans="1:16" x14ac:dyDescent="0.35">
      <c r="A803" t="s">
        <v>1157</v>
      </c>
      <c r="B803" s="3">
        <v>45525</v>
      </c>
      <c r="C803" t="s">
        <v>41</v>
      </c>
      <c r="D803" t="s">
        <v>57</v>
      </c>
      <c r="E803" t="s">
        <v>110</v>
      </c>
      <c r="F803" t="s">
        <v>53</v>
      </c>
      <c r="G803" t="s">
        <v>125</v>
      </c>
      <c r="H803">
        <v>10</v>
      </c>
      <c r="I803">
        <v>222.1</v>
      </c>
      <c r="J803">
        <v>0</v>
      </c>
      <c r="K803">
        <v>2221</v>
      </c>
      <c r="M803" t="str">
        <f t="shared" si="48"/>
        <v>Aug</v>
      </c>
      <c r="N803">
        <f t="shared" si="49"/>
        <v>8</v>
      </c>
      <c r="O803">
        <f t="shared" si="50"/>
        <v>2221</v>
      </c>
      <c r="P803" t="str">
        <f t="shared" si="51"/>
        <v>OK</v>
      </c>
    </row>
    <row r="804" spans="1:16" x14ac:dyDescent="0.35">
      <c r="A804" t="s">
        <v>1158</v>
      </c>
      <c r="B804" s="3">
        <v>45630</v>
      </c>
      <c r="C804" t="s">
        <v>18</v>
      </c>
      <c r="D804" t="s">
        <v>42</v>
      </c>
      <c r="E804" t="s">
        <v>1159</v>
      </c>
      <c r="F804" t="s">
        <v>44</v>
      </c>
      <c r="G804" t="s">
        <v>86</v>
      </c>
      <c r="H804">
        <v>11</v>
      </c>
      <c r="I804">
        <v>21.89</v>
      </c>
      <c r="J804">
        <v>0</v>
      </c>
      <c r="K804">
        <v>240.79</v>
      </c>
      <c r="M804" t="str">
        <f t="shared" si="48"/>
        <v>Dec</v>
      </c>
      <c r="N804">
        <f t="shared" si="49"/>
        <v>12</v>
      </c>
      <c r="O804">
        <f t="shared" si="50"/>
        <v>240.79000000000002</v>
      </c>
      <c r="P804" t="str">
        <f t="shared" si="51"/>
        <v>OK</v>
      </c>
    </row>
    <row r="805" spans="1:16" x14ac:dyDescent="0.35">
      <c r="A805" t="s">
        <v>1160</v>
      </c>
      <c r="B805" s="3">
        <v>45642</v>
      </c>
      <c r="C805" t="s">
        <v>24</v>
      </c>
      <c r="D805" t="s">
        <v>19</v>
      </c>
      <c r="E805" t="s">
        <v>120</v>
      </c>
      <c r="F805" t="s">
        <v>44</v>
      </c>
      <c r="G805" t="s">
        <v>45</v>
      </c>
      <c r="H805">
        <v>12</v>
      </c>
      <c r="I805">
        <v>174.86</v>
      </c>
      <c r="J805">
        <v>0.15</v>
      </c>
      <c r="K805">
        <v>1783.57</v>
      </c>
      <c r="M805" t="str">
        <f t="shared" si="48"/>
        <v>Dec</v>
      </c>
      <c r="N805">
        <f t="shared" si="49"/>
        <v>12</v>
      </c>
      <c r="O805">
        <f t="shared" si="50"/>
        <v>1783.5720000000001</v>
      </c>
      <c r="P805" t="str">
        <f t="shared" si="51"/>
        <v>OK</v>
      </c>
    </row>
    <row r="806" spans="1:16" x14ac:dyDescent="0.35">
      <c r="A806" t="s">
        <v>1162</v>
      </c>
      <c r="B806" s="3">
        <v>45394</v>
      </c>
      <c r="C806" t="s">
        <v>18</v>
      </c>
      <c r="D806" t="s">
        <v>25</v>
      </c>
      <c r="E806" t="s">
        <v>620</v>
      </c>
      <c r="F806" t="s">
        <v>21</v>
      </c>
      <c r="G806" t="s">
        <v>22</v>
      </c>
      <c r="H806">
        <v>5</v>
      </c>
      <c r="I806">
        <v>79.72</v>
      </c>
      <c r="J806">
        <v>0.1</v>
      </c>
      <c r="K806">
        <v>358.74</v>
      </c>
      <c r="M806" t="str">
        <f t="shared" si="48"/>
        <v>Apr</v>
      </c>
      <c r="N806">
        <f t="shared" si="49"/>
        <v>4</v>
      </c>
      <c r="O806">
        <f t="shared" si="50"/>
        <v>358.74</v>
      </c>
      <c r="P806" t="str">
        <f t="shared" si="51"/>
        <v>OK</v>
      </c>
    </row>
    <row r="807" spans="1:16" x14ac:dyDescent="0.35">
      <c r="A807" t="s">
        <v>1163</v>
      </c>
      <c r="B807" s="3">
        <v>45514</v>
      </c>
      <c r="C807" t="s">
        <v>24</v>
      </c>
      <c r="D807" t="s">
        <v>57</v>
      </c>
      <c r="E807" t="s">
        <v>199</v>
      </c>
      <c r="F807" t="s">
        <v>44</v>
      </c>
      <c r="G807" t="s">
        <v>107</v>
      </c>
      <c r="H807">
        <v>2</v>
      </c>
      <c r="I807">
        <v>180.98</v>
      </c>
      <c r="J807">
        <v>0.15</v>
      </c>
      <c r="K807">
        <v>307.67</v>
      </c>
      <c r="M807" t="str">
        <f t="shared" si="48"/>
        <v>Aug</v>
      </c>
      <c r="N807">
        <f t="shared" si="49"/>
        <v>8</v>
      </c>
      <c r="O807">
        <f t="shared" si="50"/>
        <v>307.666</v>
      </c>
      <c r="P807" t="str">
        <f t="shared" si="51"/>
        <v>OK</v>
      </c>
    </row>
    <row r="808" spans="1:16" x14ac:dyDescent="0.35">
      <c r="A808" t="s">
        <v>1164</v>
      </c>
      <c r="B808" s="3">
        <v>45332</v>
      </c>
      <c r="C808" t="s">
        <v>24</v>
      </c>
      <c r="D808" t="s">
        <v>57</v>
      </c>
      <c r="E808" t="s">
        <v>454</v>
      </c>
      <c r="F808" t="s">
        <v>53</v>
      </c>
      <c r="G808" t="s">
        <v>260</v>
      </c>
      <c r="H808">
        <v>4</v>
      </c>
      <c r="I808">
        <v>32.19</v>
      </c>
      <c r="J808">
        <v>0.15</v>
      </c>
      <c r="K808">
        <v>109.45</v>
      </c>
      <c r="M808" t="str">
        <f t="shared" si="48"/>
        <v>Feb</v>
      </c>
      <c r="N808">
        <f t="shared" si="49"/>
        <v>2</v>
      </c>
      <c r="O808">
        <f t="shared" si="50"/>
        <v>109.44599999999998</v>
      </c>
      <c r="P808" t="str">
        <f t="shared" si="51"/>
        <v>OK</v>
      </c>
    </row>
    <row r="809" spans="1:16" x14ac:dyDescent="0.35">
      <c r="A809" t="s">
        <v>1165</v>
      </c>
      <c r="B809" s="3">
        <v>45633</v>
      </c>
      <c r="C809" t="s">
        <v>24</v>
      </c>
      <c r="D809" t="s">
        <v>19</v>
      </c>
      <c r="E809" t="s">
        <v>445</v>
      </c>
      <c r="F809" t="s">
        <v>53</v>
      </c>
      <c r="G809" t="s">
        <v>63</v>
      </c>
      <c r="H809">
        <v>12</v>
      </c>
      <c r="I809">
        <v>84.91</v>
      </c>
      <c r="J809">
        <v>0</v>
      </c>
      <c r="K809">
        <v>1018.92</v>
      </c>
      <c r="M809" t="str">
        <f t="shared" si="48"/>
        <v>Dec</v>
      </c>
      <c r="N809">
        <f t="shared" si="49"/>
        <v>12</v>
      </c>
      <c r="O809">
        <f t="shared" si="50"/>
        <v>1018.92</v>
      </c>
      <c r="P809" t="str">
        <f t="shared" si="51"/>
        <v>OK</v>
      </c>
    </row>
    <row r="810" spans="1:16" x14ac:dyDescent="0.35">
      <c r="A810" t="s">
        <v>1166</v>
      </c>
      <c r="B810" s="3">
        <v>45308</v>
      </c>
      <c r="C810" t="s">
        <v>41</v>
      </c>
      <c r="D810" t="s">
        <v>25</v>
      </c>
      <c r="E810" t="s">
        <v>243</v>
      </c>
      <c r="F810" t="s">
        <v>21</v>
      </c>
      <c r="G810" t="s">
        <v>167</v>
      </c>
      <c r="H810">
        <v>10</v>
      </c>
      <c r="I810">
        <v>152.59</v>
      </c>
      <c r="J810">
        <v>0</v>
      </c>
      <c r="K810">
        <v>1525.9</v>
      </c>
      <c r="M810" t="str">
        <f t="shared" si="48"/>
        <v>Jan</v>
      </c>
      <c r="N810">
        <f t="shared" si="49"/>
        <v>1</v>
      </c>
      <c r="O810">
        <f t="shared" si="50"/>
        <v>1525.9</v>
      </c>
      <c r="P810" t="str">
        <f t="shared" si="51"/>
        <v>OK</v>
      </c>
    </row>
    <row r="811" spans="1:16" x14ac:dyDescent="0.35">
      <c r="A811" t="s">
        <v>1168</v>
      </c>
      <c r="B811" s="3">
        <v>45515</v>
      </c>
      <c r="C811" t="s">
        <v>65</v>
      </c>
      <c r="D811" t="s">
        <v>19</v>
      </c>
      <c r="E811" t="s">
        <v>286</v>
      </c>
      <c r="F811" t="s">
        <v>44</v>
      </c>
      <c r="G811" t="s">
        <v>45</v>
      </c>
      <c r="H811">
        <v>11</v>
      </c>
      <c r="I811">
        <v>45.78</v>
      </c>
      <c r="J811">
        <v>0.05</v>
      </c>
      <c r="K811">
        <v>478.4</v>
      </c>
      <c r="M811" t="str">
        <f t="shared" si="48"/>
        <v>Aug</v>
      </c>
      <c r="N811">
        <f t="shared" si="49"/>
        <v>8</v>
      </c>
      <c r="O811">
        <f t="shared" si="50"/>
        <v>478.40100000000001</v>
      </c>
      <c r="P811" t="str">
        <f t="shared" si="51"/>
        <v>OK</v>
      </c>
    </row>
    <row r="812" spans="1:16" x14ac:dyDescent="0.35">
      <c r="A812" t="s">
        <v>1169</v>
      </c>
      <c r="B812" s="3">
        <v>45648</v>
      </c>
      <c r="C812" t="s">
        <v>18</v>
      </c>
      <c r="D812" t="s">
        <v>19</v>
      </c>
      <c r="E812" t="s">
        <v>150</v>
      </c>
      <c r="F812" t="s">
        <v>35</v>
      </c>
      <c r="G812" t="s">
        <v>83</v>
      </c>
      <c r="H812">
        <v>11</v>
      </c>
      <c r="I812">
        <v>125.87</v>
      </c>
      <c r="J812">
        <v>0</v>
      </c>
      <c r="K812">
        <v>1384.57</v>
      </c>
      <c r="M812" t="str">
        <f t="shared" si="48"/>
        <v>Dec</v>
      </c>
      <c r="N812">
        <f t="shared" si="49"/>
        <v>12</v>
      </c>
      <c r="O812">
        <f t="shared" si="50"/>
        <v>1384.5700000000002</v>
      </c>
      <c r="P812" t="str">
        <f t="shared" si="51"/>
        <v>OK</v>
      </c>
    </row>
    <row r="813" spans="1:16" x14ac:dyDescent="0.35">
      <c r="A813" t="s">
        <v>1170</v>
      </c>
      <c r="B813" s="3">
        <v>45564</v>
      </c>
      <c r="C813" t="s">
        <v>41</v>
      </c>
      <c r="D813" t="s">
        <v>42</v>
      </c>
      <c r="E813" t="s">
        <v>113</v>
      </c>
      <c r="F813" t="s">
        <v>44</v>
      </c>
      <c r="G813" t="s">
        <v>50</v>
      </c>
      <c r="H813">
        <v>10</v>
      </c>
      <c r="I813">
        <v>99.23</v>
      </c>
      <c r="J813">
        <v>0.15</v>
      </c>
      <c r="K813">
        <v>843.46</v>
      </c>
      <c r="M813" t="str">
        <f t="shared" si="48"/>
        <v>Sep</v>
      </c>
      <c r="N813">
        <f t="shared" si="49"/>
        <v>9</v>
      </c>
      <c r="O813">
        <f t="shared" si="50"/>
        <v>843.45500000000004</v>
      </c>
      <c r="P813" t="str">
        <f t="shared" si="51"/>
        <v>OK</v>
      </c>
    </row>
    <row r="814" spans="1:16" x14ac:dyDescent="0.35">
      <c r="A814" t="s">
        <v>1172</v>
      </c>
      <c r="B814" s="3">
        <v>45408</v>
      </c>
      <c r="C814" t="s">
        <v>41</v>
      </c>
      <c r="D814" t="s">
        <v>13</v>
      </c>
      <c r="E814" t="s">
        <v>620</v>
      </c>
      <c r="F814" t="s">
        <v>35</v>
      </c>
      <c r="G814" t="s">
        <v>83</v>
      </c>
      <c r="H814">
        <v>9</v>
      </c>
      <c r="I814">
        <v>121.24</v>
      </c>
      <c r="J814">
        <v>0.1</v>
      </c>
      <c r="K814">
        <v>982.04</v>
      </c>
      <c r="M814" t="str">
        <f t="shared" si="48"/>
        <v>Apr</v>
      </c>
      <c r="N814">
        <f t="shared" si="49"/>
        <v>4</v>
      </c>
      <c r="O814">
        <f t="shared" si="50"/>
        <v>982.04399999999987</v>
      </c>
      <c r="P814" t="str">
        <f t="shared" si="51"/>
        <v>OK</v>
      </c>
    </row>
    <row r="815" spans="1:16" x14ac:dyDescent="0.35">
      <c r="A815" t="s">
        <v>1173</v>
      </c>
      <c r="B815" s="3">
        <v>45524</v>
      </c>
      <c r="C815" t="s">
        <v>24</v>
      </c>
      <c r="D815" t="s">
        <v>19</v>
      </c>
      <c r="E815" t="s">
        <v>221</v>
      </c>
      <c r="F815" t="s">
        <v>44</v>
      </c>
      <c r="G815" t="s">
        <v>45</v>
      </c>
      <c r="H815">
        <v>7</v>
      </c>
      <c r="I815">
        <v>61.3</v>
      </c>
      <c r="J815">
        <v>0</v>
      </c>
      <c r="K815">
        <v>429.1</v>
      </c>
      <c r="M815" t="str">
        <f t="shared" si="48"/>
        <v>Aug</v>
      </c>
      <c r="N815">
        <f t="shared" si="49"/>
        <v>8</v>
      </c>
      <c r="O815">
        <f t="shared" si="50"/>
        <v>429.09999999999997</v>
      </c>
      <c r="P815" t="str">
        <f t="shared" si="51"/>
        <v>OK</v>
      </c>
    </row>
    <row r="816" spans="1:16" x14ac:dyDescent="0.35">
      <c r="A816" t="s">
        <v>1174</v>
      </c>
      <c r="B816" s="3">
        <v>45311</v>
      </c>
      <c r="C816" t="s">
        <v>24</v>
      </c>
      <c r="D816" t="s">
        <v>42</v>
      </c>
      <c r="E816" t="s">
        <v>731</v>
      </c>
      <c r="F816" t="s">
        <v>35</v>
      </c>
      <c r="G816" t="s">
        <v>134</v>
      </c>
      <c r="H816">
        <v>10</v>
      </c>
      <c r="I816">
        <v>99.28</v>
      </c>
      <c r="J816">
        <v>0</v>
      </c>
      <c r="K816">
        <v>992.8</v>
      </c>
      <c r="M816" t="str">
        <f t="shared" si="48"/>
        <v>Jan</v>
      </c>
      <c r="N816">
        <f t="shared" si="49"/>
        <v>1</v>
      </c>
      <c r="O816">
        <f t="shared" si="50"/>
        <v>992.8</v>
      </c>
      <c r="P816" t="str">
        <f t="shared" si="51"/>
        <v>OK</v>
      </c>
    </row>
    <row r="817" spans="1:16" x14ac:dyDescent="0.35">
      <c r="A817" t="s">
        <v>1175</v>
      </c>
      <c r="B817" s="3">
        <v>45445</v>
      </c>
      <c r="C817" t="s">
        <v>24</v>
      </c>
      <c r="D817" t="s">
        <v>57</v>
      </c>
      <c r="E817" t="s">
        <v>88</v>
      </c>
      <c r="F817" t="s">
        <v>44</v>
      </c>
      <c r="G817" t="s">
        <v>107</v>
      </c>
      <c r="H817">
        <v>7</v>
      </c>
      <c r="I817">
        <v>206.47</v>
      </c>
      <c r="J817">
        <v>0.05</v>
      </c>
      <c r="K817">
        <v>1373.03</v>
      </c>
      <c r="M817" t="str">
        <f t="shared" si="48"/>
        <v>Jun</v>
      </c>
      <c r="N817">
        <f t="shared" si="49"/>
        <v>6</v>
      </c>
      <c r="O817">
        <f t="shared" si="50"/>
        <v>1373.0255</v>
      </c>
      <c r="P817" t="str">
        <f t="shared" si="51"/>
        <v>OK</v>
      </c>
    </row>
    <row r="818" spans="1:16" x14ac:dyDescent="0.35">
      <c r="A818" t="s">
        <v>1176</v>
      </c>
      <c r="B818" s="3">
        <v>45613</v>
      </c>
      <c r="C818" t="s">
        <v>24</v>
      </c>
      <c r="D818" t="s">
        <v>42</v>
      </c>
      <c r="E818" t="s">
        <v>225</v>
      </c>
      <c r="F818" t="s">
        <v>44</v>
      </c>
      <c r="G818" t="s">
        <v>50</v>
      </c>
      <c r="H818">
        <v>5</v>
      </c>
      <c r="I818">
        <v>162.27000000000001</v>
      </c>
      <c r="J818">
        <v>0.05</v>
      </c>
      <c r="K818">
        <v>770.78</v>
      </c>
      <c r="M818" t="str">
        <f t="shared" si="48"/>
        <v>Nov</v>
      </c>
      <c r="N818">
        <f t="shared" si="49"/>
        <v>11</v>
      </c>
      <c r="O818">
        <f t="shared" si="50"/>
        <v>770.78250000000003</v>
      </c>
      <c r="P818" t="str">
        <f t="shared" si="51"/>
        <v>OK</v>
      </c>
    </row>
    <row r="819" spans="1:16" x14ac:dyDescent="0.35">
      <c r="A819" t="s">
        <v>1177</v>
      </c>
      <c r="B819" s="3">
        <v>45576</v>
      </c>
      <c r="C819" t="s">
        <v>33</v>
      </c>
      <c r="D819" t="s">
        <v>19</v>
      </c>
      <c r="E819" t="s">
        <v>106</v>
      </c>
      <c r="F819" t="s">
        <v>44</v>
      </c>
      <c r="G819" t="s">
        <v>86</v>
      </c>
      <c r="H819">
        <v>9</v>
      </c>
      <c r="I819">
        <v>199.15</v>
      </c>
      <c r="J819">
        <v>0.05</v>
      </c>
      <c r="K819">
        <v>1702.73</v>
      </c>
      <c r="M819" t="str">
        <f t="shared" si="48"/>
        <v>Oct</v>
      </c>
      <c r="N819">
        <f t="shared" si="49"/>
        <v>10</v>
      </c>
      <c r="O819">
        <f t="shared" si="50"/>
        <v>1702.7325000000001</v>
      </c>
      <c r="P819" t="str">
        <f t="shared" si="51"/>
        <v>OK</v>
      </c>
    </row>
    <row r="820" spans="1:16" x14ac:dyDescent="0.35">
      <c r="A820" t="s">
        <v>1178</v>
      </c>
      <c r="B820" s="3">
        <v>45393</v>
      </c>
      <c r="C820" t="s">
        <v>65</v>
      </c>
      <c r="D820" t="s">
        <v>42</v>
      </c>
      <c r="E820" t="s">
        <v>693</v>
      </c>
      <c r="F820" t="s">
        <v>35</v>
      </c>
      <c r="G820" t="s">
        <v>83</v>
      </c>
      <c r="H820">
        <v>2</v>
      </c>
      <c r="I820">
        <v>61.37</v>
      </c>
      <c r="J820">
        <v>0</v>
      </c>
      <c r="K820">
        <v>122.74</v>
      </c>
      <c r="M820" t="str">
        <f t="shared" si="48"/>
        <v>Apr</v>
      </c>
      <c r="N820">
        <f t="shared" si="49"/>
        <v>4</v>
      </c>
      <c r="O820">
        <f t="shared" si="50"/>
        <v>122.74</v>
      </c>
      <c r="P820" t="str">
        <f t="shared" si="51"/>
        <v>OK</v>
      </c>
    </row>
    <row r="821" spans="1:16" x14ac:dyDescent="0.35">
      <c r="A821" t="s">
        <v>1179</v>
      </c>
      <c r="B821" s="3">
        <v>45338</v>
      </c>
      <c r="C821" t="s">
        <v>41</v>
      </c>
      <c r="D821" t="s">
        <v>57</v>
      </c>
      <c r="E821" t="s">
        <v>1159</v>
      </c>
      <c r="F821" t="s">
        <v>53</v>
      </c>
      <c r="G821" t="s">
        <v>260</v>
      </c>
      <c r="H821">
        <v>1</v>
      </c>
      <c r="I821">
        <v>145.72</v>
      </c>
      <c r="J821">
        <v>0.1</v>
      </c>
      <c r="K821">
        <v>131.15</v>
      </c>
      <c r="M821" t="str">
        <f t="shared" si="48"/>
        <v>Feb</v>
      </c>
      <c r="N821">
        <f t="shared" si="49"/>
        <v>2</v>
      </c>
      <c r="O821">
        <f t="shared" si="50"/>
        <v>131.148</v>
      </c>
      <c r="P821" t="str">
        <f t="shared" si="51"/>
        <v>OK</v>
      </c>
    </row>
    <row r="822" spans="1:16" x14ac:dyDescent="0.35">
      <c r="A822" t="s">
        <v>1180</v>
      </c>
      <c r="B822" s="3">
        <v>45362</v>
      </c>
      <c r="C822" t="s">
        <v>41</v>
      </c>
      <c r="D822" t="s">
        <v>42</v>
      </c>
      <c r="E822" t="s">
        <v>206</v>
      </c>
      <c r="F822" t="s">
        <v>15</v>
      </c>
      <c r="G822" t="s">
        <v>27</v>
      </c>
      <c r="H822">
        <v>3</v>
      </c>
      <c r="I822">
        <v>70.239999999999995</v>
      </c>
      <c r="J822">
        <v>0</v>
      </c>
      <c r="K822">
        <v>210.72</v>
      </c>
      <c r="M822" t="str">
        <f t="shared" si="48"/>
        <v>Mar</v>
      </c>
      <c r="N822">
        <f t="shared" si="49"/>
        <v>3</v>
      </c>
      <c r="O822">
        <f t="shared" si="50"/>
        <v>210.71999999999997</v>
      </c>
      <c r="P822" t="str">
        <f t="shared" si="51"/>
        <v>OK</v>
      </c>
    </row>
    <row r="823" spans="1:16" x14ac:dyDescent="0.35">
      <c r="A823" t="s">
        <v>1181</v>
      </c>
      <c r="B823" s="3">
        <v>45302</v>
      </c>
      <c r="C823" t="s">
        <v>18</v>
      </c>
      <c r="D823" t="s">
        <v>42</v>
      </c>
      <c r="E823" t="s">
        <v>368</v>
      </c>
      <c r="F823" t="s">
        <v>35</v>
      </c>
      <c r="G823" t="s">
        <v>83</v>
      </c>
      <c r="H823">
        <v>10</v>
      </c>
      <c r="I823">
        <v>236.92</v>
      </c>
      <c r="J823">
        <v>0</v>
      </c>
      <c r="K823">
        <v>2369.1999999999998</v>
      </c>
      <c r="M823" t="str">
        <f t="shared" si="48"/>
        <v>Jan</v>
      </c>
      <c r="N823">
        <f t="shared" si="49"/>
        <v>1</v>
      </c>
      <c r="O823">
        <f t="shared" si="50"/>
        <v>2369.1999999999998</v>
      </c>
      <c r="P823" t="str">
        <f t="shared" si="51"/>
        <v>OK</v>
      </c>
    </row>
    <row r="824" spans="1:16" x14ac:dyDescent="0.35">
      <c r="A824" t="s">
        <v>1182</v>
      </c>
      <c r="B824" s="3">
        <v>45636</v>
      </c>
      <c r="C824" t="s">
        <v>41</v>
      </c>
      <c r="D824" t="s">
        <v>13</v>
      </c>
      <c r="E824" t="s">
        <v>567</v>
      </c>
      <c r="F824" t="s">
        <v>35</v>
      </c>
      <c r="G824" t="s">
        <v>177</v>
      </c>
      <c r="H824">
        <v>1</v>
      </c>
      <c r="I824">
        <v>67.64</v>
      </c>
      <c r="J824">
        <v>0.15</v>
      </c>
      <c r="K824">
        <v>57.49</v>
      </c>
      <c r="M824" t="str">
        <f t="shared" si="48"/>
        <v>Dec</v>
      </c>
      <c r="N824">
        <f t="shared" si="49"/>
        <v>12</v>
      </c>
      <c r="O824">
        <f t="shared" si="50"/>
        <v>57.494</v>
      </c>
      <c r="P824" t="str">
        <f t="shared" si="51"/>
        <v>OK</v>
      </c>
    </row>
    <row r="825" spans="1:16" x14ac:dyDescent="0.35">
      <c r="A825" t="s">
        <v>1183</v>
      </c>
      <c r="B825" s="3">
        <v>45515</v>
      </c>
      <c r="C825" t="s">
        <v>33</v>
      </c>
      <c r="D825" t="s">
        <v>57</v>
      </c>
      <c r="E825" t="s">
        <v>683</v>
      </c>
      <c r="F825" t="s">
        <v>35</v>
      </c>
      <c r="G825" t="s">
        <v>36</v>
      </c>
      <c r="H825">
        <v>11</v>
      </c>
      <c r="I825">
        <v>243.25</v>
      </c>
      <c r="J825">
        <v>0.05</v>
      </c>
      <c r="K825">
        <v>2541.96</v>
      </c>
      <c r="M825" t="str">
        <f t="shared" si="48"/>
        <v>Aug</v>
      </c>
      <c r="N825">
        <f t="shared" si="49"/>
        <v>8</v>
      </c>
      <c r="O825">
        <f t="shared" si="50"/>
        <v>2541.9625000000001</v>
      </c>
      <c r="P825" t="str">
        <f t="shared" si="51"/>
        <v>OK</v>
      </c>
    </row>
    <row r="826" spans="1:16" x14ac:dyDescent="0.35">
      <c r="A826" t="s">
        <v>1184</v>
      </c>
      <c r="B826" s="3">
        <v>45457</v>
      </c>
      <c r="C826" t="s">
        <v>33</v>
      </c>
      <c r="D826" t="s">
        <v>42</v>
      </c>
      <c r="E826" t="s">
        <v>825</v>
      </c>
      <c r="F826" t="s">
        <v>53</v>
      </c>
      <c r="G826" t="s">
        <v>63</v>
      </c>
      <c r="H826">
        <v>12</v>
      </c>
      <c r="I826">
        <v>245.43</v>
      </c>
      <c r="J826">
        <v>0</v>
      </c>
      <c r="K826">
        <v>2945.16</v>
      </c>
      <c r="M826" t="str">
        <f t="shared" si="48"/>
        <v>Jun</v>
      </c>
      <c r="N826">
        <f t="shared" si="49"/>
        <v>6</v>
      </c>
      <c r="O826">
        <f t="shared" si="50"/>
        <v>2945.16</v>
      </c>
      <c r="P826" t="str">
        <f t="shared" si="51"/>
        <v>OK</v>
      </c>
    </row>
    <row r="827" spans="1:16" x14ac:dyDescent="0.35">
      <c r="A827" t="s">
        <v>1186</v>
      </c>
      <c r="B827" s="3">
        <v>45461</v>
      </c>
      <c r="C827" t="s">
        <v>33</v>
      </c>
      <c r="D827" t="s">
        <v>57</v>
      </c>
      <c r="E827" t="s">
        <v>531</v>
      </c>
      <c r="F827" t="s">
        <v>15</v>
      </c>
      <c r="G827" t="s">
        <v>16</v>
      </c>
      <c r="H827">
        <v>8</v>
      </c>
      <c r="I827">
        <v>18</v>
      </c>
      <c r="J827">
        <v>0</v>
      </c>
      <c r="K827">
        <v>144</v>
      </c>
      <c r="M827" t="str">
        <f t="shared" si="48"/>
        <v>Jun</v>
      </c>
      <c r="N827">
        <f t="shared" si="49"/>
        <v>6</v>
      </c>
      <c r="O827">
        <f t="shared" si="50"/>
        <v>144</v>
      </c>
      <c r="P827" t="str">
        <f t="shared" si="51"/>
        <v>OK</v>
      </c>
    </row>
    <row r="828" spans="1:16" x14ac:dyDescent="0.35">
      <c r="A828" t="s">
        <v>1187</v>
      </c>
      <c r="B828" s="3">
        <v>45614</v>
      </c>
      <c r="C828" t="s">
        <v>33</v>
      </c>
      <c r="D828" t="s">
        <v>42</v>
      </c>
      <c r="E828" t="s">
        <v>833</v>
      </c>
      <c r="F828" t="s">
        <v>35</v>
      </c>
      <c r="G828" t="s">
        <v>83</v>
      </c>
      <c r="H828">
        <v>8</v>
      </c>
      <c r="I828">
        <v>20.83</v>
      </c>
      <c r="J828">
        <v>0</v>
      </c>
      <c r="K828">
        <v>166.64</v>
      </c>
      <c r="M828" t="str">
        <f t="shared" si="48"/>
        <v>Nov</v>
      </c>
      <c r="N828">
        <f t="shared" si="49"/>
        <v>11</v>
      </c>
      <c r="O828">
        <f t="shared" si="50"/>
        <v>166.64</v>
      </c>
      <c r="P828" t="str">
        <f t="shared" si="51"/>
        <v>OK</v>
      </c>
    </row>
    <row r="829" spans="1:16" x14ac:dyDescent="0.35">
      <c r="A829" t="s">
        <v>1188</v>
      </c>
      <c r="B829" s="3">
        <v>45407</v>
      </c>
      <c r="C829" t="s">
        <v>33</v>
      </c>
      <c r="D829" t="s">
        <v>19</v>
      </c>
      <c r="E829" t="s">
        <v>472</v>
      </c>
      <c r="F829" t="s">
        <v>53</v>
      </c>
      <c r="G829" t="s">
        <v>59</v>
      </c>
      <c r="H829">
        <v>3</v>
      </c>
      <c r="I829">
        <v>143.24</v>
      </c>
      <c r="J829">
        <v>0.15</v>
      </c>
      <c r="K829">
        <v>365.26</v>
      </c>
      <c r="M829" t="str">
        <f t="shared" si="48"/>
        <v>Apr</v>
      </c>
      <c r="N829">
        <f t="shared" si="49"/>
        <v>4</v>
      </c>
      <c r="O829">
        <f t="shared" si="50"/>
        <v>365.262</v>
      </c>
      <c r="P829" t="str">
        <f t="shared" si="51"/>
        <v>OK</v>
      </c>
    </row>
    <row r="830" spans="1:16" x14ac:dyDescent="0.35">
      <c r="A830" t="s">
        <v>1189</v>
      </c>
      <c r="B830" s="3">
        <v>45547</v>
      </c>
      <c r="C830" t="s">
        <v>41</v>
      </c>
      <c r="D830" t="s">
        <v>19</v>
      </c>
      <c r="E830" t="s">
        <v>404</v>
      </c>
      <c r="F830" t="s">
        <v>15</v>
      </c>
      <c r="G830" t="s">
        <v>111</v>
      </c>
      <c r="H830">
        <v>11</v>
      </c>
      <c r="I830">
        <v>144.5</v>
      </c>
      <c r="J830">
        <v>0</v>
      </c>
      <c r="K830">
        <v>1589.5</v>
      </c>
      <c r="M830" t="str">
        <f t="shared" si="48"/>
        <v>Sep</v>
      </c>
      <c r="N830">
        <f t="shared" si="49"/>
        <v>9</v>
      </c>
      <c r="O830">
        <f t="shared" si="50"/>
        <v>1589.5</v>
      </c>
      <c r="P830" t="str">
        <f t="shared" si="51"/>
        <v>OK</v>
      </c>
    </row>
    <row r="831" spans="1:16" x14ac:dyDescent="0.35">
      <c r="A831" t="s">
        <v>1190</v>
      </c>
      <c r="B831" s="3">
        <v>45413</v>
      </c>
      <c r="C831" t="s">
        <v>65</v>
      </c>
      <c r="D831" t="s">
        <v>2216</v>
      </c>
      <c r="E831" t="s">
        <v>902</v>
      </c>
      <c r="F831" t="s">
        <v>53</v>
      </c>
      <c r="G831" t="s">
        <v>54</v>
      </c>
      <c r="H831">
        <v>5</v>
      </c>
      <c r="I831">
        <v>55.2</v>
      </c>
      <c r="J831">
        <v>0</v>
      </c>
      <c r="K831">
        <v>276</v>
      </c>
      <c r="M831" t="str">
        <f t="shared" si="48"/>
        <v>May</v>
      </c>
      <c r="N831">
        <f t="shared" si="49"/>
        <v>5</v>
      </c>
      <c r="O831">
        <f t="shared" si="50"/>
        <v>276</v>
      </c>
      <c r="P831" t="str">
        <f t="shared" si="51"/>
        <v>OK</v>
      </c>
    </row>
    <row r="832" spans="1:16" x14ac:dyDescent="0.35">
      <c r="A832" t="s">
        <v>1191</v>
      </c>
      <c r="B832" s="3">
        <v>45503</v>
      </c>
      <c r="C832" t="s">
        <v>33</v>
      </c>
      <c r="D832" t="s">
        <v>42</v>
      </c>
      <c r="E832" t="s">
        <v>304</v>
      </c>
      <c r="F832" t="s">
        <v>53</v>
      </c>
      <c r="G832" t="s">
        <v>63</v>
      </c>
      <c r="H832">
        <v>9</v>
      </c>
      <c r="I832">
        <v>86.78</v>
      </c>
      <c r="J832">
        <v>0.15</v>
      </c>
      <c r="K832">
        <v>663.87</v>
      </c>
      <c r="M832" t="str">
        <f t="shared" si="48"/>
        <v>Jul</v>
      </c>
      <c r="N832">
        <f t="shared" si="49"/>
        <v>7</v>
      </c>
      <c r="O832">
        <f t="shared" si="50"/>
        <v>663.86699999999996</v>
      </c>
      <c r="P832" t="str">
        <f t="shared" si="51"/>
        <v>OK</v>
      </c>
    </row>
    <row r="833" spans="1:16" x14ac:dyDescent="0.35">
      <c r="A833" t="s">
        <v>1192</v>
      </c>
      <c r="B833" s="3">
        <v>45559</v>
      </c>
      <c r="C833" t="s">
        <v>24</v>
      </c>
      <c r="D833" t="s">
        <v>2216</v>
      </c>
      <c r="E833" t="s">
        <v>238</v>
      </c>
      <c r="F833" t="s">
        <v>53</v>
      </c>
      <c r="G833" t="s">
        <v>260</v>
      </c>
      <c r="H833">
        <v>4</v>
      </c>
      <c r="I833">
        <v>235.33</v>
      </c>
      <c r="J833">
        <v>0</v>
      </c>
      <c r="K833">
        <v>941.32</v>
      </c>
      <c r="M833" t="str">
        <f t="shared" si="48"/>
        <v>Sep</v>
      </c>
      <c r="N833">
        <f t="shared" si="49"/>
        <v>9</v>
      </c>
      <c r="O833">
        <f t="shared" si="50"/>
        <v>941.32</v>
      </c>
      <c r="P833" t="str">
        <f t="shared" si="51"/>
        <v>OK</v>
      </c>
    </row>
    <row r="834" spans="1:16" x14ac:dyDescent="0.35">
      <c r="A834" t="s">
        <v>1193</v>
      </c>
      <c r="B834" s="3">
        <v>45449</v>
      </c>
      <c r="C834" t="s">
        <v>41</v>
      </c>
      <c r="D834" t="s">
        <v>42</v>
      </c>
      <c r="E834" t="s">
        <v>346</v>
      </c>
      <c r="F834" t="s">
        <v>53</v>
      </c>
      <c r="G834" t="s">
        <v>63</v>
      </c>
      <c r="H834">
        <v>5</v>
      </c>
      <c r="I834">
        <v>199.06</v>
      </c>
      <c r="J834">
        <v>0.1</v>
      </c>
      <c r="K834">
        <v>895.77</v>
      </c>
      <c r="M834" t="str">
        <f t="shared" si="48"/>
        <v>Jun</v>
      </c>
      <c r="N834">
        <f t="shared" si="49"/>
        <v>6</v>
      </c>
      <c r="O834">
        <f t="shared" si="50"/>
        <v>895.77</v>
      </c>
      <c r="P834" t="str">
        <f t="shared" si="51"/>
        <v>OK</v>
      </c>
    </row>
    <row r="835" spans="1:16" x14ac:dyDescent="0.35">
      <c r="A835" t="s">
        <v>1194</v>
      </c>
      <c r="B835" s="3">
        <v>45550</v>
      </c>
      <c r="C835" t="s">
        <v>24</v>
      </c>
      <c r="D835" t="s">
        <v>57</v>
      </c>
      <c r="E835" t="s">
        <v>663</v>
      </c>
      <c r="F835" t="s">
        <v>21</v>
      </c>
      <c r="G835" t="s">
        <v>22</v>
      </c>
      <c r="H835">
        <v>5</v>
      </c>
      <c r="I835">
        <v>189.37</v>
      </c>
      <c r="J835">
        <v>0</v>
      </c>
      <c r="K835">
        <v>946.85</v>
      </c>
      <c r="M835" t="str">
        <f t="shared" ref="M835:M898" si="52">TEXT(B835,"mmm")</f>
        <v>Sep</v>
      </c>
      <c r="N835">
        <f t="shared" ref="N835:N898" si="53">MONTH(B835)</f>
        <v>9</v>
      </c>
      <c r="O835">
        <f t="shared" ref="O835:O898" si="54">H835*I835*(1-J835)</f>
        <v>946.85</v>
      </c>
      <c r="P835" t="str">
        <f t="shared" ref="P835:P898" si="55">IF(ROUND(K835,2)=ROUND(O835,2),"OK","MISMATCH")</f>
        <v>OK</v>
      </c>
    </row>
    <row r="836" spans="1:16" x14ac:dyDescent="0.35">
      <c r="A836" t="s">
        <v>1195</v>
      </c>
      <c r="B836" s="3">
        <v>45471</v>
      </c>
      <c r="C836" t="s">
        <v>24</v>
      </c>
      <c r="D836" t="s">
        <v>57</v>
      </c>
      <c r="E836" t="s">
        <v>346</v>
      </c>
      <c r="F836" t="s">
        <v>35</v>
      </c>
      <c r="G836" t="s">
        <v>36</v>
      </c>
      <c r="H836">
        <v>3</v>
      </c>
      <c r="I836">
        <v>118</v>
      </c>
      <c r="J836">
        <v>0</v>
      </c>
      <c r="K836">
        <v>354</v>
      </c>
      <c r="M836" t="str">
        <f t="shared" si="52"/>
        <v>Jun</v>
      </c>
      <c r="N836">
        <f t="shared" si="53"/>
        <v>6</v>
      </c>
      <c r="O836">
        <f t="shared" si="54"/>
        <v>354</v>
      </c>
      <c r="P836" t="str">
        <f t="shared" si="55"/>
        <v>OK</v>
      </c>
    </row>
    <row r="837" spans="1:16" x14ac:dyDescent="0.35">
      <c r="A837" t="s">
        <v>1196</v>
      </c>
      <c r="B837" s="3">
        <v>45639</v>
      </c>
      <c r="C837" t="s">
        <v>18</v>
      </c>
      <c r="D837" t="s">
        <v>25</v>
      </c>
      <c r="E837" t="s">
        <v>620</v>
      </c>
      <c r="F837" t="s">
        <v>21</v>
      </c>
      <c r="G837" t="s">
        <v>167</v>
      </c>
      <c r="H837">
        <v>9</v>
      </c>
      <c r="I837">
        <v>182.87</v>
      </c>
      <c r="J837">
        <v>0.1</v>
      </c>
      <c r="K837">
        <v>1481.25</v>
      </c>
      <c r="M837" t="str">
        <f t="shared" si="52"/>
        <v>Dec</v>
      </c>
      <c r="N837">
        <f t="shared" si="53"/>
        <v>12</v>
      </c>
      <c r="O837">
        <f t="shared" si="54"/>
        <v>1481.2470000000001</v>
      </c>
      <c r="P837" t="str">
        <f t="shared" si="55"/>
        <v>OK</v>
      </c>
    </row>
    <row r="838" spans="1:16" x14ac:dyDescent="0.35">
      <c r="A838" t="s">
        <v>1197</v>
      </c>
      <c r="B838" s="3">
        <v>45435</v>
      </c>
      <c r="C838" t="s">
        <v>24</v>
      </c>
      <c r="D838" t="s">
        <v>19</v>
      </c>
      <c r="E838" t="s">
        <v>842</v>
      </c>
      <c r="F838" t="s">
        <v>53</v>
      </c>
      <c r="G838" t="s">
        <v>59</v>
      </c>
      <c r="H838">
        <v>4</v>
      </c>
      <c r="I838">
        <v>179.34</v>
      </c>
      <c r="J838">
        <v>0</v>
      </c>
      <c r="K838">
        <v>717.36</v>
      </c>
      <c r="M838" t="str">
        <f t="shared" si="52"/>
        <v>May</v>
      </c>
      <c r="N838">
        <f t="shared" si="53"/>
        <v>5</v>
      </c>
      <c r="O838">
        <f t="shared" si="54"/>
        <v>717.36</v>
      </c>
      <c r="P838" t="str">
        <f t="shared" si="55"/>
        <v>OK</v>
      </c>
    </row>
    <row r="839" spans="1:16" x14ac:dyDescent="0.35">
      <c r="A839" t="s">
        <v>1198</v>
      </c>
      <c r="B839" s="3">
        <v>45443</v>
      </c>
      <c r="C839" t="s">
        <v>41</v>
      </c>
      <c r="D839" t="s">
        <v>42</v>
      </c>
      <c r="E839" t="s">
        <v>336</v>
      </c>
      <c r="F839" t="s">
        <v>44</v>
      </c>
      <c r="G839" t="s">
        <v>45</v>
      </c>
      <c r="H839">
        <v>4</v>
      </c>
      <c r="I839">
        <v>197.03</v>
      </c>
      <c r="J839">
        <v>0.05</v>
      </c>
      <c r="K839">
        <v>748.71</v>
      </c>
      <c r="M839" t="str">
        <f t="shared" si="52"/>
        <v>May</v>
      </c>
      <c r="N839">
        <f t="shared" si="53"/>
        <v>5</v>
      </c>
      <c r="O839">
        <f t="shared" si="54"/>
        <v>748.71399999999994</v>
      </c>
      <c r="P839" t="str">
        <f t="shared" si="55"/>
        <v>OK</v>
      </c>
    </row>
    <row r="840" spans="1:16" x14ac:dyDescent="0.35">
      <c r="A840" t="s">
        <v>1199</v>
      </c>
      <c r="B840" s="3">
        <v>45451</v>
      </c>
      <c r="C840" t="s">
        <v>33</v>
      </c>
      <c r="D840" t="s">
        <v>25</v>
      </c>
      <c r="E840" t="s">
        <v>309</v>
      </c>
      <c r="F840" t="s">
        <v>21</v>
      </c>
      <c r="G840" t="s">
        <v>194</v>
      </c>
      <c r="H840">
        <v>9</v>
      </c>
      <c r="I840">
        <v>226.38</v>
      </c>
      <c r="J840">
        <v>0</v>
      </c>
      <c r="K840">
        <v>2037.42</v>
      </c>
      <c r="M840" t="str">
        <f t="shared" si="52"/>
        <v>Jun</v>
      </c>
      <c r="N840">
        <f t="shared" si="53"/>
        <v>6</v>
      </c>
      <c r="O840">
        <f t="shared" si="54"/>
        <v>2037.42</v>
      </c>
      <c r="P840" t="str">
        <f t="shared" si="55"/>
        <v>OK</v>
      </c>
    </row>
    <row r="841" spans="1:16" x14ac:dyDescent="0.35">
      <c r="A841" t="s">
        <v>1200</v>
      </c>
      <c r="B841" s="3">
        <v>45504</v>
      </c>
      <c r="C841" t="s">
        <v>33</v>
      </c>
      <c r="D841" t="s">
        <v>57</v>
      </c>
      <c r="E841" t="s">
        <v>334</v>
      </c>
      <c r="F841" t="s">
        <v>44</v>
      </c>
      <c r="G841" t="s">
        <v>94</v>
      </c>
      <c r="H841">
        <v>7</v>
      </c>
      <c r="I841">
        <v>49.56</v>
      </c>
      <c r="J841">
        <v>0.1</v>
      </c>
      <c r="K841">
        <v>312.23</v>
      </c>
      <c r="M841" t="str">
        <f t="shared" si="52"/>
        <v>Jul</v>
      </c>
      <c r="N841">
        <f t="shared" si="53"/>
        <v>7</v>
      </c>
      <c r="O841">
        <f t="shared" si="54"/>
        <v>312.22800000000001</v>
      </c>
      <c r="P841" t="str">
        <f t="shared" si="55"/>
        <v>OK</v>
      </c>
    </row>
    <row r="842" spans="1:16" x14ac:dyDescent="0.35">
      <c r="A842" t="s">
        <v>1201</v>
      </c>
      <c r="B842" s="3">
        <v>45400</v>
      </c>
      <c r="C842" t="s">
        <v>18</v>
      </c>
      <c r="D842" t="s">
        <v>25</v>
      </c>
      <c r="E842" t="s">
        <v>250</v>
      </c>
      <c r="F842" t="s">
        <v>44</v>
      </c>
      <c r="G842" t="s">
        <v>45</v>
      </c>
      <c r="H842">
        <v>1</v>
      </c>
      <c r="I842">
        <v>40.700000000000003</v>
      </c>
      <c r="J842">
        <v>0</v>
      </c>
      <c r="K842">
        <v>40.700000000000003</v>
      </c>
      <c r="M842" t="str">
        <f t="shared" si="52"/>
        <v>Apr</v>
      </c>
      <c r="N842">
        <f t="shared" si="53"/>
        <v>4</v>
      </c>
      <c r="O842">
        <f t="shared" si="54"/>
        <v>40.700000000000003</v>
      </c>
      <c r="P842" t="str">
        <f t="shared" si="55"/>
        <v>OK</v>
      </c>
    </row>
    <row r="843" spans="1:16" x14ac:dyDescent="0.35">
      <c r="A843" t="s">
        <v>1203</v>
      </c>
      <c r="B843" s="3">
        <v>45529</v>
      </c>
      <c r="C843" t="s">
        <v>24</v>
      </c>
      <c r="D843" t="s">
        <v>19</v>
      </c>
      <c r="E843" t="s">
        <v>716</v>
      </c>
      <c r="F843" t="s">
        <v>15</v>
      </c>
      <c r="G843" t="s">
        <v>16</v>
      </c>
      <c r="H843">
        <v>3</v>
      </c>
      <c r="I843">
        <v>85.91</v>
      </c>
      <c r="J843">
        <v>0</v>
      </c>
      <c r="K843">
        <v>257.73</v>
      </c>
      <c r="M843" t="str">
        <f t="shared" si="52"/>
        <v>Aug</v>
      </c>
      <c r="N843">
        <f t="shared" si="53"/>
        <v>8</v>
      </c>
      <c r="O843">
        <f t="shared" si="54"/>
        <v>257.73</v>
      </c>
      <c r="P843" t="str">
        <f t="shared" si="55"/>
        <v>OK</v>
      </c>
    </row>
    <row r="844" spans="1:16" x14ac:dyDescent="0.35">
      <c r="A844" t="s">
        <v>1204</v>
      </c>
      <c r="B844" s="3">
        <v>45623</v>
      </c>
      <c r="C844" t="s">
        <v>24</v>
      </c>
      <c r="D844" t="s">
        <v>19</v>
      </c>
      <c r="E844" t="s">
        <v>113</v>
      </c>
      <c r="F844" t="s">
        <v>53</v>
      </c>
      <c r="G844" t="s">
        <v>63</v>
      </c>
      <c r="H844">
        <v>5</v>
      </c>
      <c r="I844">
        <v>121.11</v>
      </c>
      <c r="J844">
        <v>0.1</v>
      </c>
      <c r="K844">
        <v>545</v>
      </c>
      <c r="M844" t="str">
        <f t="shared" si="52"/>
        <v>Nov</v>
      </c>
      <c r="N844">
        <f t="shared" si="53"/>
        <v>11</v>
      </c>
      <c r="O844">
        <f t="shared" si="54"/>
        <v>544.995</v>
      </c>
      <c r="P844" t="str">
        <f t="shared" si="55"/>
        <v>OK</v>
      </c>
    </row>
    <row r="845" spans="1:16" x14ac:dyDescent="0.35">
      <c r="A845" t="s">
        <v>1205</v>
      </c>
      <c r="B845" s="3">
        <v>45479</v>
      </c>
      <c r="C845" t="s">
        <v>33</v>
      </c>
      <c r="D845" t="s">
        <v>25</v>
      </c>
      <c r="E845" t="s">
        <v>274</v>
      </c>
      <c r="F845" t="s">
        <v>53</v>
      </c>
      <c r="G845" t="s">
        <v>104</v>
      </c>
      <c r="H845">
        <v>10</v>
      </c>
      <c r="I845">
        <v>161.01</v>
      </c>
      <c r="J845">
        <v>0</v>
      </c>
      <c r="K845">
        <v>1610.1</v>
      </c>
      <c r="M845" t="str">
        <f t="shared" si="52"/>
        <v>Jul</v>
      </c>
      <c r="N845">
        <f t="shared" si="53"/>
        <v>7</v>
      </c>
      <c r="O845">
        <f t="shared" si="54"/>
        <v>1610.1</v>
      </c>
      <c r="P845" t="str">
        <f t="shared" si="55"/>
        <v>OK</v>
      </c>
    </row>
    <row r="846" spans="1:16" x14ac:dyDescent="0.35">
      <c r="A846" t="s">
        <v>1206</v>
      </c>
      <c r="B846" s="3">
        <v>45620</v>
      </c>
      <c r="C846" t="s">
        <v>33</v>
      </c>
      <c r="D846" t="s">
        <v>25</v>
      </c>
      <c r="E846" t="s">
        <v>117</v>
      </c>
      <c r="F846" t="s">
        <v>35</v>
      </c>
      <c r="G846" t="s">
        <v>177</v>
      </c>
      <c r="H846">
        <v>12</v>
      </c>
      <c r="I846">
        <v>31.91</v>
      </c>
      <c r="J846">
        <v>0</v>
      </c>
      <c r="K846">
        <v>382.92</v>
      </c>
      <c r="M846" t="str">
        <f t="shared" si="52"/>
        <v>Nov</v>
      </c>
      <c r="N846">
        <f t="shared" si="53"/>
        <v>11</v>
      </c>
      <c r="O846">
        <f t="shared" si="54"/>
        <v>382.92</v>
      </c>
      <c r="P846" t="str">
        <f t="shared" si="55"/>
        <v>OK</v>
      </c>
    </row>
    <row r="847" spans="1:16" x14ac:dyDescent="0.35">
      <c r="A847" t="s">
        <v>1208</v>
      </c>
      <c r="B847" s="3">
        <v>45526</v>
      </c>
      <c r="C847" t="s">
        <v>33</v>
      </c>
      <c r="D847" t="s">
        <v>13</v>
      </c>
      <c r="E847" t="s">
        <v>180</v>
      </c>
      <c r="F847" t="s">
        <v>35</v>
      </c>
      <c r="G847" t="s">
        <v>83</v>
      </c>
      <c r="H847">
        <v>3</v>
      </c>
      <c r="I847">
        <v>24.64</v>
      </c>
      <c r="J847">
        <v>0</v>
      </c>
      <c r="K847">
        <v>73.92</v>
      </c>
      <c r="M847" t="str">
        <f t="shared" si="52"/>
        <v>Aug</v>
      </c>
      <c r="N847">
        <f t="shared" si="53"/>
        <v>8</v>
      </c>
      <c r="O847">
        <f t="shared" si="54"/>
        <v>73.92</v>
      </c>
      <c r="P847" t="str">
        <f t="shared" si="55"/>
        <v>OK</v>
      </c>
    </row>
    <row r="848" spans="1:16" x14ac:dyDescent="0.35">
      <c r="A848" t="s">
        <v>1209</v>
      </c>
      <c r="B848" s="3">
        <v>45587</v>
      </c>
      <c r="C848" t="s">
        <v>24</v>
      </c>
      <c r="D848" t="s">
        <v>57</v>
      </c>
      <c r="E848" t="s">
        <v>769</v>
      </c>
      <c r="F848" t="s">
        <v>35</v>
      </c>
      <c r="G848" t="s">
        <v>67</v>
      </c>
      <c r="H848">
        <v>11</v>
      </c>
      <c r="I848">
        <v>36.57</v>
      </c>
      <c r="J848">
        <v>0.05</v>
      </c>
      <c r="K848">
        <v>382.16</v>
      </c>
      <c r="M848" t="str">
        <f t="shared" si="52"/>
        <v>Oct</v>
      </c>
      <c r="N848">
        <f t="shared" si="53"/>
        <v>10</v>
      </c>
      <c r="O848">
        <f t="shared" si="54"/>
        <v>382.15649999999994</v>
      </c>
      <c r="P848" t="str">
        <f t="shared" si="55"/>
        <v>OK</v>
      </c>
    </row>
    <row r="849" spans="1:16" x14ac:dyDescent="0.35">
      <c r="A849" t="s">
        <v>1210</v>
      </c>
      <c r="B849" s="3">
        <v>45590</v>
      </c>
      <c r="C849" t="s">
        <v>33</v>
      </c>
      <c r="D849" t="s">
        <v>13</v>
      </c>
      <c r="E849" t="s">
        <v>1037</v>
      </c>
      <c r="F849" t="s">
        <v>35</v>
      </c>
      <c r="G849" t="s">
        <v>177</v>
      </c>
      <c r="H849">
        <v>11</v>
      </c>
      <c r="I849">
        <v>162.31</v>
      </c>
      <c r="J849">
        <v>0</v>
      </c>
      <c r="K849">
        <v>1785.41</v>
      </c>
      <c r="M849" t="str">
        <f t="shared" si="52"/>
        <v>Oct</v>
      </c>
      <c r="N849">
        <f t="shared" si="53"/>
        <v>10</v>
      </c>
      <c r="O849">
        <f t="shared" si="54"/>
        <v>1785.41</v>
      </c>
      <c r="P849" t="str">
        <f t="shared" si="55"/>
        <v>OK</v>
      </c>
    </row>
    <row r="850" spans="1:16" x14ac:dyDescent="0.35">
      <c r="A850" t="s">
        <v>1211</v>
      </c>
      <c r="B850" s="3">
        <v>45640</v>
      </c>
      <c r="C850" t="s">
        <v>33</v>
      </c>
      <c r="D850" t="s">
        <v>19</v>
      </c>
      <c r="E850" t="s">
        <v>272</v>
      </c>
      <c r="F850" t="s">
        <v>53</v>
      </c>
      <c r="G850" t="s">
        <v>63</v>
      </c>
      <c r="H850">
        <v>7</v>
      </c>
      <c r="I850">
        <v>5.48</v>
      </c>
      <c r="J850">
        <v>0.15</v>
      </c>
      <c r="K850">
        <v>32.61</v>
      </c>
      <c r="M850" t="str">
        <f t="shared" si="52"/>
        <v>Dec</v>
      </c>
      <c r="N850">
        <f t="shared" si="53"/>
        <v>12</v>
      </c>
      <c r="O850">
        <f t="shared" si="54"/>
        <v>32.606000000000002</v>
      </c>
      <c r="P850" t="str">
        <f t="shared" si="55"/>
        <v>OK</v>
      </c>
    </row>
    <row r="851" spans="1:16" x14ac:dyDescent="0.35">
      <c r="A851" t="s">
        <v>1212</v>
      </c>
      <c r="B851" s="3">
        <v>45568</v>
      </c>
      <c r="C851" t="s">
        <v>41</v>
      </c>
      <c r="D851" t="s">
        <v>57</v>
      </c>
      <c r="E851" t="s">
        <v>137</v>
      </c>
      <c r="F851" t="s">
        <v>44</v>
      </c>
      <c r="G851" t="s">
        <v>107</v>
      </c>
      <c r="H851">
        <v>8</v>
      </c>
      <c r="I851">
        <v>127.42</v>
      </c>
      <c r="J851">
        <v>0</v>
      </c>
      <c r="K851">
        <v>1019.36</v>
      </c>
      <c r="M851" t="str">
        <f t="shared" si="52"/>
        <v>Oct</v>
      </c>
      <c r="N851">
        <f t="shared" si="53"/>
        <v>10</v>
      </c>
      <c r="O851">
        <f t="shared" si="54"/>
        <v>1019.36</v>
      </c>
      <c r="P851" t="str">
        <f t="shared" si="55"/>
        <v>OK</v>
      </c>
    </row>
    <row r="852" spans="1:16" x14ac:dyDescent="0.35">
      <c r="A852" t="s">
        <v>1213</v>
      </c>
      <c r="B852" s="3">
        <v>45364</v>
      </c>
      <c r="C852" t="s">
        <v>41</v>
      </c>
      <c r="D852" t="s">
        <v>57</v>
      </c>
      <c r="E852" t="s">
        <v>152</v>
      </c>
      <c r="F852" t="s">
        <v>15</v>
      </c>
      <c r="G852" t="s">
        <v>27</v>
      </c>
      <c r="H852">
        <v>9</v>
      </c>
      <c r="I852">
        <v>88.63</v>
      </c>
      <c r="J852">
        <v>0</v>
      </c>
      <c r="K852">
        <v>797.67</v>
      </c>
      <c r="M852" t="str">
        <f t="shared" si="52"/>
        <v>Mar</v>
      </c>
      <c r="N852">
        <f t="shared" si="53"/>
        <v>3</v>
      </c>
      <c r="O852">
        <f t="shared" si="54"/>
        <v>797.67</v>
      </c>
      <c r="P852" t="str">
        <f t="shared" si="55"/>
        <v>OK</v>
      </c>
    </row>
    <row r="853" spans="1:16" x14ac:dyDescent="0.35">
      <c r="A853" t="s">
        <v>1214</v>
      </c>
      <c r="B853" s="3">
        <v>45442</v>
      </c>
      <c r="C853" t="s">
        <v>65</v>
      </c>
      <c r="D853" t="s">
        <v>57</v>
      </c>
      <c r="E853" t="s">
        <v>460</v>
      </c>
      <c r="F853" t="s">
        <v>35</v>
      </c>
      <c r="G853" t="s">
        <v>177</v>
      </c>
      <c r="H853">
        <v>4</v>
      </c>
      <c r="I853">
        <v>104.08</v>
      </c>
      <c r="J853">
        <v>0</v>
      </c>
      <c r="K853">
        <v>416.32</v>
      </c>
      <c r="M853" t="str">
        <f t="shared" si="52"/>
        <v>May</v>
      </c>
      <c r="N853">
        <f t="shared" si="53"/>
        <v>5</v>
      </c>
      <c r="O853">
        <f t="shared" si="54"/>
        <v>416.32</v>
      </c>
      <c r="P853" t="str">
        <f t="shared" si="55"/>
        <v>OK</v>
      </c>
    </row>
    <row r="854" spans="1:16" x14ac:dyDescent="0.35">
      <c r="A854" t="s">
        <v>1215</v>
      </c>
      <c r="B854" s="3">
        <v>45602</v>
      </c>
      <c r="C854" t="s">
        <v>41</v>
      </c>
      <c r="D854" t="s">
        <v>57</v>
      </c>
      <c r="E854" t="s">
        <v>659</v>
      </c>
      <c r="F854" t="s">
        <v>35</v>
      </c>
      <c r="G854" t="s">
        <v>36</v>
      </c>
      <c r="H854">
        <v>1</v>
      </c>
      <c r="I854">
        <v>245.59</v>
      </c>
      <c r="J854">
        <v>0.15</v>
      </c>
      <c r="K854">
        <v>208.75</v>
      </c>
      <c r="M854" t="str">
        <f t="shared" si="52"/>
        <v>Nov</v>
      </c>
      <c r="N854">
        <f t="shared" si="53"/>
        <v>11</v>
      </c>
      <c r="O854">
        <f t="shared" si="54"/>
        <v>208.75149999999999</v>
      </c>
      <c r="P854" t="str">
        <f t="shared" si="55"/>
        <v>OK</v>
      </c>
    </row>
    <row r="855" spans="1:16" x14ac:dyDescent="0.35">
      <c r="A855" t="s">
        <v>1216</v>
      </c>
      <c r="B855" s="3">
        <v>45380</v>
      </c>
      <c r="C855" t="s">
        <v>65</v>
      </c>
      <c r="D855" t="s">
        <v>13</v>
      </c>
      <c r="E855" t="s">
        <v>155</v>
      </c>
      <c r="F855" t="s">
        <v>35</v>
      </c>
      <c r="G855" t="s">
        <v>83</v>
      </c>
      <c r="H855">
        <v>12</v>
      </c>
      <c r="I855">
        <v>186.14</v>
      </c>
      <c r="J855">
        <v>0.1</v>
      </c>
      <c r="K855">
        <v>2010.31</v>
      </c>
      <c r="M855" t="str">
        <f t="shared" si="52"/>
        <v>Mar</v>
      </c>
      <c r="N855">
        <f t="shared" si="53"/>
        <v>3</v>
      </c>
      <c r="O855">
        <f t="shared" si="54"/>
        <v>2010.3119999999999</v>
      </c>
      <c r="P855" t="str">
        <f t="shared" si="55"/>
        <v>OK</v>
      </c>
    </row>
    <row r="856" spans="1:16" x14ac:dyDescent="0.35">
      <c r="A856" t="s">
        <v>1217</v>
      </c>
      <c r="B856" s="3">
        <v>45489</v>
      </c>
      <c r="C856" t="s">
        <v>24</v>
      </c>
      <c r="D856" t="s">
        <v>25</v>
      </c>
      <c r="E856" t="s">
        <v>315</v>
      </c>
      <c r="F856" t="s">
        <v>21</v>
      </c>
      <c r="G856" t="s">
        <v>22</v>
      </c>
      <c r="H856">
        <v>2</v>
      </c>
      <c r="I856">
        <v>57.28</v>
      </c>
      <c r="J856">
        <v>0</v>
      </c>
      <c r="K856">
        <v>114.56</v>
      </c>
      <c r="M856" t="str">
        <f t="shared" si="52"/>
        <v>Jul</v>
      </c>
      <c r="N856">
        <f t="shared" si="53"/>
        <v>7</v>
      </c>
      <c r="O856">
        <f t="shared" si="54"/>
        <v>114.56</v>
      </c>
      <c r="P856" t="str">
        <f t="shared" si="55"/>
        <v>OK</v>
      </c>
    </row>
    <row r="857" spans="1:16" x14ac:dyDescent="0.35">
      <c r="A857" t="s">
        <v>1219</v>
      </c>
      <c r="B857" s="3">
        <v>45393</v>
      </c>
      <c r="C857" t="s">
        <v>33</v>
      </c>
      <c r="D857" t="s">
        <v>25</v>
      </c>
      <c r="E857" t="s">
        <v>296</v>
      </c>
      <c r="F857" t="s">
        <v>21</v>
      </c>
      <c r="G857" t="s">
        <v>194</v>
      </c>
      <c r="H857">
        <v>12</v>
      </c>
      <c r="I857">
        <v>47.38</v>
      </c>
      <c r="J857">
        <v>0</v>
      </c>
      <c r="K857">
        <v>568.55999999999995</v>
      </c>
      <c r="M857" t="str">
        <f t="shared" si="52"/>
        <v>Apr</v>
      </c>
      <c r="N857">
        <f t="shared" si="53"/>
        <v>4</v>
      </c>
      <c r="O857">
        <f t="shared" si="54"/>
        <v>568.56000000000006</v>
      </c>
      <c r="P857" t="str">
        <f t="shared" si="55"/>
        <v>OK</v>
      </c>
    </row>
    <row r="858" spans="1:16" x14ac:dyDescent="0.35">
      <c r="A858" t="s">
        <v>1220</v>
      </c>
      <c r="B858" s="3">
        <v>45342</v>
      </c>
      <c r="C858" t="s">
        <v>18</v>
      </c>
      <c r="D858" t="s">
        <v>13</v>
      </c>
      <c r="E858" t="s">
        <v>454</v>
      </c>
      <c r="F858" t="s">
        <v>15</v>
      </c>
      <c r="G858" t="s">
        <v>111</v>
      </c>
      <c r="H858">
        <v>11</v>
      </c>
      <c r="I858">
        <v>128.54</v>
      </c>
      <c r="J858">
        <v>0.1</v>
      </c>
      <c r="K858">
        <v>1272.55</v>
      </c>
      <c r="M858" t="str">
        <f t="shared" si="52"/>
        <v>Feb</v>
      </c>
      <c r="N858">
        <f t="shared" si="53"/>
        <v>2</v>
      </c>
      <c r="O858">
        <f t="shared" si="54"/>
        <v>1272.5459999999998</v>
      </c>
      <c r="P858" t="str">
        <f t="shared" si="55"/>
        <v>OK</v>
      </c>
    </row>
    <row r="859" spans="1:16" x14ac:dyDescent="0.35">
      <c r="A859" t="s">
        <v>1222</v>
      </c>
      <c r="B859" s="3">
        <v>45467</v>
      </c>
      <c r="C859" t="s">
        <v>41</v>
      </c>
      <c r="D859" t="s">
        <v>57</v>
      </c>
      <c r="E859" t="s">
        <v>128</v>
      </c>
      <c r="F859" t="s">
        <v>53</v>
      </c>
      <c r="G859" t="s">
        <v>59</v>
      </c>
      <c r="H859">
        <v>3</v>
      </c>
      <c r="I859">
        <v>170.9</v>
      </c>
      <c r="J859">
        <v>0.15</v>
      </c>
      <c r="K859">
        <v>435.8</v>
      </c>
      <c r="M859" t="str">
        <f t="shared" si="52"/>
        <v>Jun</v>
      </c>
      <c r="N859">
        <f t="shared" si="53"/>
        <v>6</v>
      </c>
      <c r="O859">
        <f t="shared" si="54"/>
        <v>435.79500000000002</v>
      </c>
      <c r="P859" t="str">
        <f t="shared" si="55"/>
        <v>OK</v>
      </c>
    </row>
    <row r="860" spans="1:16" x14ac:dyDescent="0.35">
      <c r="A860" t="s">
        <v>1223</v>
      </c>
      <c r="B860" s="3">
        <v>45494</v>
      </c>
      <c r="C860" t="s">
        <v>24</v>
      </c>
      <c r="D860" t="s">
        <v>19</v>
      </c>
      <c r="E860" t="s">
        <v>400</v>
      </c>
      <c r="F860" t="s">
        <v>15</v>
      </c>
      <c r="G860" t="s">
        <v>74</v>
      </c>
      <c r="H860">
        <v>5</v>
      </c>
      <c r="I860">
        <v>169.56</v>
      </c>
      <c r="J860">
        <v>0.05</v>
      </c>
      <c r="K860">
        <v>805.41</v>
      </c>
      <c r="M860" t="str">
        <f t="shared" si="52"/>
        <v>Jul</v>
      </c>
      <c r="N860">
        <f t="shared" si="53"/>
        <v>7</v>
      </c>
      <c r="O860">
        <f t="shared" si="54"/>
        <v>805.41</v>
      </c>
      <c r="P860" t="str">
        <f t="shared" si="55"/>
        <v>OK</v>
      </c>
    </row>
    <row r="861" spans="1:16" x14ac:dyDescent="0.35">
      <c r="A861" t="s">
        <v>1225</v>
      </c>
      <c r="B861" s="3">
        <v>45497</v>
      </c>
      <c r="C861" t="s">
        <v>33</v>
      </c>
      <c r="D861" t="s">
        <v>13</v>
      </c>
      <c r="E861" t="s">
        <v>317</v>
      </c>
      <c r="F861" t="s">
        <v>53</v>
      </c>
      <c r="G861" t="s">
        <v>54</v>
      </c>
      <c r="H861">
        <v>6</v>
      </c>
      <c r="I861">
        <v>210.83</v>
      </c>
      <c r="J861">
        <v>0</v>
      </c>
      <c r="K861">
        <v>1264.98</v>
      </c>
      <c r="M861" t="str">
        <f t="shared" si="52"/>
        <v>Jul</v>
      </c>
      <c r="N861">
        <f t="shared" si="53"/>
        <v>7</v>
      </c>
      <c r="O861">
        <f t="shared" si="54"/>
        <v>1264.98</v>
      </c>
      <c r="P861" t="str">
        <f t="shared" si="55"/>
        <v>OK</v>
      </c>
    </row>
    <row r="862" spans="1:16" x14ac:dyDescent="0.35">
      <c r="A862" t="s">
        <v>1226</v>
      </c>
      <c r="B862" s="3">
        <v>45511</v>
      </c>
      <c r="C862" t="s">
        <v>65</v>
      </c>
      <c r="D862" t="s">
        <v>19</v>
      </c>
      <c r="E862" t="s">
        <v>562</v>
      </c>
      <c r="F862" t="s">
        <v>44</v>
      </c>
      <c r="G862" t="s">
        <v>86</v>
      </c>
      <c r="H862">
        <v>5</v>
      </c>
      <c r="I862">
        <v>111.41</v>
      </c>
      <c r="J862">
        <v>0</v>
      </c>
      <c r="K862">
        <v>557.04999999999995</v>
      </c>
      <c r="M862" t="str">
        <f t="shared" si="52"/>
        <v>Aug</v>
      </c>
      <c r="N862">
        <f t="shared" si="53"/>
        <v>8</v>
      </c>
      <c r="O862">
        <f t="shared" si="54"/>
        <v>557.04999999999995</v>
      </c>
      <c r="P862" t="str">
        <f t="shared" si="55"/>
        <v>OK</v>
      </c>
    </row>
    <row r="863" spans="1:16" x14ac:dyDescent="0.35">
      <c r="A863" t="s">
        <v>1227</v>
      </c>
      <c r="B863" s="3">
        <v>45618</v>
      </c>
      <c r="C863" t="s">
        <v>24</v>
      </c>
      <c r="D863" t="s">
        <v>57</v>
      </c>
      <c r="E863" t="s">
        <v>80</v>
      </c>
      <c r="F863" t="s">
        <v>35</v>
      </c>
      <c r="G863" t="s">
        <v>177</v>
      </c>
      <c r="H863">
        <v>2</v>
      </c>
      <c r="I863">
        <v>177.2</v>
      </c>
      <c r="J863">
        <v>0.05</v>
      </c>
      <c r="K863">
        <v>336.68</v>
      </c>
      <c r="M863" t="str">
        <f t="shared" si="52"/>
        <v>Nov</v>
      </c>
      <c r="N863">
        <f t="shared" si="53"/>
        <v>11</v>
      </c>
      <c r="O863">
        <f t="shared" si="54"/>
        <v>336.67999999999995</v>
      </c>
      <c r="P863" t="str">
        <f t="shared" si="55"/>
        <v>OK</v>
      </c>
    </row>
    <row r="864" spans="1:16" x14ac:dyDescent="0.35">
      <c r="A864" t="s">
        <v>1228</v>
      </c>
      <c r="B864" s="3">
        <v>45524</v>
      </c>
      <c r="C864" t="s">
        <v>65</v>
      </c>
      <c r="D864" t="s">
        <v>19</v>
      </c>
      <c r="E864" t="s">
        <v>282</v>
      </c>
      <c r="F864" t="s">
        <v>35</v>
      </c>
      <c r="G864" t="s">
        <v>134</v>
      </c>
      <c r="H864">
        <v>6</v>
      </c>
      <c r="I864">
        <v>85.06</v>
      </c>
      <c r="J864">
        <v>0</v>
      </c>
      <c r="K864">
        <v>510.36</v>
      </c>
      <c r="M864" t="str">
        <f t="shared" si="52"/>
        <v>Aug</v>
      </c>
      <c r="N864">
        <f t="shared" si="53"/>
        <v>8</v>
      </c>
      <c r="O864">
        <f t="shared" si="54"/>
        <v>510.36</v>
      </c>
      <c r="P864" t="str">
        <f t="shared" si="55"/>
        <v>OK</v>
      </c>
    </row>
    <row r="865" spans="1:16" x14ac:dyDescent="0.35">
      <c r="A865" t="s">
        <v>1229</v>
      </c>
      <c r="B865" s="3">
        <v>45427</v>
      </c>
      <c r="C865" t="s">
        <v>24</v>
      </c>
      <c r="D865" t="s">
        <v>13</v>
      </c>
      <c r="E865" t="s">
        <v>683</v>
      </c>
      <c r="F865" t="s">
        <v>21</v>
      </c>
      <c r="G865" t="s">
        <v>70</v>
      </c>
      <c r="H865">
        <v>7</v>
      </c>
      <c r="I865">
        <v>36.06</v>
      </c>
      <c r="J865">
        <v>0.1</v>
      </c>
      <c r="K865">
        <v>227.18</v>
      </c>
      <c r="M865" t="str">
        <f t="shared" si="52"/>
        <v>May</v>
      </c>
      <c r="N865">
        <f t="shared" si="53"/>
        <v>5</v>
      </c>
      <c r="O865">
        <f t="shared" si="54"/>
        <v>227.17800000000003</v>
      </c>
      <c r="P865" t="str">
        <f t="shared" si="55"/>
        <v>OK</v>
      </c>
    </row>
    <row r="866" spans="1:16" x14ac:dyDescent="0.35">
      <c r="A866" t="s">
        <v>1230</v>
      </c>
      <c r="B866" s="3">
        <v>45590</v>
      </c>
      <c r="C866" t="s">
        <v>18</v>
      </c>
      <c r="D866" t="s">
        <v>19</v>
      </c>
      <c r="E866" t="s">
        <v>313</v>
      </c>
      <c r="F866" t="s">
        <v>21</v>
      </c>
      <c r="G866" t="s">
        <v>70</v>
      </c>
      <c r="H866">
        <v>8</v>
      </c>
      <c r="I866">
        <v>26.01</v>
      </c>
      <c r="J866">
        <v>0</v>
      </c>
      <c r="K866">
        <v>208.08</v>
      </c>
      <c r="M866" t="str">
        <f t="shared" si="52"/>
        <v>Oct</v>
      </c>
      <c r="N866">
        <f t="shared" si="53"/>
        <v>10</v>
      </c>
      <c r="O866">
        <f t="shared" si="54"/>
        <v>208.08</v>
      </c>
      <c r="P866" t="str">
        <f t="shared" si="55"/>
        <v>OK</v>
      </c>
    </row>
    <row r="867" spans="1:16" x14ac:dyDescent="0.35">
      <c r="A867" t="s">
        <v>1231</v>
      </c>
      <c r="B867" s="3">
        <v>45323</v>
      </c>
      <c r="C867" t="s">
        <v>18</v>
      </c>
      <c r="D867" t="s">
        <v>19</v>
      </c>
      <c r="E867" t="s">
        <v>835</v>
      </c>
      <c r="F867" t="s">
        <v>35</v>
      </c>
      <c r="G867" t="s">
        <v>83</v>
      </c>
      <c r="H867">
        <v>3</v>
      </c>
      <c r="I867">
        <v>149.66</v>
      </c>
      <c r="J867">
        <v>0</v>
      </c>
      <c r="K867">
        <v>448.98</v>
      </c>
      <c r="M867" t="str">
        <f t="shared" si="52"/>
        <v>Feb</v>
      </c>
      <c r="N867">
        <f t="shared" si="53"/>
        <v>2</v>
      </c>
      <c r="O867">
        <f t="shared" si="54"/>
        <v>448.98</v>
      </c>
      <c r="P867" t="str">
        <f t="shared" si="55"/>
        <v>OK</v>
      </c>
    </row>
    <row r="868" spans="1:16" x14ac:dyDescent="0.35">
      <c r="A868" t="s">
        <v>1232</v>
      </c>
      <c r="B868" s="3">
        <v>45293</v>
      </c>
      <c r="C868" t="s">
        <v>41</v>
      </c>
      <c r="D868" t="s">
        <v>19</v>
      </c>
      <c r="E868" t="s">
        <v>454</v>
      </c>
      <c r="F868" t="s">
        <v>35</v>
      </c>
      <c r="G868" t="s">
        <v>67</v>
      </c>
      <c r="H868">
        <v>11</v>
      </c>
      <c r="I868">
        <v>191.92</v>
      </c>
      <c r="J868">
        <v>0</v>
      </c>
      <c r="K868">
        <v>2111.12</v>
      </c>
      <c r="M868" t="str">
        <f t="shared" si="52"/>
        <v>Jan</v>
      </c>
      <c r="N868">
        <f t="shared" si="53"/>
        <v>1</v>
      </c>
      <c r="O868">
        <f t="shared" si="54"/>
        <v>2111.12</v>
      </c>
      <c r="P868" t="str">
        <f t="shared" si="55"/>
        <v>OK</v>
      </c>
    </row>
    <row r="869" spans="1:16" x14ac:dyDescent="0.35">
      <c r="A869" t="s">
        <v>1233</v>
      </c>
      <c r="B869" s="3">
        <v>45524</v>
      </c>
      <c r="C869" t="s">
        <v>33</v>
      </c>
      <c r="D869" t="s">
        <v>19</v>
      </c>
      <c r="E869" t="s">
        <v>394</v>
      </c>
      <c r="F869" t="s">
        <v>15</v>
      </c>
      <c r="G869" t="s">
        <v>16</v>
      </c>
      <c r="H869">
        <v>11</v>
      </c>
      <c r="I869">
        <v>191.68</v>
      </c>
      <c r="J869">
        <v>0.15</v>
      </c>
      <c r="K869">
        <v>1792.21</v>
      </c>
      <c r="M869" t="str">
        <f t="shared" si="52"/>
        <v>Aug</v>
      </c>
      <c r="N869">
        <f t="shared" si="53"/>
        <v>8</v>
      </c>
      <c r="O869">
        <f t="shared" si="54"/>
        <v>1792.2079999999999</v>
      </c>
      <c r="P869" t="str">
        <f t="shared" si="55"/>
        <v>OK</v>
      </c>
    </row>
    <row r="870" spans="1:16" x14ac:dyDescent="0.35">
      <c r="A870" t="s">
        <v>1234</v>
      </c>
      <c r="B870" s="3">
        <v>45386</v>
      </c>
      <c r="C870" t="s">
        <v>41</v>
      </c>
      <c r="D870" t="s">
        <v>57</v>
      </c>
      <c r="E870" t="s">
        <v>246</v>
      </c>
      <c r="F870" t="s">
        <v>15</v>
      </c>
      <c r="G870" t="s">
        <v>111</v>
      </c>
      <c r="H870">
        <v>6</v>
      </c>
      <c r="I870">
        <v>18.489999999999998</v>
      </c>
      <c r="J870">
        <v>0</v>
      </c>
      <c r="K870">
        <v>110.94</v>
      </c>
      <c r="M870" t="str">
        <f t="shared" si="52"/>
        <v>Apr</v>
      </c>
      <c r="N870">
        <f t="shared" si="53"/>
        <v>4</v>
      </c>
      <c r="O870">
        <f t="shared" si="54"/>
        <v>110.94</v>
      </c>
      <c r="P870" t="str">
        <f t="shared" si="55"/>
        <v>OK</v>
      </c>
    </row>
    <row r="871" spans="1:16" x14ac:dyDescent="0.35">
      <c r="A871" t="s">
        <v>1235</v>
      </c>
      <c r="B871" s="3">
        <v>45465</v>
      </c>
      <c r="C871" t="s">
        <v>65</v>
      </c>
      <c r="D871" t="s">
        <v>42</v>
      </c>
      <c r="E871" t="s">
        <v>381</v>
      </c>
      <c r="F871" t="s">
        <v>15</v>
      </c>
      <c r="G871" t="s">
        <v>147</v>
      </c>
      <c r="H871">
        <v>11</v>
      </c>
      <c r="I871">
        <v>198.36</v>
      </c>
      <c r="J871">
        <v>0</v>
      </c>
      <c r="K871">
        <v>2181.96</v>
      </c>
      <c r="M871" t="str">
        <f t="shared" si="52"/>
        <v>Jun</v>
      </c>
      <c r="N871">
        <f t="shared" si="53"/>
        <v>6</v>
      </c>
      <c r="O871">
        <f t="shared" si="54"/>
        <v>2181.96</v>
      </c>
      <c r="P871" t="str">
        <f t="shared" si="55"/>
        <v>OK</v>
      </c>
    </row>
    <row r="872" spans="1:16" x14ac:dyDescent="0.35">
      <c r="A872" t="s">
        <v>1236</v>
      </c>
      <c r="B872" s="3">
        <v>45574</v>
      </c>
      <c r="C872" t="s">
        <v>33</v>
      </c>
      <c r="D872" t="s">
        <v>25</v>
      </c>
      <c r="E872" t="s">
        <v>638</v>
      </c>
      <c r="F872" t="s">
        <v>53</v>
      </c>
      <c r="G872" t="s">
        <v>63</v>
      </c>
      <c r="H872">
        <v>11</v>
      </c>
      <c r="I872">
        <v>149.82</v>
      </c>
      <c r="J872">
        <v>0</v>
      </c>
      <c r="K872">
        <v>1648.02</v>
      </c>
      <c r="M872" t="str">
        <f t="shared" si="52"/>
        <v>Oct</v>
      </c>
      <c r="N872">
        <f t="shared" si="53"/>
        <v>10</v>
      </c>
      <c r="O872">
        <f t="shared" si="54"/>
        <v>1648.02</v>
      </c>
      <c r="P872" t="str">
        <f t="shared" si="55"/>
        <v>OK</v>
      </c>
    </row>
    <row r="873" spans="1:16" x14ac:dyDescent="0.35">
      <c r="A873" t="s">
        <v>1237</v>
      </c>
      <c r="B873" s="3">
        <v>45379</v>
      </c>
      <c r="C873" t="s">
        <v>24</v>
      </c>
      <c r="D873" t="s">
        <v>25</v>
      </c>
      <c r="E873" t="s">
        <v>238</v>
      </c>
      <c r="F873" t="s">
        <v>15</v>
      </c>
      <c r="G873" t="s">
        <v>16</v>
      </c>
      <c r="H873">
        <v>6</v>
      </c>
      <c r="I873">
        <v>13.61</v>
      </c>
      <c r="J873">
        <v>0</v>
      </c>
      <c r="K873">
        <v>81.66</v>
      </c>
      <c r="M873" t="str">
        <f t="shared" si="52"/>
        <v>Mar</v>
      </c>
      <c r="N873">
        <f t="shared" si="53"/>
        <v>3</v>
      </c>
      <c r="O873">
        <f t="shared" si="54"/>
        <v>81.66</v>
      </c>
      <c r="P873" t="str">
        <f t="shared" si="55"/>
        <v>OK</v>
      </c>
    </row>
    <row r="874" spans="1:16" x14ac:dyDescent="0.35">
      <c r="A874" t="s">
        <v>1238</v>
      </c>
      <c r="B874" s="3">
        <v>45527</v>
      </c>
      <c r="C874" t="s">
        <v>65</v>
      </c>
      <c r="D874" t="s">
        <v>57</v>
      </c>
      <c r="E874" t="s">
        <v>731</v>
      </c>
      <c r="F874" t="s">
        <v>21</v>
      </c>
      <c r="G874" t="s">
        <v>167</v>
      </c>
      <c r="H874">
        <v>5</v>
      </c>
      <c r="I874">
        <v>31.23</v>
      </c>
      <c r="J874">
        <v>0</v>
      </c>
      <c r="K874">
        <v>156.15</v>
      </c>
      <c r="M874" t="str">
        <f t="shared" si="52"/>
        <v>Aug</v>
      </c>
      <c r="N874">
        <f t="shared" si="53"/>
        <v>8</v>
      </c>
      <c r="O874">
        <f t="shared" si="54"/>
        <v>156.15</v>
      </c>
      <c r="P874" t="str">
        <f t="shared" si="55"/>
        <v>OK</v>
      </c>
    </row>
    <row r="875" spans="1:16" x14ac:dyDescent="0.35">
      <c r="A875" t="s">
        <v>1239</v>
      </c>
      <c r="B875" s="3">
        <v>45501</v>
      </c>
      <c r="C875" t="s">
        <v>41</v>
      </c>
      <c r="D875" t="s">
        <v>42</v>
      </c>
      <c r="E875" t="s">
        <v>120</v>
      </c>
      <c r="F875" t="s">
        <v>21</v>
      </c>
      <c r="G875" t="s">
        <v>129</v>
      </c>
      <c r="H875">
        <v>10</v>
      </c>
      <c r="I875">
        <v>24.45</v>
      </c>
      <c r="J875">
        <v>0</v>
      </c>
      <c r="K875">
        <v>244.5</v>
      </c>
      <c r="M875" t="str">
        <f t="shared" si="52"/>
        <v>Jul</v>
      </c>
      <c r="N875">
        <f t="shared" si="53"/>
        <v>7</v>
      </c>
      <c r="O875">
        <f t="shared" si="54"/>
        <v>244.5</v>
      </c>
      <c r="P875" t="str">
        <f t="shared" si="55"/>
        <v>OK</v>
      </c>
    </row>
    <row r="876" spans="1:16" x14ac:dyDescent="0.35">
      <c r="A876" t="s">
        <v>1240</v>
      </c>
      <c r="B876" s="3">
        <v>45342</v>
      </c>
      <c r="C876" t="s">
        <v>65</v>
      </c>
      <c r="D876" t="s">
        <v>25</v>
      </c>
      <c r="E876" t="s">
        <v>88</v>
      </c>
      <c r="F876" t="s">
        <v>44</v>
      </c>
      <c r="G876" t="s">
        <v>94</v>
      </c>
      <c r="H876">
        <v>7</v>
      </c>
      <c r="I876">
        <v>46.83</v>
      </c>
      <c r="J876">
        <v>0</v>
      </c>
      <c r="K876">
        <v>327.81</v>
      </c>
      <c r="M876" t="str">
        <f t="shared" si="52"/>
        <v>Feb</v>
      </c>
      <c r="N876">
        <f t="shared" si="53"/>
        <v>2</v>
      </c>
      <c r="O876">
        <f t="shared" si="54"/>
        <v>327.81</v>
      </c>
      <c r="P876" t="str">
        <f t="shared" si="55"/>
        <v>OK</v>
      </c>
    </row>
    <row r="877" spans="1:16" x14ac:dyDescent="0.35">
      <c r="A877" t="s">
        <v>1241</v>
      </c>
      <c r="B877" s="3">
        <v>45586</v>
      </c>
      <c r="C877" t="s">
        <v>65</v>
      </c>
      <c r="D877" t="s">
        <v>57</v>
      </c>
      <c r="E877" t="s">
        <v>164</v>
      </c>
      <c r="F877" t="s">
        <v>53</v>
      </c>
      <c r="G877" t="s">
        <v>125</v>
      </c>
      <c r="H877">
        <v>9</v>
      </c>
      <c r="I877">
        <v>63.5</v>
      </c>
      <c r="J877">
        <v>0</v>
      </c>
      <c r="K877">
        <v>571.5</v>
      </c>
      <c r="M877" t="str">
        <f t="shared" si="52"/>
        <v>Oct</v>
      </c>
      <c r="N877">
        <f t="shared" si="53"/>
        <v>10</v>
      </c>
      <c r="O877">
        <f t="shared" si="54"/>
        <v>571.5</v>
      </c>
      <c r="P877" t="str">
        <f t="shared" si="55"/>
        <v>OK</v>
      </c>
    </row>
    <row r="878" spans="1:16" x14ac:dyDescent="0.35">
      <c r="A878" t="s">
        <v>1242</v>
      </c>
      <c r="B878" s="3">
        <v>45511</v>
      </c>
      <c r="C878" t="s">
        <v>24</v>
      </c>
      <c r="D878" t="s">
        <v>42</v>
      </c>
      <c r="E878" t="s">
        <v>229</v>
      </c>
      <c r="F878" t="s">
        <v>53</v>
      </c>
      <c r="G878" t="s">
        <v>59</v>
      </c>
      <c r="H878">
        <v>12</v>
      </c>
      <c r="I878">
        <v>241.74</v>
      </c>
      <c r="J878">
        <v>0</v>
      </c>
      <c r="K878">
        <v>2900.88</v>
      </c>
      <c r="M878" t="str">
        <f t="shared" si="52"/>
        <v>Aug</v>
      </c>
      <c r="N878">
        <f t="shared" si="53"/>
        <v>8</v>
      </c>
      <c r="O878">
        <f t="shared" si="54"/>
        <v>2900.88</v>
      </c>
      <c r="P878" t="str">
        <f t="shared" si="55"/>
        <v>OK</v>
      </c>
    </row>
    <row r="879" spans="1:16" x14ac:dyDescent="0.35">
      <c r="A879" t="s">
        <v>283</v>
      </c>
      <c r="B879" s="3">
        <v>45498</v>
      </c>
      <c r="C879" t="s">
        <v>18</v>
      </c>
      <c r="D879" t="s">
        <v>42</v>
      </c>
      <c r="E879" t="s">
        <v>284</v>
      </c>
      <c r="F879" t="s">
        <v>21</v>
      </c>
      <c r="G879" t="s">
        <v>194</v>
      </c>
      <c r="H879">
        <v>8</v>
      </c>
      <c r="I879">
        <v>97.38</v>
      </c>
      <c r="J879">
        <v>0</v>
      </c>
      <c r="K879">
        <v>779.04</v>
      </c>
      <c r="M879" t="str">
        <f t="shared" si="52"/>
        <v>Jul</v>
      </c>
      <c r="N879">
        <f t="shared" si="53"/>
        <v>7</v>
      </c>
      <c r="O879">
        <f t="shared" si="54"/>
        <v>779.04</v>
      </c>
      <c r="P879" t="str">
        <f t="shared" si="55"/>
        <v>OK</v>
      </c>
    </row>
    <row r="880" spans="1:16" x14ac:dyDescent="0.35">
      <c r="A880" t="s">
        <v>1243</v>
      </c>
      <c r="B880" s="3">
        <v>45460</v>
      </c>
      <c r="C880" t="s">
        <v>33</v>
      </c>
      <c r="D880" t="s">
        <v>13</v>
      </c>
      <c r="E880" t="s">
        <v>193</v>
      </c>
      <c r="F880" t="s">
        <v>35</v>
      </c>
      <c r="G880" t="s">
        <v>134</v>
      </c>
      <c r="H880">
        <v>5</v>
      </c>
      <c r="I880">
        <v>174.95</v>
      </c>
      <c r="J880">
        <v>0.15</v>
      </c>
      <c r="K880">
        <v>743.54</v>
      </c>
      <c r="M880" t="str">
        <f t="shared" si="52"/>
        <v>Jun</v>
      </c>
      <c r="N880">
        <f t="shared" si="53"/>
        <v>6</v>
      </c>
      <c r="O880">
        <f t="shared" si="54"/>
        <v>743.53750000000002</v>
      </c>
      <c r="P880" t="str">
        <f t="shared" si="55"/>
        <v>OK</v>
      </c>
    </row>
    <row r="881" spans="1:16" x14ac:dyDescent="0.35">
      <c r="A881" t="s">
        <v>1244</v>
      </c>
      <c r="B881" s="3">
        <v>45468</v>
      </c>
      <c r="C881" t="s">
        <v>33</v>
      </c>
      <c r="D881" t="s">
        <v>42</v>
      </c>
      <c r="E881" t="s">
        <v>484</v>
      </c>
      <c r="F881" t="s">
        <v>15</v>
      </c>
      <c r="G881" t="s">
        <v>27</v>
      </c>
      <c r="H881">
        <v>9</v>
      </c>
      <c r="I881">
        <v>111.92</v>
      </c>
      <c r="J881">
        <v>0</v>
      </c>
      <c r="K881">
        <v>1007.28</v>
      </c>
      <c r="M881" t="str">
        <f t="shared" si="52"/>
        <v>Jun</v>
      </c>
      <c r="N881">
        <f t="shared" si="53"/>
        <v>6</v>
      </c>
      <c r="O881">
        <f t="shared" si="54"/>
        <v>1007.28</v>
      </c>
      <c r="P881" t="str">
        <f t="shared" si="55"/>
        <v>OK</v>
      </c>
    </row>
    <row r="882" spans="1:16" x14ac:dyDescent="0.35">
      <c r="A882" t="s">
        <v>1245</v>
      </c>
      <c r="B882" s="3">
        <v>45502</v>
      </c>
      <c r="C882" t="s">
        <v>65</v>
      </c>
      <c r="D882" t="s">
        <v>13</v>
      </c>
      <c r="E882" t="s">
        <v>197</v>
      </c>
      <c r="F882" t="s">
        <v>21</v>
      </c>
      <c r="G882" t="s">
        <v>70</v>
      </c>
      <c r="H882">
        <v>12</v>
      </c>
      <c r="I882">
        <v>239.06</v>
      </c>
      <c r="J882">
        <v>0.05</v>
      </c>
      <c r="K882">
        <v>2725.28</v>
      </c>
      <c r="M882" t="str">
        <f t="shared" si="52"/>
        <v>Jul</v>
      </c>
      <c r="N882">
        <f t="shared" si="53"/>
        <v>7</v>
      </c>
      <c r="O882">
        <f t="shared" si="54"/>
        <v>2725.2840000000001</v>
      </c>
      <c r="P882" t="str">
        <f t="shared" si="55"/>
        <v>OK</v>
      </c>
    </row>
    <row r="883" spans="1:16" x14ac:dyDescent="0.35">
      <c r="A883" t="s">
        <v>1247</v>
      </c>
      <c r="B883" s="3">
        <v>45654</v>
      </c>
      <c r="C883" t="s">
        <v>41</v>
      </c>
      <c r="D883" t="s">
        <v>42</v>
      </c>
      <c r="E883" t="s">
        <v>73</v>
      </c>
      <c r="F883" t="s">
        <v>35</v>
      </c>
      <c r="G883" t="s">
        <v>36</v>
      </c>
      <c r="H883">
        <v>12</v>
      </c>
      <c r="I883">
        <v>111.69</v>
      </c>
      <c r="J883">
        <v>0.1</v>
      </c>
      <c r="K883">
        <v>1206.25</v>
      </c>
      <c r="M883" t="str">
        <f t="shared" si="52"/>
        <v>Dec</v>
      </c>
      <c r="N883">
        <f t="shared" si="53"/>
        <v>12</v>
      </c>
      <c r="O883">
        <f t="shared" si="54"/>
        <v>1206.252</v>
      </c>
      <c r="P883" t="str">
        <f t="shared" si="55"/>
        <v>OK</v>
      </c>
    </row>
    <row r="884" spans="1:16" x14ac:dyDescent="0.35">
      <c r="A884" t="s">
        <v>1249</v>
      </c>
      <c r="B884" s="3">
        <v>45562</v>
      </c>
      <c r="C884" t="s">
        <v>18</v>
      </c>
      <c r="D884" t="s">
        <v>42</v>
      </c>
      <c r="E884" t="s">
        <v>309</v>
      </c>
      <c r="F884" t="s">
        <v>21</v>
      </c>
      <c r="G884" t="s">
        <v>70</v>
      </c>
      <c r="H884">
        <v>10</v>
      </c>
      <c r="I884">
        <v>24.14</v>
      </c>
      <c r="J884">
        <v>0</v>
      </c>
      <c r="K884">
        <v>241.4</v>
      </c>
      <c r="M884" t="str">
        <f t="shared" si="52"/>
        <v>Sep</v>
      </c>
      <c r="N884">
        <f t="shared" si="53"/>
        <v>9</v>
      </c>
      <c r="O884">
        <f t="shared" si="54"/>
        <v>241.4</v>
      </c>
      <c r="P884" t="str">
        <f t="shared" si="55"/>
        <v>OK</v>
      </c>
    </row>
    <row r="885" spans="1:16" x14ac:dyDescent="0.35">
      <c r="A885" t="s">
        <v>1250</v>
      </c>
      <c r="B885" s="3">
        <v>45339</v>
      </c>
      <c r="C885" t="s">
        <v>65</v>
      </c>
      <c r="D885" t="s">
        <v>19</v>
      </c>
      <c r="E885" t="s">
        <v>620</v>
      </c>
      <c r="F885" t="s">
        <v>15</v>
      </c>
      <c r="G885" t="s">
        <v>111</v>
      </c>
      <c r="H885">
        <v>6</v>
      </c>
      <c r="I885">
        <v>145.36000000000001</v>
      </c>
      <c r="J885">
        <v>0.05</v>
      </c>
      <c r="K885">
        <v>828.55</v>
      </c>
      <c r="M885" t="str">
        <f t="shared" si="52"/>
        <v>Feb</v>
      </c>
      <c r="N885">
        <f t="shared" si="53"/>
        <v>2</v>
      </c>
      <c r="O885">
        <f t="shared" si="54"/>
        <v>828.55200000000002</v>
      </c>
      <c r="P885" t="str">
        <f t="shared" si="55"/>
        <v>OK</v>
      </c>
    </row>
    <row r="886" spans="1:16" x14ac:dyDescent="0.35">
      <c r="A886" t="s">
        <v>1251</v>
      </c>
      <c r="B886" s="3">
        <v>45554</v>
      </c>
      <c r="C886" t="s">
        <v>18</v>
      </c>
      <c r="D886" t="s">
        <v>42</v>
      </c>
      <c r="E886" t="s">
        <v>472</v>
      </c>
      <c r="F886" t="s">
        <v>44</v>
      </c>
      <c r="G886" t="s">
        <v>94</v>
      </c>
      <c r="H886">
        <v>5</v>
      </c>
      <c r="I886">
        <v>230.98</v>
      </c>
      <c r="J886">
        <v>0</v>
      </c>
      <c r="K886">
        <v>1154.9000000000001</v>
      </c>
      <c r="M886" t="str">
        <f t="shared" si="52"/>
        <v>Sep</v>
      </c>
      <c r="N886">
        <f t="shared" si="53"/>
        <v>9</v>
      </c>
      <c r="O886">
        <f t="shared" si="54"/>
        <v>1154.8999999999999</v>
      </c>
      <c r="P886" t="str">
        <f t="shared" si="55"/>
        <v>OK</v>
      </c>
    </row>
    <row r="887" spans="1:16" x14ac:dyDescent="0.35">
      <c r="A887" t="s">
        <v>1252</v>
      </c>
      <c r="B887" s="3">
        <v>45307</v>
      </c>
      <c r="C887" t="s">
        <v>24</v>
      </c>
      <c r="D887" t="s">
        <v>42</v>
      </c>
      <c r="E887" t="s">
        <v>212</v>
      </c>
      <c r="F887" t="s">
        <v>21</v>
      </c>
      <c r="G887" t="s">
        <v>129</v>
      </c>
      <c r="H887">
        <v>8</v>
      </c>
      <c r="I887">
        <v>126.87</v>
      </c>
      <c r="J887">
        <v>0.05</v>
      </c>
      <c r="K887">
        <v>964.21</v>
      </c>
      <c r="M887" t="str">
        <f t="shared" si="52"/>
        <v>Jan</v>
      </c>
      <c r="N887">
        <f t="shared" si="53"/>
        <v>1</v>
      </c>
      <c r="O887">
        <f t="shared" si="54"/>
        <v>964.21199999999999</v>
      </c>
      <c r="P887" t="str">
        <f t="shared" si="55"/>
        <v>OK</v>
      </c>
    </row>
    <row r="888" spans="1:16" x14ac:dyDescent="0.35">
      <c r="A888" t="s">
        <v>1253</v>
      </c>
      <c r="B888" s="3">
        <v>45506</v>
      </c>
      <c r="C888" t="s">
        <v>65</v>
      </c>
      <c r="D888" t="s">
        <v>25</v>
      </c>
      <c r="E888" t="s">
        <v>206</v>
      </c>
      <c r="F888" t="s">
        <v>53</v>
      </c>
      <c r="G888" t="s">
        <v>63</v>
      </c>
      <c r="H888">
        <v>3</v>
      </c>
      <c r="I888">
        <v>106.54</v>
      </c>
      <c r="J888">
        <v>0.1</v>
      </c>
      <c r="K888">
        <v>287.66000000000003</v>
      </c>
      <c r="M888" t="str">
        <f t="shared" si="52"/>
        <v>Aug</v>
      </c>
      <c r="N888">
        <f t="shared" si="53"/>
        <v>8</v>
      </c>
      <c r="O888">
        <f t="shared" si="54"/>
        <v>287.65800000000002</v>
      </c>
      <c r="P888" t="str">
        <f t="shared" si="55"/>
        <v>OK</v>
      </c>
    </row>
    <row r="889" spans="1:16" x14ac:dyDescent="0.35">
      <c r="A889" t="s">
        <v>1254</v>
      </c>
      <c r="B889" s="3">
        <v>45332</v>
      </c>
      <c r="C889" t="s">
        <v>24</v>
      </c>
      <c r="D889" t="s">
        <v>25</v>
      </c>
      <c r="E889" t="s">
        <v>445</v>
      </c>
      <c r="F889" t="s">
        <v>53</v>
      </c>
      <c r="G889" t="s">
        <v>59</v>
      </c>
      <c r="H889">
        <v>11</v>
      </c>
      <c r="I889">
        <v>227.05</v>
      </c>
      <c r="J889">
        <v>0</v>
      </c>
      <c r="K889">
        <v>2497.5500000000002</v>
      </c>
      <c r="M889" t="str">
        <f t="shared" si="52"/>
        <v>Feb</v>
      </c>
      <c r="N889">
        <f t="shared" si="53"/>
        <v>2</v>
      </c>
      <c r="O889">
        <f t="shared" si="54"/>
        <v>2497.5500000000002</v>
      </c>
      <c r="P889" t="str">
        <f t="shared" si="55"/>
        <v>OK</v>
      </c>
    </row>
    <row r="890" spans="1:16" x14ac:dyDescent="0.35">
      <c r="A890" t="s">
        <v>1255</v>
      </c>
      <c r="B890" s="3">
        <v>45400</v>
      </c>
      <c r="C890" t="s">
        <v>65</v>
      </c>
      <c r="D890" t="s">
        <v>57</v>
      </c>
      <c r="E890" t="s">
        <v>346</v>
      </c>
      <c r="F890" t="s">
        <v>21</v>
      </c>
      <c r="G890" t="s">
        <v>167</v>
      </c>
      <c r="H890">
        <v>8</v>
      </c>
      <c r="I890">
        <v>169.27</v>
      </c>
      <c r="J890">
        <v>0.05</v>
      </c>
      <c r="K890">
        <v>1286.45</v>
      </c>
      <c r="M890" t="str">
        <f t="shared" si="52"/>
        <v>Apr</v>
      </c>
      <c r="N890">
        <f t="shared" si="53"/>
        <v>4</v>
      </c>
      <c r="O890">
        <f t="shared" si="54"/>
        <v>1286.452</v>
      </c>
      <c r="P890" t="str">
        <f t="shared" si="55"/>
        <v>OK</v>
      </c>
    </row>
    <row r="891" spans="1:16" x14ac:dyDescent="0.35">
      <c r="A891" t="s">
        <v>1256</v>
      </c>
      <c r="B891" s="3">
        <v>45408</v>
      </c>
      <c r="C891" t="s">
        <v>41</v>
      </c>
      <c r="D891" t="s">
        <v>57</v>
      </c>
      <c r="E891" t="s">
        <v>448</v>
      </c>
      <c r="F891" t="s">
        <v>15</v>
      </c>
      <c r="G891" t="s">
        <v>147</v>
      </c>
      <c r="H891">
        <v>11</v>
      </c>
      <c r="I891">
        <v>160.30000000000001</v>
      </c>
      <c r="J891">
        <v>0.05</v>
      </c>
      <c r="K891">
        <v>1675.13</v>
      </c>
      <c r="M891" t="str">
        <f t="shared" si="52"/>
        <v>Apr</v>
      </c>
      <c r="N891">
        <f t="shared" si="53"/>
        <v>4</v>
      </c>
      <c r="O891">
        <f t="shared" si="54"/>
        <v>1675.135</v>
      </c>
      <c r="P891" t="str">
        <f t="shared" si="55"/>
        <v>MISMATCH</v>
      </c>
    </row>
    <row r="892" spans="1:16" x14ac:dyDescent="0.35">
      <c r="A892" t="s">
        <v>1257</v>
      </c>
      <c r="B892" s="3">
        <v>45414</v>
      </c>
      <c r="C892" t="s">
        <v>41</v>
      </c>
      <c r="D892" t="s">
        <v>25</v>
      </c>
      <c r="E892" t="s">
        <v>426</v>
      </c>
      <c r="F892" t="s">
        <v>15</v>
      </c>
      <c r="G892" t="s">
        <v>16</v>
      </c>
      <c r="H892">
        <v>5</v>
      </c>
      <c r="I892">
        <v>159.63</v>
      </c>
      <c r="J892">
        <v>0</v>
      </c>
      <c r="K892">
        <v>798.15</v>
      </c>
      <c r="M892" t="str">
        <f t="shared" si="52"/>
        <v>May</v>
      </c>
      <c r="N892">
        <f t="shared" si="53"/>
        <v>5</v>
      </c>
      <c r="O892">
        <f t="shared" si="54"/>
        <v>798.15</v>
      </c>
      <c r="P892" t="str">
        <f t="shared" si="55"/>
        <v>OK</v>
      </c>
    </row>
    <row r="893" spans="1:16" x14ac:dyDescent="0.35">
      <c r="A893" t="s">
        <v>1258</v>
      </c>
      <c r="B893" s="3">
        <v>45644</v>
      </c>
      <c r="C893" t="s">
        <v>65</v>
      </c>
      <c r="D893" t="s">
        <v>19</v>
      </c>
      <c r="E893" t="s">
        <v>535</v>
      </c>
      <c r="F893" t="s">
        <v>15</v>
      </c>
      <c r="G893" t="s">
        <v>111</v>
      </c>
      <c r="H893">
        <v>10</v>
      </c>
      <c r="I893">
        <v>85.2</v>
      </c>
      <c r="J893">
        <v>0</v>
      </c>
      <c r="K893">
        <v>852</v>
      </c>
      <c r="M893" t="str">
        <f t="shared" si="52"/>
        <v>Dec</v>
      </c>
      <c r="N893">
        <f t="shared" si="53"/>
        <v>12</v>
      </c>
      <c r="O893">
        <f t="shared" si="54"/>
        <v>852</v>
      </c>
      <c r="P893" t="str">
        <f t="shared" si="55"/>
        <v>OK</v>
      </c>
    </row>
    <row r="894" spans="1:16" x14ac:dyDescent="0.35">
      <c r="A894" t="s">
        <v>1259</v>
      </c>
      <c r="B894" s="3">
        <v>45348</v>
      </c>
      <c r="C894" t="s">
        <v>41</v>
      </c>
      <c r="D894" t="s">
        <v>2216</v>
      </c>
      <c r="E894" t="s">
        <v>535</v>
      </c>
      <c r="F894" t="s">
        <v>44</v>
      </c>
      <c r="G894" t="s">
        <v>107</v>
      </c>
      <c r="H894">
        <v>8</v>
      </c>
      <c r="I894">
        <v>67.069999999999993</v>
      </c>
      <c r="J894">
        <v>0.15</v>
      </c>
      <c r="K894">
        <v>456.08</v>
      </c>
      <c r="M894" t="str">
        <f t="shared" si="52"/>
        <v>Feb</v>
      </c>
      <c r="N894">
        <f t="shared" si="53"/>
        <v>2</v>
      </c>
      <c r="O894">
        <f t="shared" si="54"/>
        <v>456.07599999999996</v>
      </c>
      <c r="P894" t="str">
        <f t="shared" si="55"/>
        <v>OK</v>
      </c>
    </row>
    <row r="895" spans="1:16" x14ac:dyDescent="0.35">
      <c r="A895" t="s">
        <v>1260</v>
      </c>
      <c r="B895" s="3">
        <v>45390</v>
      </c>
      <c r="C895" t="s">
        <v>65</v>
      </c>
      <c r="D895" t="s">
        <v>13</v>
      </c>
      <c r="E895" t="s">
        <v>238</v>
      </c>
      <c r="F895" t="s">
        <v>53</v>
      </c>
      <c r="G895" t="s">
        <v>260</v>
      </c>
      <c r="H895">
        <v>6</v>
      </c>
      <c r="I895">
        <v>175.12</v>
      </c>
      <c r="J895">
        <v>0.1</v>
      </c>
      <c r="K895">
        <v>945.65</v>
      </c>
      <c r="M895" t="str">
        <f t="shared" si="52"/>
        <v>Apr</v>
      </c>
      <c r="N895">
        <f t="shared" si="53"/>
        <v>4</v>
      </c>
      <c r="O895">
        <f t="shared" si="54"/>
        <v>945.64800000000002</v>
      </c>
      <c r="P895" t="str">
        <f t="shared" si="55"/>
        <v>OK</v>
      </c>
    </row>
    <row r="896" spans="1:16" x14ac:dyDescent="0.35">
      <c r="A896" t="s">
        <v>1261</v>
      </c>
      <c r="B896" s="3">
        <v>45447</v>
      </c>
      <c r="C896" t="s">
        <v>24</v>
      </c>
      <c r="D896" t="s">
        <v>19</v>
      </c>
      <c r="E896" t="s">
        <v>902</v>
      </c>
      <c r="F896" t="s">
        <v>15</v>
      </c>
      <c r="G896" t="s">
        <v>147</v>
      </c>
      <c r="H896">
        <v>4</v>
      </c>
      <c r="I896">
        <v>131.74</v>
      </c>
      <c r="J896">
        <v>0</v>
      </c>
      <c r="K896">
        <v>526.96</v>
      </c>
      <c r="M896" t="str">
        <f t="shared" si="52"/>
        <v>Jun</v>
      </c>
      <c r="N896">
        <f t="shared" si="53"/>
        <v>6</v>
      </c>
      <c r="O896">
        <f t="shared" si="54"/>
        <v>526.96</v>
      </c>
      <c r="P896" t="str">
        <f t="shared" si="55"/>
        <v>OK</v>
      </c>
    </row>
    <row r="897" spans="1:16" x14ac:dyDescent="0.35">
      <c r="A897" t="s">
        <v>1262</v>
      </c>
      <c r="B897" s="3">
        <v>45295</v>
      </c>
      <c r="C897" t="s">
        <v>18</v>
      </c>
      <c r="D897" t="s">
        <v>2216</v>
      </c>
      <c r="E897" t="s">
        <v>638</v>
      </c>
      <c r="F897" t="s">
        <v>53</v>
      </c>
      <c r="G897" t="s">
        <v>125</v>
      </c>
      <c r="H897">
        <v>7</v>
      </c>
      <c r="I897">
        <v>152.1</v>
      </c>
      <c r="J897">
        <v>0</v>
      </c>
      <c r="K897">
        <v>1064.7</v>
      </c>
      <c r="M897" t="str">
        <f t="shared" si="52"/>
        <v>Jan</v>
      </c>
      <c r="N897">
        <f t="shared" si="53"/>
        <v>1</v>
      </c>
      <c r="O897">
        <f t="shared" si="54"/>
        <v>1064.7</v>
      </c>
      <c r="P897" t="str">
        <f t="shared" si="55"/>
        <v>OK</v>
      </c>
    </row>
    <row r="898" spans="1:16" x14ac:dyDescent="0.35">
      <c r="A898" t="s">
        <v>1263</v>
      </c>
      <c r="B898" s="3">
        <v>45331</v>
      </c>
      <c r="C898" t="s">
        <v>41</v>
      </c>
      <c r="D898" t="s">
        <v>13</v>
      </c>
      <c r="E898" t="s">
        <v>93</v>
      </c>
      <c r="F898" t="s">
        <v>15</v>
      </c>
      <c r="G898" t="s">
        <v>16</v>
      </c>
      <c r="H898">
        <v>3</v>
      </c>
      <c r="I898">
        <v>112.34</v>
      </c>
      <c r="J898">
        <v>0</v>
      </c>
      <c r="K898">
        <v>337.02</v>
      </c>
      <c r="M898" t="str">
        <f t="shared" si="52"/>
        <v>Feb</v>
      </c>
      <c r="N898">
        <f t="shared" si="53"/>
        <v>2</v>
      </c>
      <c r="O898">
        <f t="shared" si="54"/>
        <v>337.02</v>
      </c>
      <c r="P898" t="str">
        <f t="shared" si="55"/>
        <v>OK</v>
      </c>
    </row>
    <row r="899" spans="1:16" x14ac:dyDescent="0.35">
      <c r="A899" t="s">
        <v>1264</v>
      </c>
      <c r="B899" s="3">
        <v>45623</v>
      </c>
      <c r="C899" t="s">
        <v>24</v>
      </c>
      <c r="D899" t="s">
        <v>2216</v>
      </c>
      <c r="E899" t="s">
        <v>263</v>
      </c>
      <c r="F899" t="s">
        <v>35</v>
      </c>
      <c r="G899" t="s">
        <v>83</v>
      </c>
      <c r="H899">
        <v>10</v>
      </c>
      <c r="I899">
        <v>53.67</v>
      </c>
      <c r="J899">
        <v>0.05</v>
      </c>
      <c r="K899">
        <v>509.87</v>
      </c>
      <c r="M899" t="str">
        <f t="shared" ref="M899:M962" si="56">TEXT(B899,"mmm")</f>
        <v>Nov</v>
      </c>
      <c r="N899">
        <f t="shared" ref="N899:N962" si="57">MONTH(B899)</f>
        <v>11</v>
      </c>
      <c r="O899">
        <f t="shared" ref="O899:O962" si="58">H899*I899*(1-J899)</f>
        <v>509.86500000000001</v>
      </c>
      <c r="P899" t="str">
        <f t="shared" ref="P899:P962" si="59">IF(ROUND(K899,2)=ROUND(O899,2),"OK","MISMATCH")</f>
        <v>OK</v>
      </c>
    </row>
    <row r="900" spans="1:16" x14ac:dyDescent="0.35">
      <c r="A900" t="s">
        <v>1265</v>
      </c>
      <c r="B900" s="3">
        <v>45570</v>
      </c>
      <c r="C900" t="s">
        <v>65</v>
      </c>
      <c r="D900" t="s">
        <v>42</v>
      </c>
      <c r="E900" t="s">
        <v>810</v>
      </c>
      <c r="F900" t="s">
        <v>44</v>
      </c>
      <c r="G900" t="s">
        <v>94</v>
      </c>
      <c r="H900">
        <v>3</v>
      </c>
      <c r="I900">
        <v>23.98</v>
      </c>
      <c r="J900">
        <v>0</v>
      </c>
      <c r="K900">
        <v>71.94</v>
      </c>
      <c r="M900" t="str">
        <f t="shared" si="56"/>
        <v>Oct</v>
      </c>
      <c r="N900">
        <f t="shared" si="57"/>
        <v>10</v>
      </c>
      <c r="O900">
        <f t="shared" si="58"/>
        <v>71.94</v>
      </c>
      <c r="P900" t="str">
        <f t="shared" si="59"/>
        <v>OK</v>
      </c>
    </row>
    <row r="901" spans="1:16" x14ac:dyDescent="0.35">
      <c r="A901" t="s">
        <v>1266</v>
      </c>
      <c r="B901" s="3">
        <v>45516</v>
      </c>
      <c r="C901" t="s">
        <v>33</v>
      </c>
      <c r="D901" t="s">
        <v>57</v>
      </c>
      <c r="E901" t="s">
        <v>521</v>
      </c>
      <c r="F901" t="s">
        <v>21</v>
      </c>
      <c r="G901" t="s">
        <v>70</v>
      </c>
      <c r="H901">
        <v>2</v>
      </c>
      <c r="I901">
        <v>240.85</v>
      </c>
      <c r="J901">
        <v>0</v>
      </c>
      <c r="K901">
        <v>481.7</v>
      </c>
      <c r="M901" t="str">
        <f t="shared" si="56"/>
        <v>Aug</v>
      </c>
      <c r="N901">
        <f t="shared" si="57"/>
        <v>8</v>
      </c>
      <c r="O901">
        <f t="shared" si="58"/>
        <v>481.7</v>
      </c>
      <c r="P901" t="str">
        <f t="shared" si="59"/>
        <v>OK</v>
      </c>
    </row>
    <row r="902" spans="1:16" x14ac:dyDescent="0.35">
      <c r="A902" t="s">
        <v>1267</v>
      </c>
      <c r="B902" s="3">
        <v>45400</v>
      </c>
      <c r="C902" t="s">
        <v>33</v>
      </c>
      <c r="D902" t="s">
        <v>57</v>
      </c>
      <c r="E902" t="s">
        <v>278</v>
      </c>
      <c r="F902" t="s">
        <v>15</v>
      </c>
      <c r="G902" t="s">
        <v>16</v>
      </c>
      <c r="H902">
        <v>1</v>
      </c>
      <c r="I902">
        <v>41.35</v>
      </c>
      <c r="J902">
        <v>0</v>
      </c>
      <c r="K902">
        <v>41.35</v>
      </c>
      <c r="M902" t="str">
        <f t="shared" si="56"/>
        <v>Apr</v>
      </c>
      <c r="N902">
        <f t="shared" si="57"/>
        <v>4</v>
      </c>
      <c r="O902">
        <f t="shared" si="58"/>
        <v>41.35</v>
      </c>
      <c r="P902" t="str">
        <f t="shared" si="59"/>
        <v>OK</v>
      </c>
    </row>
    <row r="903" spans="1:16" x14ac:dyDescent="0.35">
      <c r="A903" t="s">
        <v>1268</v>
      </c>
      <c r="B903" s="3">
        <v>45493</v>
      </c>
      <c r="C903" t="s">
        <v>18</v>
      </c>
      <c r="D903" t="s">
        <v>57</v>
      </c>
      <c r="E903" t="s">
        <v>392</v>
      </c>
      <c r="F903" t="s">
        <v>44</v>
      </c>
      <c r="G903" t="s">
        <v>86</v>
      </c>
      <c r="H903">
        <v>8</v>
      </c>
      <c r="I903">
        <v>45.92</v>
      </c>
      <c r="J903">
        <v>0</v>
      </c>
      <c r="K903">
        <v>367.36</v>
      </c>
      <c r="M903" t="str">
        <f t="shared" si="56"/>
        <v>Jul</v>
      </c>
      <c r="N903">
        <f t="shared" si="57"/>
        <v>7</v>
      </c>
      <c r="O903">
        <f t="shared" si="58"/>
        <v>367.36</v>
      </c>
      <c r="P903" t="str">
        <f t="shared" si="59"/>
        <v>OK</v>
      </c>
    </row>
    <row r="904" spans="1:16" x14ac:dyDescent="0.35">
      <c r="A904" t="s">
        <v>1269</v>
      </c>
      <c r="B904" s="3">
        <v>45451</v>
      </c>
      <c r="C904" t="s">
        <v>24</v>
      </c>
      <c r="D904" t="s">
        <v>57</v>
      </c>
      <c r="E904" t="s">
        <v>158</v>
      </c>
      <c r="F904" t="s">
        <v>44</v>
      </c>
      <c r="G904" t="s">
        <v>50</v>
      </c>
      <c r="H904">
        <v>5</v>
      </c>
      <c r="I904">
        <v>120.02</v>
      </c>
      <c r="J904">
        <v>0</v>
      </c>
      <c r="K904">
        <v>600.1</v>
      </c>
      <c r="M904" t="str">
        <f t="shared" si="56"/>
        <v>Jun</v>
      </c>
      <c r="N904">
        <f t="shared" si="57"/>
        <v>6</v>
      </c>
      <c r="O904">
        <f t="shared" si="58"/>
        <v>600.1</v>
      </c>
      <c r="P904" t="str">
        <f t="shared" si="59"/>
        <v>OK</v>
      </c>
    </row>
    <row r="905" spans="1:16" x14ac:dyDescent="0.35">
      <c r="A905" t="s">
        <v>1270</v>
      </c>
      <c r="B905" s="3">
        <v>45631</v>
      </c>
      <c r="C905" t="s">
        <v>41</v>
      </c>
      <c r="D905" t="s">
        <v>42</v>
      </c>
      <c r="E905" t="s">
        <v>867</v>
      </c>
      <c r="F905" t="s">
        <v>15</v>
      </c>
      <c r="G905" t="s">
        <v>147</v>
      </c>
      <c r="H905">
        <v>6</v>
      </c>
      <c r="I905">
        <v>168.66</v>
      </c>
      <c r="J905">
        <v>0.1</v>
      </c>
      <c r="K905">
        <v>910.76</v>
      </c>
      <c r="M905" t="str">
        <f t="shared" si="56"/>
        <v>Dec</v>
      </c>
      <c r="N905">
        <f t="shared" si="57"/>
        <v>12</v>
      </c>
      <c r="O905">
        <f t="shared" si="58"/>
        <v>910.76400000000001</v>
      </c>
      <c r="P905" t="str">
        <f t="shared" si="59"/>
        <v>OK</v>
      </c>
    </row>
    <row r="906" spans="1:16" x14ac:dyDescent="0.35">
      <c r="A906" t="s">
        <v>1271</v>
      </c>
      <c r="B906" s="3">
        <v>45408</v>
      </c>
      <c r="C906" t="s">
        <v>41</v>
      </c>
      <c r="D906" t="s">
        <v>25</v>
      </c>
      <c r="E906" t="s">
        <v>160</v>
      </c>
      <c r="F906" t="s">
        <v>21</v>
      </c>
      <c r="G906" t="s">
        <v>194</v>
      </c>
      <c r="H906">
        <v>1</v>
      </c>
      <c r="I906">
        <v>95.54</v>
      </c>
      <c r="J906">
        <v>0</v>
      </c>
      <c r="K906">
        <v>95.54</v>
      </c>
      <c r="M906" t="str">
        <f t="shared" si="56"/>
        <v>Apr</v>
      </c>
      <c r="N906">
        <f t="shared" si="57"/>
        <v>4</v>
      </c>
      <c r="O906">
        <f t="shared" si="58"/>
        <v>95.54</v>
      </c>
      <c r="P906" t="str">
        <f t="shared" si="59"/>
        <v>OK</v>
      </c>
    </row>
    <row r="907" spans="1:16" x14ac:dyDescent="0.35">
      <c r="A907" t="s">
        <v>1272</v>
      </c>
      <c r="B907" s="3">
        <v>45338</v>
      </c>
      <c r="C907" t="s">
        <v>33</v>
      </c>
      <c r="D907" t="s">
        <v>2216</v>
      </c>
      <c r="E907" t="s">
        <v>299</v>
      </c>
      <c r="F907" t="s">
        <v>44</v>
      </c>
      <c r="G907" t="s">
        <v>50</v>
      </c>
      <c r="H907">
        <v>10</v>
      </c>
      <c r="I907">
        <v>205.17</v>
      </c>
      <c r="J907">
        <v>0.15</v>
      </c>
      <c r="K907">
        <v>1743.94</v>
      </c>
      <c r="M907" t="str">
        <f t="shared" si="56"/>
        <v>Feb</v>
      </c>
      <c r="N907">
        <f t="shared" si="57"/>
        <v>2</v>
      </c>
      <c r="O907">
        <f t="shared" si="58"/>
        <v>1743.9449999999997</v>
      </c>
      <c r="P907" t="str">
        <f t="shared" si="59"/>
        <v>MISMATCH</v>
      </c>
    </row>
    <row r="908" spans="1:16" x14ac:dyDescent="0.35">
      <c r="A908" t="s">
        <v>1273</v>
      </c>
      <c r="B908" s="3">
        <v>45556</v>
      </c>
      <c r="C908" t="s">
        <v>33</v>
      </c>
      <c r="D908" t="s">
        <v>57</v>
      </c>
      <c r="E908" t="s">
        <v>133</v>
      </c>
      <c r="F908" t="s">
        <v>35</v>
      </c>
      <c r="G908" t="s">
        <v>134</v>
      </c>
      <c r="H908">
        <v>2</v>
      </c>
      <c r="I908">
        <v>5.78</v>
      </c>
      <c r="J908">
        <v>0.05</v>
      </c>
      <c r="K908">
        <v>10.98</v>
      </c>
      <c r="M908" t="str">
        <f t="shared" si="56"/>
        <v>Sep</v>
      </c>
      <c r="N908">
        <f t="shared" si="57"/>
        <v>9</v>
      </c>
      <c r="O908">
        <f t="shared" si="58"/>
        <v>10.981999999999999</v>
      </c>
      <c r="P908" t="str">
        <f t="shared" si="59"/>
        <v>OK</v>
      </c>
    </row>
    <row r="909" spans="1:16" x14ac:dyDescent="0.35">
      <c r="A909" t="s">
        <v>1275</v>
      </c>
      <c r="B909" s="3">
        <v>45326</v>
      </c>
      <c r="C909" t="s">
        <v>41</v>
      </c>
      <c r="D909" t="s">
        <v>13</v>
      </c>
      <c r="E909" t="s">
        <v>484</v>
      </c>
      <c r="F909" t="s">
        <v>35</v>
      </c>
      <c r="G909" t="s">
        <v>67</v>
      </c>
      <c r="H909">
        <v>9</v>
      </c>
      <c r="I909">
        <v>227.19</v>
      </c>
      <c r="J909">
        <v>0</v>
      </c>
      <c r="K909">
        <v>2044.71</v>
      </c>
      <c r="M909" t="str">
        <f t="shared" si="56"/>
        <v>Feb</v>
      </c>
      <c r="N909">
        <f t="shared" si="57"/>
        <v>2</v>
      </c>
      <c r="O909">
        <f t="shared" si="58"/>
        <v>2044.71</v>
      </c>
      <c r="P909" t="str">
        <f t="shared" si="59"/>
        <v>OK</v>
      </c>
    </row>
    <row r="910" spans="1:16" x14ac:dyDescent="0.35">
      <c r="A910" t="s">
        <v>1276</v>
      </c>
      <c r="B910" s="3">
        <v>45337</v>
      </c>
      <c r="C910" t="s">
        <v>65</v>
      </c>
      <c r="D910" t="s">
        <v>57</v>
      </c>
      <c r="E910" t="s">
        <v>117</v>
      </c>
      <c r="F910" t="s">
        <v>35</v>
      </c>
      <c r="G910" t="s">
        <v>134</v>
      </c>
      <c r="H910">
        <v>11</v>
      </c>
      <c r="I910">
        <v>64.12</v>
      </c>
      <c r="J910">
        <v>0.05</v>
      </c>
      <c r="K910">
        <v>670.05</v>
      </c>
      <c r="M910" t="str">
        <f t="shared" si="56"/>
        <v>Feb</v>
      </c>
      <c r="N910">
        <f t="shared" si="57"/>
        <v>2</v>
      </c>
      <c r="O910">
        <f t="shared" si="58"/>
        <v>670.05399999999997</v>
      </c>
      <c r="P910" t="str">
        <f t="shared" si="59"/>
        <v>OK</v>
      </c>
    </row>
    <row r="911" spans="1:16" x14ac:dyDescent="0.35">
      <c r="A911" t="s">
        <v>1277</v>
      </c>
      <c r="B911" s="3">
        <v>45298</v>
      </c>
      <c r="C911" t="s">
        <v>18</v>
      </c>
      <c r="D911" t="s">
        <v>25</v>
      </c>
      <c r="E911" t="s">
        <v>110</v>
      </c>
      <c r="F911" t="s">
        <v>53</v>
      </c>
      <c r="G911" t="s">
        <v>54</v>
      </c>
      <c r="H911">
        <v>7</v>
      </c>
      <c r="I911">
        <v>102.46</v>
      </c>
      <c r="J911">
        <v>0.1</v>
      </c>
      <c r="K911">
        <v>645.5</v>
      </c>
      <c r="M911" t="str">
        <f t="shared" si="56"/>
        <v>Jan</v>
      </c>
      <c r="N911">
        <f t="shared" si="57"/>
        <v>1</v>
      </c>
      <c r="O911">
        <f t="shared" si="58"/>
        <v>645.49799999999993</v>
      </c>
      <c r="P911" t="str">
        <f t="shared" si="59"/>
        <v>OK</v>
      </c>
    </row>
    <row r="912" spans="1:16" x14ac:dyDescent="0.35">
      <c r="A912" t="s">
        <v>1278</v>
      </c>
      <c r="B912" s="3">
        <v>45395</v>
      </c>
      <c r="C912" t="s">
        <v>24</v>
      </c>
      <c r="D912" t="s">
        <v>13</v>
      </c>
      <c r="E912" t="s">
        <v>34</v>
      </c>
      <c r="F912" t="s">
        <v>44</v>
      </c>
      <c r="G912" t="s">
        <v>94</v>
      </c>
      <c r="H912">
        <v>3</v>
      </c>
      <c r="I912">
        <v>61.87</v>
      </c>
      <c r="J912">
        <v>0</v>
      </c>
      <c r="K912">
        <v>185.61</v>
      </c>
      <c r="M912" t="str">
        <f t="shared" si="56"/>
        <v>Apr</v>
      </c>
      <c r="N912">
        <f t="shared" si="57"/>
        <v>4</v>
      </c>
      <c r="O912">
        <f t="shared" si="58"/>
        <v>185.60999999999999</v>
      </c>
      <c r="P912" t="str">
        <f t="shared" si="59"/>
        <v>OK</v>
      </c>
    </row>
    <row r="913" spans="1:16" x14ac:dyDescent="0.35">
      <c r="A913" t="s">
        <v>1279</v>
      </c>
      <c r="B913" s="3">
        <v>45627</v>
      </c>
      <c r="C913" t="s">
        <v>24</v>
      </c>
      <c r="D913" t="s">
        <v>25</v>
      </c>
      <c r="E913" t="s">
        <v>166</v>
      </c>
      <c r="F913" t="s">
        <v>44</v>
      </c>
      <c r="G913" t="s">
        <v>86</v>
      </c>
      <c r="H913">
        <v>10</v>
      </c>
      <c r="I913">
        <v>179.34</v>
      </c>
      <c r="J913">
        <v>0</v>
      </c>
      <c r="K913">
        <v>1793.4</v>
      </c>
      <c r="M913" t="str">
        <f t="shared" si="56"/>
        <v>Dec</v>
      </c>
      <c r="N913">
        <f t="shared" si="57"/>
        <v>12</v>
      </c>
      <c r="O913">
        <f t="shared" si="58"/>
        <v>1793.4</v>
      </c>
      <c r="P913" t="str">
        <f t="shared" si="59"/>
        <v>OK</v>
      </c>
    </row>
    <row r="914" spans="1:16" x14ac:dyDescent="0.35">
      <c r="A914" t="s">
        <v>1280</v>
      </c>
      <c r="B914" s="3">
        <v>45442</v>
      </c>
      <c r="C914" t="s">
        <v>65</v>
      </c>
      <c r="D914" t="s">
        <v>25</v>
      </c>
      <c r="E914" t="s">
        <v>62</v>
      </c>
      <c r="F914" t="s">
        <v>44</v>
      </c>
      <c r="G914" t="s">
        <v>50</v>
      </c>
      <c r="H914">
        <v>7</v>
      </c>
      <c r="I914">
        <v>157.80000000000001</v>
      </c>
      <c r="J914">
        <v>0</v>
      </c>
      <c r="K914">
        <v>1104.5999999999999</v>
      </c>
      <c r="M914" t="str">
        <f t="shared" si="56"/>
        <v>May</v>
      </c>
      <c r="N914">
        <f t="shared" si="57"/>
        <v>5</v>
      </c>
      <c r="O914">
        <f t="shared" si="58"/>
        <v>1104.6000000000001</v>
      </c>
      <c r="P914" t="str">
        <f t="shared" si="59"/>
        <v>OK</v>
      </c>
    </row>
    <row r="915" spans="1:16" x14ac:dyDescent="0.35">
      <c r="A915" t="s">
        <v>1281</v>
      </c>
      <c r="B915" s="3">
        <v>45422</v>
      </c>
      <c r="C915" t="s">
        <v>24</v>
      </c>
      <c r="D915" t="s">
        <v>57</v>
      </c>
      <c r="E915" t="s">
        <v>407</v>
      </c>
      <c r="F915" t="s">
        <v>53</v>
      </c>
      <c r="G915" t="s">
        <v>104</v>
      </c>
      <c r="H915">
        <v>4</v>
      </c>
      <c r="I915">
        <v>180.12</v>
      </c>
      <c r="J915">
        <v>0</v>
      </c>
      <c r="K915">
        <v>720.48</v>
      </c>
      <c r="M915" t="str">
        <f t="shared" si="56"/>
        <v>May</v>
      </c>
      <c r="N915">
        <f t="shared" si="57"/>
        <v>5</v>
      </c>
      <c r="O915">
        <f t="shared" si="58"/>
        <v>720.48</v>
      </c>
      <c r="P915" t="str">
        <f t="shared" si="59"/>
        <v>OK</v>
      </c>
    </row>
    <row r="916" spans="1:16" x14ac:dyDescent="0.35">
      <c r="A916" t="s">
        <v>1282</v>
      </c>
      <c r="B916" s="3">
        <v>45511</v>
      </c>
      <c r="C916" t="s">
        <v>65</v>
      </c>
      <c r="D916" t="s">
        <v>57</v>
      </c>
      <c r="E916" t="s">
        <v>484</v>
      </c>
      <c r="F916" t="s">
        <v>21</v>
      </c>
      <c r="G916" t="s">
        <v>22</v>
      </c>
      <c r="H916">
        <v>4</v>
      </c>
      <c r="I916">
        <v>164.32</v>
      </c>
      <c r="J916">
        <v>0.15</v>
      </c>
      <c r="K916">
        <v>558.69000000000005</v>
      </c>
      <c r="M916" t="str">
        <f t="shared" si="56"/>
        <v>Aug</v>
      </c>
      <c r="N916">
        <f t="shared" si="57"/>
        <v>8</v>
      </c>
      <c r="O916">
        <f t="shared" si="58"/>
        <v>558.68799999999999</v>
      </c>
      <c r="P916" t="str">
        <f t="shared" si="59"/>
        <v>OK</v>
      </c>
    </row>
    <row r="917" spans="1:16" x14ac:dyDescent="0.35">
      <c r="A917" t="s">
        <v>1283</v>
      </c>
      <c r="B917" s="3">
        <v>45379</v>
      </c>
      <c r="C917" t="s">
        <v>18</v>
      </c>
      <c r="D917" t="s">
        <v>25</v>
      </c>
      <c r="E917" t="s">
        <v>825</v>
      </c>
      <c r="F917" t="s">
        <v>53</v>
      </c>
      <c r="G917" t="s">
        <v>59</v>
      </c>
      <c r="H917">
        <v>2</v>
      </c>
      <c r="I917">
        <v>205.36</v>
      </c>
      <c r="J917">
        <v>0</v>
      </c>
      <c r="K917">
        <v>410.72</v>
      </c>
      <c r="M917" t="str">
        <f t="shared" si="56"/>
        <v>Mar</v>
      </c>
      <c r="N917">
        <f t="shared" si="57"/>
        <v>3</v>
      </c>
      <c r="O917">
        <f t="shared" si="58"/>
        <v>410.72</v>
      </c>
      <c r="P917" t="str">
        <f t="shared" si="59"/>
        <v>OK</v>
      </c>
    </row>
    <row r="918" spans="1:16" x14ac:dyDescent="0.35">
      <c r="A918" t="s">
        <v>1284</v>
      </c>
      <c r="B918" s="3">
        <v>45511</v>
      </c>
      <c r="C918" t="s">
        <v>33</v>
      </c>
      <c r="D918" t="s">
        <v>2216</v>
      </c>
      <c r="E918" t="s">
        <v>480</v>
      </c>
      <c r="F918" t="s">
        <v>21</v>
      </c>
      <c r="G918" t="s">
        <v>22</v>
      </c>
      <c r="H918">
        <v>5</v>
      </c>
      <c r="I918">
        <v>241.02</v>
      </c>
      <c r="J918">
        <v>0</v>
      </c>
      <c r="K918">
        <v>1205.0999999999999</v>
      </c>
      <c r="M918" t="str">
        <f t="shared" si="56"/>
        <v>Aug</v>
      </c>
      <c r="N918">
        <f t="shared" si="57"/>
        <v>8</v>
      </c>
      <c r="O918">
        <f t="shared" si="58"/>
        <v>1205.1000000000001</v>
      </c>
      <c r="P918" t="str">
        <f t="shared" si="59"/>
        <v>OK</v>
      </c>
    </row>
    <row r="919" spans="1:16" x14ac:dyDescent="0.35">
      <c r="A919" t="s">
        <v>1285</v>
      </c>
      <c r="B919" s="3">
        <v>45479</v>
      </c>
      <c r="C919" t="s">
        <v>24</v>
      </c>
      <c r="D919" t="s">
        <v>25</v>
      </c>
      <c r="E919" t="s">
        <v>517</v>
      </c>
      <c r="F919" t="s">
        <v>44</v>
      </c>
      <c r="G919" t="s">
        <v>86</v>
      </c>
      <c r="H919">
        <v>4</v>
      </c>
      <c r="I919">
        <v>238.56</v>
      </c>
      <c r="J919">
        <v>0</v>
      </c>
      <c r="K919">
        <v>954.24</v>
      </c>
      <c r="M919" t="str">
        <f t="shared" si="56"/>
        <v>Jul</v>
      </c>
      <c r="N919">
        <f t="shared" si="57"/>
        <v>7</v>
      </c>
      <c r="O919">
        <f t="shared" si="58"/>
        <v>954.24</v>
      </c>
      <c r="P919" t="str">
        <f t="shared" si="59"/>
        <v>OK</v>
      </c>
    </row>
    <row r="920" spans="1:16" x14ac:dyDescent="0.35">
      <c r="A920" t="s">
        <v>1286</v>
      </c>
      <c r="B920" s="3">
        <v>45530</v>
      </c>
      <c r="C920" t="s">
        <v>65</v>
      </c>
      <c r="D920" t="s">
        <v>13</v>
      </c>
      <c r="E920" t="s">
        <v>293</v>
      </c>
      <c r="F920" t="s">
        <v>35</v>
      </c>
      <c r="G920" t="s">
        <v>134</v>
      </c>
      <c r="H920">
        <v>10</v>
      </c>
      <c r="I920">
        <v>170.91</v>
      </c>
      <c r="J920">
        <v>0.05</v>
      </c>
      <c r="K920">
        <v>1623.64</v>
      </c>
      <c r="M920" t="str">
        <f t="shared" si="56"/>
        <v>Aug</v>
      </c>
      <c r="N920">
        <f t="shared" si="57"/>
        <v>8</v>
      </c>
      <c r="O920">
        <f t="shared" si="58"/>
        <v>1623.6449999999998</v>
      </c>
      <c r="P920" t="str">
        <f t="shared" si="59"/>
        <v>MISMATCH</v>
      </c>
    </row>
    <row r="921" spans="1:16" x14ac:dyDescent="0.35">
      <c r="A921" t="s">
        <v>1287</v>
      </c>
      <c r="B921" s="3">
        <v>45380</v>
      </c>
      <c r="C921" t="s">
        <v>65</v>
      </c>
      <c r="D921" t="s">
        <v>25</v>
      </c>
      <c r="E921" t="s">
        <v>2217</v>
      </c>
      <c r="F921" t="s">
        <v>21</v>
      </c>
      <c r="G921" t="s">
        <v>194</v>
      </c>
      <c r="H921">
        <v>11</v>
      </c>
      <c r="I921">
        <v>195.08</v>
      </c>
      <c r="J921">
        <v>0.15</v>
      </c>
      <c r="K921">
        <v>1824</v>
      </c>
      <c r="M921" t="str">
        <f t="shared" si="56"/>
        <v>Mar</v>
      </c>
      <c r="N921">
        <f t="shared" si="57"/>
        <v>3</v>
      </c>
      <c r="O921">
        <f t="shared" si="58"/>
        <v>1823.998</v>
      </c>
      <c r="P921" t="str">
        <f t="shared" si="59"/>
        <v>OK</v>
      </c>
    </row>
    <row r="922" spans="1:16" x14ac:dyDescent="0.35">
      <c r="A922" t="s">
        <v>1288</v>
      </c>
      <c r="B922" s="3">
        <v>45603</v>
      </c>
      <c r="C922" t="s">
        <v>24</v>
      </c>
      <c r="D922" t="s">
        <v>13</v>
      </c>
      <c r="E922" t="s">
        <v>334</v>
      </c>
      <c r="F922" t="s">
        <v>15</v>
      </c>
      <c r="G922" t="s">
        <v>16</v>
      </c>
      <c r="H922">
        <v>4</v>
      </c>
      <c r="I922">
        <v>162.30000000000001</v>
      </c>
      <c r="J922">
        <v>0.15</v>
      </c>
      <c r="K922">
        <v>551.82000000000005</v>
      </c>
      <c r="M922" t="str">
        <f t="shared" si="56"/>
        <v>Nov</v>
      </c>
      <c r="N922">
        <f t="shared" si="57"/>
        <v>11</v>
      </c>
      <c r="O922">
        <f t="shared" si="58"/>
        <v>551.82000000000005</v>
      </c>
      <c r="P922" t="str">
        <f t="shared" si="59"/>
        <v>OK</v>
      </c>
    </row>
    <row r="923" spans="1:16" x14ac:dyDescent="0.35">
      <c r="A923" t="s">
        <v>1289</v>
      </c>
      <c r="B923" s="3">
        <v>45305</v>
      </c>
      <c r="C923" t="s">
        <v>41</v>
      </c>
      <c r="D923" t="s">
        <v>13</v>
      </c>
      <c r="E923" t="s">
        <v>233</v>
      </c>
      <c r="F923" t="s">
        <v>21</v>
      </c>
      <c r="G923" t="s">
        <v>167</v>
      </c>
      <c r="H923">
        <v>2</v>
      </c>
      <c r="I923">
        <v>78.02</v>
      </c>
      <c r="J923">
        <v>0</v>
      </c>
      <c r="K923">
        <v>156.04</v>
      </c>
      <c r="M923" t="str">
        <f t="shared" si="56"/>
        <v>Jan</v>
      </c>
      <c r="N923">
        <f t="shared" si="57"/>
        <v>1</v>
      </c>
      <c r="O923">
        <f t="shared" si="58"/>
        <v>156.04</v>
      </c>
      <c r="P923" t="str">
        <f t="shared" si="59"/>
        <v>OK</v>
      </c>
    </row>
    <row r="924" spans="1:16" x14ac:dyDescent="0.35">
      <c r="A924" t="s">
        <v>1290</v>
      </c>
      <c r="B924" s="3">
        <v>45589</v>
      </c>
      <c r="C924" t="s">
        <v>18</v>
      </c>
      <c r="D924" t="s">
        <v>2216</v>
      </c>
      <c r="E924" t="s">
        <v>14</v>
      </c>
      <c r="F924" t="s">
        <v>35</v>
      </c>
      <c r="G924" t="s">
        <v>67</v>
      </c>
      <c r="H924">
        <v>4</v>
      </c>
      <c r="I924">
        <v>43.13</v>
      </c>
      <c r="J924">
        <v>0.15</v>
      </c>
      <c r="K924">
        <v>146.63999999999999</v>
      </c>
      <c r="M924" t="str">
        <f t="shared" si="56"/>
        <v>Oct</v>
      </c>
      <c r="N924">
        <f t="shared" si="57"/>
        <v>10</v>
      </c>
      <c r="O924">
        <f t="shared" si="58"/>
        <v>146.642</v>
      </c>
      <c r="P924" t="str">
        <f t="shared" si="59"/>
        <v>OK</v>
      </c>
    </row>
    <row r="925" spans="1:16" x14ac:dyDescent="0.35">
      <c r="A925" t="s">
        <v>1291</v>
      </c>
      <c r="B925" s="3">
        <v>45610</v>
      </c>
      <c r="C925" t="s">
        <v>18</v>
      </c>
      <c r="D925" t="s">
        <v>19</v>
      </c>
      <c r="E925" t="s">
        <v>152</v>
      </c>
      <c r="F925" t="s">
        <v>44</v>
      </c>
      <c r="G925" t="s">
        <v>50</v>
      </c>
      <c r="H925">
        <v>10</v>
      </c>
      <c r="I925">
        <v>95.87</v>
      </c>
      <c r="J925">
        <v>0.15</v>
      </c>
      <c r="K925">
        <v>814.89</v>
      </c>
      <c r="M925" t="str">
        <f t="shared" si="56"/>
        <v>Nov</v>
      </c>
      <c r="N925">
        <f t="shared" si="57"/>
        <v>11</v>
      </c>
      <c r="O925">
        <f t="shared" si="58"/>
        <v>814.89499999999998</v>
      </c>
      <c r="P925" t="str">
        <f t="shared" si="59"/>
        <v>MISMATCH</v>
      </c>
    </row>
    <row r="926" spans="1:16" x14ac:dyDescent="0.35">
      <c r="A926" t="s">
        <v>1292</v>
      </c>
      <c r="B926" s="3">
        <v>45464</v>
      </c>
      <c r="C926" t="s">
        <v>24</v>
      </c>
      <c r="D926" t="s">
        <v>42</v>
      </c>
      <c r="E926" t="s">
        <v>34</v>
      </c>
      <c r="F926" t="s">
        <v>44</v>
      </c>
      <c r="G926" t="s">
        <v>107</v>
      </c>
      <c r="H926">
        <v>11</v>
      </c>
      <c r="I926">
        <v>84.44</v>
      </c>
      <c r="J926">
        <v>0.1</v>
      </c>
      <c r="K926">
        <v>835.96</v>
      </c>
      <c r="M926" t="str">
        <f t="shared" si="56"/>
        <v>Jun</v>
      </c>
      <c r="N926">
        <f t="shared" si="57"/>
        <v>6</v>
      </c>
      <c r="O926">
        <f t="shared" si="58"/>
        <v>835.9559999999999</v>
      </c>
      <c r="P926" t="str">
        <f t="shared" si="59"/>
        <v>OK</v>
      </c>
    </row>
    <row r="927" spans="1:16" x14ac:dyDescent="0.35">
      <c r="A927" t="s">
        <v>1293</v>
      </c>
      <c r="B927" s="3">
        <v>45484</v>
      </c>
      <c r="C927" t="s">
        <v>65</v>
      </c>
      <c r="D927" t="s">
        <v>19</v>
      </c>
      <c r="E927" t="s">
        <v>272</v>
      </c>
      <c r="F927" t="s">
        <v>35</v>
      </c>
      <c r="G927" t="s">
        <v>177</v>
      </c>
      <c r="H927">
        <v>8</v>
      </c>
      <c r="I927">
        <v>51.64</v>
      </c>
      <c r="J927">
        <v>0</v>
      </c>
      <c r="K927">
        <v>413.12</v>
      </c>
      <c r="M927" t="str">
        <f t="shared" si="56"/>
        <v>Jul</v>
      </c>
      <c r="N927">
        <f t="shared" si="57"/>
        <v>7</v>
      </c>
      <c r="O927">
        <f t="shared" si="58"/>
        <v>413.12</v>
      </c>
      <c r="P927" t="str">
        <f t="shared" si="59"/>
        <v>OK</v>
      </c>
    </row>
    <row r="928" spans="1:16" x14ac:dyDescent="0.35">
      <c r="A928" t="s">
        <v>1294</v>
      </c>
      <c r="B928" s="3">
        <v>45484</v>
      </c>
      <c r="C928" t="s">
        <v>65</v>
      </c>
      <c r="D928" t="s">
        <v>19</v>
      </c>
      <c r="E928" t="s">
        <v>366</v>
      </c>
      <c r="F928" t="s">
        <v>44</v>
      </c>
      <c r="G928" t="s">
        <v>50</v>
      </c>
      <c r="H928">
        <v>11</v>
      </c>
      <c r="I928">
        <v>159.08000000000001</v>
      </c>
      <c r="J928">
        <v>0</v>
      </c>
      <c r="K928">
        <v>1749.88</v>
      </c>
      <c r="M928" t="str">
        <f t="shared" si="56"/>
        <v>Jul</v>
      </c>
      <c r="N928">
        <f t="shared" si="57"/>
        <v>7</v>
      </c>
      <c r="O928">
        <f t="shared" si="58"/>
        <v>1749.88</v>
      </c>
      <c r="P928" t="str">
        <f t="shared" si="59"/>
        <v>OK</v>
      </c>
    </row>
    <row r="929" spans="1:16" x14ac:dyDescent="0.35">
      <c r="A929" t="s">
        <v>1295</v>
      </c>
      <c r="B929" s="3">
        <v>45550</v>
      </c>
      <c r="C929" t="s">
        <v>65</v>
      </c>
      <c r="D929" t="s">
        <v>25</v>
      </c>
      <c r="E929" t="s">
        <v>847</v>
      </c>
      <c r="F929" t="s">
        <v>53</v>
      </c>
      <c r="G929" t="s">
        <v>63</v>
      </c>
      <c r="H929">
        <v>6</v>
      </c>
      <c r="I929">
        <v>190.81</v>
      </c>
      <c r="J929">
        <v>0.05</v>
      </c>
      <c r="K929">
        <v>1087.6199999999999</v>
      </c>
      <c r="M929" t="str">
        <f t="shared" si="56"/>
        <v>Sep</v>
      </c>
      <c r="N929">
        <f t="shared" si="57"/>
        <v>9</v>
      </c>
      <c r="O929">
        <f t="shared" si="58"/>
        <v>1087.617</v>
      </c>
      <c r="P929" t="str">
        <f t="shared" si="59"/>
        <v>OK</v>
      </c>
    </row>
    <row r="930" spans="1:16" x14ac:dyDescent="0.35">
      <c r="A930" t="s">
        <v>1296</v>
      </c>
      <c r="B930" s="3">
        <v>45353</v>
      </c>
      <c r="C930" t="s">
        <v>65</v>
      </c>
      <c r="D930" t="s">
        <v>13</v>
      </c>
      <c r="E930" t="s">
        <v>526</v>
      </c>
      <c r="F930" t="s">
        <v>15</v>
      </c>
      <c r="G930" t="s">
        <v>147</v>
      </c>
      <c r="H930">
        <v>6</v>
      </c>
      <c r="I930">
        <v>236.97</v>
      </c>
      <c r="J930">
        <v>0.1</v>
      </c>
      <c r="K930">
        <v>1279.6400000000001</v>
      </c>
      <c r="M930" t="str">
        <f t="shared" si="56"/>
        <v>Mar</v>
      </c>
      <c r="N930">
        <f t="shared" si="57"/>
        <v>3</v>
      </c>
      <c r="O930">
        <f t="shared" si="58"/>
        <v>1279.6379999999999</v>
      </c>
      <c r="P930" t="str">
        <f t="shared" si="59"/>
        <v>OK</v>
      </c>
    </row>
    <row r="931" spans="1:16" x14ac:dyDescent="0.35">
      <c r="A931" t="s">
        <v>1297</v>
      </c>
      <c r="B931" s="3">
        <v>45429</v>
      </c>
      <c r="C931" t="s">
        <v>41</v>
      </c>
      <c r="D931" t="s">
        <v>19</v>
      </c>
      <c r="E931" t="s">
        <v>642</v>
      </c>
      <c r="F931" t="s">
        <v>53</v>
      </c>
      <c r="G931" t="s">
        <v>59</v>
      </c>
      <c r="H931">
        <v>2</v>
      </c>
      <c r="I931">
        <v>38.54</v>
      </c>
      <c r="J931">
        <v>0.1</v>
      </c>
      <c r="K931">
        <v>69.37</v>
      </c>
      <c r="M931" t="str">
        <f t="shared" si="56"/>
        <v>May</v>
      </c>
      <c r="N931">
        <f t="shared" si="57"/>
        <v>5</v>
      </c>
      <c r="O931">
        <f t="shared" si="58"/>
        <v>69.372</v>
      </c>
      <c r="P931" t="str">
        <f t="shared" si="59"/>
        <v>OK</v>
      </c>
    </row>
    <row r="932" spans="1:16" x14ac:dyDescent="0.35">
      <c r="A932" t="s">
        <v>1298</v>
      </c>
      <c r="B932" s="3">
        <v>45517</v>
      </c>
      <c r="C932" t="s">
        <v>41</v>
      </c>
      <c r="D932" t="s">
        <v>25</v>
      </c>
      <c r="E932" t="s">
        <v>858</v>
      </c>
      <c r="F932" t="s">
        <v>21</v>
      </c>
      <c r="G932" t="s">
        <v>167</v>
      </c>
      <c r="H932">
        <v>12</v>
      </c>
      <c r="I932">
        <v>15.28</v>
      </c>
      <c r="J932">
        <v>0</v>
      </c>
      <c r="K932">
        <v>183.36</v>
      </c>
      <c r="M932" t="str">
        <f t="shared" si="56"/>
        <v>Aug</v>
      </c>
      <c r="N932">
        <f t="shared" si="57"/>
        <v>8</v>
      </c>
      <c r="O932">
        <f t="shared" si="58"/>
        <v>183.35999999999999</v>
      </c>
      <c r="P932" t="str">
        <f t="shared" si="59"/>
        <v>OK</v>
      </c>
    </row>
    <row r="933" spans="1:16" x14ac:dyDescent="0.35">
      <c r="A933" t="s">
        <v>1299</v>
      </c>
      <c r="B933" s="3">
        <v>45497</v>
      </c>
      <c r="C933" t="s">
        <v>24</v>
      </c>
      <c r="D933" t="s">
        <v>25</v>
      </c>
      <c r="E933" t="s">
        <v>291</v>
      </c>
      <c r="F933" t="s">
        <v>15</v>
      </c>
      <c r="G933" t="s">
        <v>147</v>
      </c>
      <c r="H933">
        <v>6</v>
      </c>
      <c r="I933">
        <v>119.53</v>
      </c>
      <c r="J933">
        <v>0</v>
      </c>
      <c r="K933">
        <v>717.18</v>
      </c>
      <c r="M933" t="str">
        <f t="shared" si="56"/>
        <v>Jul</v>
      </c>
      <c r="N933">
        <f t="shared" si="57"/>
        <v>7</v>
      </c>
      <c r="O933">
        <f t="shared" si="58"/>
        <v>717.18000000000006</v>
      </c>
      <c r="P933" t="str">
        <f t="shared" si="59"/>
        <v>OK</v>
      </c>
    </row>
    <row r="934" spans="1:16" x14ac:dyDescent="0.35">
      <c r="A934" t="s">
        <v>1300</v>
      </c>
      <c r="B934" s="3">
        <v>45433</v>
      </c>
      <c r="C934" t="s">
        <v>41</v>
      </c>
      <c r="D934" t="s">
        <v>42</v>
      </c>
      <c r="E934" t="s">
        <v>311</v>
      </c>
      <c r="F934" t="s">
        <v>21</v>
      </c>
      <c r="G934" t="s">
        <v>129</v>
      </c>
      <c r="H934">
        <v>1</v>
      </c>
      <c r="I934">
        <v>58.96</v>
      </c>
      <c r="J934">
        <v>0</v>
      </c>
      <c r="K934">
        <v>58.96</v>
      </c>
      <c r="M934" t="str">
        <f t="shared" si="56"/>
        <v>May</v>
      </c>
      <c r="N934">
        <f t="shared" si="57"/>
        <v>5</v>
      </c>
      <c r="O934">
        <f t="shared" si="58"/>
        <v>58.96</v>
      </c>
      <c r="P934" t="str">
        <f t="shared" si="59"/>
        <v>OK</v>
      </c>
    </row>
    <row r="935" spans="1:16" x14ac:dyDescent="0.35">
      <c r="A935" t="s">
        <v>1301</v>
      </c>
      <c r="B935" s="3">
        <v>45404</v>
      </c>
      <c r="C935" t="s">
        <v>24</v>
      </c>
      <c r="D935" t="s">
        <v>19</v>
      </c>
      <c r="E935" t="s">
        <v>243</v>
      </c>
      <c r="F935" t="s">
        <v>44</v>
      </c>
      <c r="G935" t="s">
        <v>50</v>
      </c>
      <c r="H935">
        <v>2</v>
      </c>
      <c r="I935">
        <v>129.83000000000001</v>
      </c>
      <c r="J935">
        <v>0</v>
      </c>
      <c r="K935">
        <v>259.66000000000003</v>
      </c>
      <c r="M935" t="str">
        <f t="shared" si="56"/>
        <v>Apr</v>
      </c>
      <c r="N935">
        <f t="shared" si="57"/>
        <v>4</v>
      </c>
      <c r="O935">
        <f t="shared" si="58"/>
        <v>259.66000000000003</v>
      </c>
      <c r="P935" t="str">
        <f t="shared" si="59"/>
        <v>OK</v>
      </c>
    </row>
    <row r="936" spans="1:16" x14ac:dyDescent="0.35">
      <c r="A936" t="s">
        <v>1302</v>
      </c>
      <c r="B936" s="3">
        <v>45302</v>
      </c>
      <c r="C936" t="s">
        <v>65</v>
      </c>
      <c r="D936" t="s">
        <v>57</v>
      </c>
      <c r="E936" t="s">
        <v>472</v>
      </c>
      <c r="F936" t="s">
        <v>53</v>
      </c>
      <c r="G936" t="s">
        <v>125</v>
      </c>
      <c r="H936">
        <v>5</v>
      </c>
      <c r="I936">
        <v>209.9</v>
      </c>
      <c r="J936">
        <v>0</v>
      </c>
      <c r="K936">
        <v>1049.5</v>
      </c>
      <c r="M936" t="str">
        <f t="shared" si="56"/>
        <v>Jan</v>
      </c>
      <c r="N936">
        <f t="shared" si="57"/>
        <v>1</v>
      </c>
      <c r="O936">
        <f t="shared" si="58"/>
        <v>1049.5</v>
      </c>
      <c r="P936" t="str">
        <f t="shared" si="59"/>
        <v>OK</v>
      </c>
    </row>
    <row r="937" spans="1:16" x14ac:dyDescent="0.35">
      <c r="A937" t="s">
        <v>1303</v>
      </c>
      <c r="B937" s="3">
        <v>45383</v>
      </c>
      <c r="C937" t="s">
        <v>18</v>
      </c>
      <c r="D937" t="s">
        <v>19</v>
      </c>
      <c r="E937" t="s">
        <v>470</v>
      </c>
      <c r="F937" t="s">
        <v>21</v>
      </c>
      <c r="G937" t="s">
        <v>22</v>
      </c>
      <c r="H937">
        <v>7</v>
      </c>
      <c r="I937">
        <v>76.86</v>
      </c>
      <c r="J937">
        <v>0.05</v>
      </c>
      <c r="K937">
        <v>511.12</v>
      </c>
      <c r="M937" t="str">
        <f t="shared" si="56"/>
        <v>Apr</v>
      </c>
      <c r="N937">
        <f t="shared" si="57"/>
        <v>4</v>
      </c>
      <c r="O937">
        <f t="shared" si="58"/>
        <v>511.11899999999997</v>
      </c>
      <c r="P937" t="str">
        <f t="shared" si="59"/>
        <v>OK</v>
      </c>
    </row>
    <row r="938" spans="1:16" x14ac:dyDescent="0.35">
      <c r="A938" t="s">
        <v>1304</v>
      </c>
      <c r="B938" s="3">
        <v>45485</v>
      </c>
      <c r="C938" t="s">
        <v>41</v>
      </c>
      <c r="D938" t="s">
        <v>42</v>
      </c>
      <c r="E938" t="s">
        <v>241</v>
      </c>
      <c r="F938" t="s">
        <v>44</v>
      </c>
      <c r="G938" t="s">
        <v>86</v>
      </c>
      <c r="H938">
        <v>2</v>
      </c>
      <c r="I938">
        <v>229.22</v>
      </c>
      <c r="J938">
        <v>0</v>
      </c>
      <c r="K938">
        <v>458.44</v>
      </c>
      <c r="M938" t="str">
        <f t="shared" si="56"/>
        <v>Jul</v>
      </c>
      <c r="N938">
        <f t="shared" si="57"/>
        <v>7</v>
      </c>
      <c r="O938">
        <f t="shared" si="58"/>
        <v>458.44</v>
      </c>
      <c r="P938" t="str">
        <f t="shared" si="59"/>
        <v>OK</v>
      </c>
    </row>
    <row r="939" spans="1:16" x14ac:dyDescent="0.35">
      <c r="A939" t="s">
        <v>1305</v>
      </c>
      <c r="B939" s="3">
        <v>45434</v>
      </c>
      <c r="C939" t="s">
        <v>41</v>
      </c>
      <c r="D939" t="s">
        <v>13</v>
      </c>
      <c r="E939" t="s">
        <v>769</v>
      </c>
      <c r="F939" t="s">
        <v>21</v>
      </c>
      <c r="G939" t="s">
        <v>70</v>
      </c>
      <c r="H939">
        <v>7</v>
      </c>
      <c r="I939">
        <v>239.97</v>
      </c>
      <c r="J939">
        <v>0</v>
      </c>
      <c r="K939">
        <v>1679.79</v>
      </c>
      <c r="M939" t="str">
        <f t="shared" si="56"/>
        <v>May</v>
      </c>
      <c r="N939">
        <f t="shared" si="57"/>
        <v>5</v>
      </c>
      <c r="O939">
        <f t="shared" si="58"/>
        <v>1679.79</v>
      </c>
      <c r="P939" t="str">
        <f t="shared" si="59"/>
        <v>OK</v>
      </c>
    </row>
    <row r="940" spans="1:16" x14ac:dyDescent="0.35">
      <c r="A940" t="s">
        <v>1306</v>
      </c>
      <c r="B940" s="3">
        <v>45368</v>
      </c>
      <c r="C940" t="s">
        <v>65</v>
      </c>
      <c r="D940" t="s">
        <v>57</v>
      </c>
      <c r="E940" t="s">
        <v>445</v>
      </c>
      <c r="F940" t="s">
        <v>21</v>
      </c>
      <c r="G940" t="s">
        <v>194</v>
      </c>
      <c r="H940">
        <v>2</v>
      </c>
      <c r="I940">
        <v>48.15</v>
      </c>
      <c r="J940">
        <v>0</v>
      </c>
      <c r="K940">
        <v>96.3</v>
      </c>
      <c r="M940" t="str">
        <f t="shared" si="56"/>
        <v>Mar</v>
      </c>
      <c r="N940">
        <f t="shared" si="57"/>
        <v>3</v>
      </c>
      <c r="O940">
        <f t="shared" si="58"/>
        <v>96.3</v>
      </c>
      <c r="P940" t="str">
        <f t="shared" si="59"/>
        <v>OK</v>
      </c>
    </row>
    <row r="941" spans="1:16" x14ac:dyDescent="0.35">
      <c r="A941" t="s">
        <v>1307</v>
      </c>
      <c r="B941" s="3">
        <v>45457</v>
      </c>
      <c r="C941" t="s">
        <v>33</v>
      </c>
      <c r="D941" t="s">
        <v>19</v>
      </c>
      <c r="E941" t="s">
        <v>348</v>
      </c>
      <c r="F941" t="s">
        <v>35</v>
      </c>
      <c r="G941" t="s">
        <v>83</v>
      </c>
      <c r="H941">
        <v>12</v>
      </c>
      <c r="I941">
        <v>244.09</v>
      </c>
      <c r="J941">
        <v>0.05</v>
      </c>
      <c r="K941">
        <v>2782.63</v>
      </c>
      <c r="M941" t="str">
        <f t="shared" si="56"/>
        <v>Jun</v>
      </c>
      <c r="N941">
        <f t="shared" si="57"/>
        <v>6</v>
      </c>
      <c r="O941">
        <f t="shared" si="58"/>
        <v>2782.6259999999997</v>
      </c>
      <c r="P941" t="str">
        <f t="shared" si="59"/>
        <v>OK</v>
      </c>
    </row>
    <row r="942" spans="1:16" x14ac:dyDescent="0.35">
      <c r="A942" t="s">
        <v>1308</v>
      </c>
      <c r="B942" s="3">
        <v>45359</v>
      </c>
      <c r="C942" t="s">
        <v>18</v>
      </c>
      <c r="D942" t="s">
        <v>13</v>
      </c>
      <c r="E942" t="s">
        <v>415</v>
      </c>
      <c r="F942" t="s">
        <v>35</v>
      </c>
      <c r="G942" t="s">
        <v>36</v>
      </c>
      <c r="H942">
        <v>6</v>
      </c>
      <c r="I942">
        <v>112.33</v>
      </c>
      <c r="J942">
        <v>0.15</v>
      </c>
      <c r="K942">
        <v>572.88</v>
      </c>
      <c r="M942" t="str">
        <f t="shared" si="56"/>
        <v>Mar</v>
      </c>
      <c r="N942">
        <f t="shared" si="57"/>
        <v>3</v>
      </c>
      <c r="O942">
        <f t="shared" si="58"/>
        <v>572.88300000000004</v>
      </c>
      <c r="P942" t="str">
        <f t="shared" si="59"/>
        <v>OK</v>
      </c>
    </row>
    <row r="943" spans="1:16" x14ac:dyDescent="0.35">
      <c r="A943" t="s">
        <v>1309</v>
      </c>
      <c r="B943" s="3">
        <v>45338</v>
      </c>
      <c r="C943" t="s">
        <v>41</v>
      </c>
      <c r="D943" t="s">
        <v>42</v>
      </c>
      <c r="E943" t="s">
        <v>460</v>
      </c>
      <c r="F943" t="s">
        <v>44</v>
      </c>
      <c r="G943" t="s">
        <v>45</v>
      </c>
      <c r="H943">
        <v>4</v>
      </c>
      <c r="I943">
        <v>231.29</v>
      </c>
      <c r="J943">
        <v>0.1</v>
      </c>
      <c r="K943">
        <v>832.64</v>
      </c>
      <c r="M943" t="str">
        <f t="shared" si="56"/>
        <v>Feb</v>
      </c>
      <c r="N943">
        <f t="shared" si="57"/>
        <v>2</v>
      </c>
      <c r="O943">
        <f t="shared" si="58"/>
        <v>832.64400000000001</v>
      </c>
      <c r="P943" t="str">
        <f t="shared" si="59"/>
        <v>OK</v>
      </c>
    </row>
    <row r="944" spans="1:16" x14ac:dyDescent="0.35">
      <c r="A944" t="s">
        <v>1310</v>
      </c>
      <c r="B944" s="3">
        <v>45384</v>
      </c>
      <c r="C944" t="s">
        <v>41</v>
      </c>
      <c r="D944" t="s">
        <v>19</v>
      </c>
      <c r="E944" t="s">
        <v>263</v>
      </c>
      <c r="F944" t="s">
        <v>21</v>
      </c>
      <c r="G944" t="s">
        <v>194</v>
      </c>
      <c r="H944">
        <v>8</v>
      </c>
      <c r="I944">
        <v>160.52000000000001</v>
      </c>
      <c r="J944">
        <v>0</v>
      </c>
      <c r="K944">
        <v>1284.1600000000001</v>
      </c>
      <c r="M944" t="str">
        <f t="shared" si="56"/>
        <v>Apr</v>
      </c>
      <c r="N944">
        <f t="shared" si="57"/>
        <v>4</v>
      </c>
      <c r="O944">
        <f t="shared" si="58"/>
        <v>1284.1600000000001</v>
      </c>
      <c r="P944" t="str">
        <f t="shared" si="59"/>
        <v>OK</v>
      </c>
    </row>
    <row r="945" spans="1:16" x14ac:dyDescent="0.35">
      <c r="A945" t="s">
        <v>1311</v>
      </c>
      <c r="B945" s="3">
        <v>45537</v>
      </c>
      <c r="C945" t="s">
        <v>24</v>
      </c>
      <c r="D945" t="s">
        <v>42</v>
      </c>
      <c r="E945" t="s">
        <v>457</v>
      </c>
      <c r="F945" t="s">
        <v>21</v>
      </c>
      <c r="G945" t="s">
        <v>129</v>
      </c>
      <c r="H945">
        <v>1</v>
      </c>
      <c r="I945">
        <v>32.29</v>
      </c>
      <c r="J945">
        <v>0.05</v>
      </c>
      <c r="K945">
        <v>30.68</v>
      </c>
      <c r="M945" t="str">
        <f t="shared" si="56"/>
        <v>Sep</v>
      </c>
      <c r="N945">
        <f t="shared" si="57"/>
        <v>9</v>
      </c>
      <c r="O945">
        <f t="shared" si="58"/>
        <v>30.675499999999996</v>
      </c>
      <c r="P945" t="str">
        <f t="shared" si="59"/>
        <v>OK</v>
      </c>
    </row>
    <row r="946" spans="1:16" x14ac:dyDescent="0.35">
      <c r="A946" t="s">
        <v>1312</v>
      </c>
      <c r="B946" s="3">
        <v>45482</v>
      </c>
      <c r="C946" t="s">
        <v>41</v>
      </c>
      <c r="D946" t="s">
        <v>13</v>
      </c>
      <c r="E946" t="s">
        <v>346</v>
      </c>
      <c r="F946" t="s">
        <v>15</v>
      </c>
      <c r="G946" t="s">
        <v>16</v>
      </c>
      <c r="H946">
        <v>5</v>
      </c>
      <c r="I946">
        <v>208.22</v>
      </c>
      <c r="J946">
        <v>0</v>
      </c>
      <c r="K946">
        <v>1041.0999999999999</v>
      </c>
      <c r="M946" t="str">
        <f t="shared" si="56"/>
        <v>Jul</v>
      </c>
      <c r="N946">
        <f t="shared" si="57"/>
        <v>7</v>
      </c>
      <c r="O946">
        <f t="shared" si="58"/>
        <v>1041.0999999999999</v>
      </c>
      <c r="P946" t="str">
        <f t="shared" si="59"/>
        <v>OK</v>
      </c>
    </row>
    <row r="947" spans="1:16" x14ac:dyDescent="0.35">
      <c r="A947" t="s">
        <v>1313</v>
      </c>
      <c r="B947" s="3">
        <v>45424</v>
      </c>
      <c r="C947" t="s">
        <v>33</v>
      </c>
      <c r="D947" t="s">
        <v>19</v>
      </c>
      <c r="E947" t="s">
        <v>43</v>
      </c>
      <c r="F947" t="s">
        <v>15</v>
      </c>
      <c r="G947" t="s">
        <v>74</v>
      </c>
      <c r="H947">
        <v>12</v>
      </c>
      <c r="I947">
        <v>104.13</v>
      </c>
      <c r="J947">
        <v>0</v>
      </c>
      <c r="K947">
        <v>1249.56</v>
      </c>
      <c r="M947" t="str">
        <f t="shared" si="56"/>
        <v>May</v>
      </c>
      <c r="N947">
        <f t="shared" si="57"/>
        <v>5</v>
      </c>
      <c r="O947">
        <f t="shared" si="58"/>
        <v>1249.56</v>
      </c>
      <c r="P947" t="str">
        <f t="shared" si="59"/>
        <v>OK</v>
      </c>
    </row>
    <row r="948" spans="1:16" x14ac:dyDescent="0.35">
      <c r="A948" t="s">
        <v>1314</v>
      </c>
      <c r="B948" s="3">
        <v>45615</v>
      </c>
      <c r="C948" t="s">
        <v>18</v>
      </c>
      <c r="D948" t="s">
        <v>57</v>
      </c>
      <c r="E948" t="s">
        <v>30</v>
      </c>
      <c r="F948" t="s">
        <v>35</v>
      </c>
      <c r="G948" t="s">
        <v>36</v>
      </c>
      <c r="H948">
        <v>3</v>
      </c>
      <c r="I948">
        <v>185.15</v>
      </c>
      <c r="J948">
        <v>0</v>
      </c>
      <c r="K948">
        <v>555.45000000000005</v>
      </c>
      <c r="M948" t="str">
        <f t="shared" si="56"/>
        <v>Nov</v>
      </c>
      <c r="N948">
        <f t="shared" si="57"/>
        <v>11</v>
      </c>
      <c r="O948">
        <f t="shared" si="58"/>
        <v>555.45000000000005</v>
      </c>
      <c r="P948" t="str">
        <f t="shared" si="59"/>
        <v>OK</v>
      </c>
    </row>
    <row r="949" spans="1:16" x14ac:dyDescent="0.35">
      <c r="A949" t="s">
        <v>1315</v>
      </c>
      <c r="B949" s="3">
        <v>45537</v>
      </c>
      <c r="C949" t="s">
        <v>65</v>
      </c>
      <c r="D949" t="s">
        <v>42</v>
      </c>
      <c r="E949" t="s">
        <v>317</v>
      </c>
      <c r="F949" t="s">
        <v>44</v>
      </c>
      <c r="G949" t="s">
        <v>86</v>
      </c>
      <c r="H949">
        <v>4</v>
      </c>
      <c r="I949">
        <v>115.85</v>
      </c>
      <c r="J949">
        <v>0</v>
      </c>
      <c r="K949">
        <v>463.4</v>
      </c>
      <c r="M949" t="str">
        <f t="shared" si="56"/>
        <v>Sep</v>
      </c>
      <c r="N949">
        <f t="shared" si="57"/>
        <v>9</v>
      </c>
      <c r="O949">
        <f t="shared" si="58"/>
        <v>463.4</v>
      </c>
      <c r="P949" t="str">
        <f t="shared" si="59"/>
        <v>OK</v>
      </c>
    </row>
    <row r="950" spans="1:16" x14ac:dyDescent="0.35">
      <c r="A950" t="s">
        <v>1316</v>
      </c>
      <c r="B950" s="3">
        <v>45563</v>
      </c>
      <c r="C950" t="s">
        <v>65</v>
      </c>
      <c r="D950" t="s">
        <v>13</v>
      </c>
      <c r="E950" t="s">
        <v>291</v>
      </c>
      <c r="F950" t="s">
        <v>15</v>
      </c>
      <c r="G950" t="s">
        <v>147</v>
      </c>
      <c r="H950">
        <v>3</v>
      </c>
      <c r="I950">
        <v>143.65</v>
      </c>
      <c r="J950">
        <v>0</v>
      </c>
      <c r="K950">
        <v>430.95</v>
      </c>
      <c r="M950" t="str">
        <f t="shared" si="56"/>
        <v>Sep</v>
      </c>
      <c r="N950">
        <f t="shared" si="57"/>
        <v>9</v>
      </c>
      <c r="O950">
        <f t="shared" si="58"/>
        <v>430.95000000000005</v>
      </c>
      <c r="P950" t="str">
        <f t="shared" si="59"/>
        <v>OK</v>
      </c>
    </row>
    <row r="951" spans="1:16" x14ac:dyDescent="0.35">
      <c r="A951" t="s">
        <v>1317</v>
      </c>
      <c r="B951" s="3">
        <v>45539</v>
      </c>
      <c r="C951" t="s">
        <v>41</v>
      </c>
      <c r="D951" t="s">
        <v>19</v>
      </c>
      <c r="E951" t="s">
        <v>842</v>
      </c>
      <c r="F951" t="s">
        <v>21</v>
      </c>
      <c r="G951" t="s">
        <v>70</v>
      </c>
      <c r="H951">
        <v>1</v>
      </c>
      <c r="I951">
        <v>69.86</v>
      </c>
      <c r="J951">
        <v>0.15</v>
      </c>
      <c r="K951">
        <v>59.38</v>
      </c>
      <c r="M951" t="str">
        <f t="shared" si="56"/>
        <v>Sep</v>
      </c>
      <c r="N951">
        <f t="shared" si="57"/>
        <v>9</v>
      </c>
      <c r="O951">
        <f t="shared" si="58"/>
        <v>59.381</v>
      </c>
      <c r="P951" t="str">
        <f t="shared" si="59"/>
        <v>OK</v>
      </c>
    </row>
    <row r="952" spans="1:16" x14ac:dyDescent="0.35">
      <c r="A952" t="s">
        <v>1318</v>
      </c>
      <c r="B952" s="3">
        <v>45413</v>
      </c>
      <c r="C952" t="s">
        <v>24</v>
      </c>
      <c r="D952" t="s">
        <v>19</v>
      </c>
      <c r="E952" t="s">
        <v>521</v>
      </c>
      <c r="F952" t="s">
        <v>21</v>
      </c>
      <c r="G952" t="s">
        <v>167</v>
      </c>
      <c r="H952">
        <v>10</v>
      </c>
      <c r="I952">
        <v>190.53</v>
      </c>
      <c r="J952">
        <v>0</v>
      </c>
      <c r="K952">
        <v>1905.3</v>
      </c>
      <c r="M952" t="str">
        <f t="shared" si="56"/>
        <v>May</v>
      </c>
      <c r="N952">
        <f t="shared" si="57"/>
        <v>5</v>
      </c>
      <c r="O952">
        <f t="shared" si="58"/>
        <v>1905.3</v>
      </c>
      <c r="P952" t="str">
        <f t="shared" si="59"/>
        <v>OK</v>
      </c>
    </row>
    <row r="953" spans="1:16" x14ac:dyDescent="0.35">
      <c r="A953" t="s">
        <v>1319</v>
      </c>
      <c r="B953" s="3">
        <v>45587</v>
      </c>
      <c r="C953" t="s">
        <v>41</v>
      </c>
      <c r="D953" t="s">
        <v>19</v>
      </c>
      <c r="E953" t="s">
        <v>477</v>
      </c>
      <c r="F953" t="s">
        <v>15</v>
      </c>
      <c r="G953" t="s">
        <v>16</v>
      </c>
      <c r="H953">
        <v>3</v>
      </c>
      <c r="I953">
        <v>176.09</v>
      </c>
      <c r="J953">
        <v>0</v>
      </c>
      <c r="K953">
        <v>528.27</v>
      </c>
      <c r="M953" t="str">
        <f t="shared" si="56"/>
        <v>Oct</v>
      </c>
      <c r="N953">
        <f t="shared" si="57"/>
        <v>10</v>
      </c>
      <c r="O953">
        <f t="shared" si="58"/>
        <v>528.27</v>
      </c>
      <c r="P953" t="str">
        <f t="shared" si="59"/>
        <v>OK</v>
      </c>
    </row>
    <row r="954" spans="1:16" x14ac:dyDescent="0.35">
      <c r="A954" t="s">
        <v>1320</v>
      </c>
      <c r="B954" s="3">
        <v>45503</v>
      </c>
      <c r="C954" t="s">
        <v>65</v>
      </c>
      <c r="D954" t="s">
        <v>57</v>
      </c>
      <c r="E954" t="s">
        <v>595</v>
      </c>
      <c r="F954" t="s">
        <v>44</v>
      </c>
      <c r="G954" t="s">
        <v>86</v>
      </c>
      <c r="H954">
        <v>4</v>
      </c>
      <c r="I954">
        <v>211.42</v>
      </c>
      <c r="J954">
        <v>0</v>
      </c>
      <c r="K954">
        <v>845.68</v>
      </c>
      <c r="M954" t="str">
        <f t="shared" si="56"/>
        <v>Jul</v>
      </c>
      <c r="N954">
        <f t="shared" si="57"/>
        <v>7</v>
      </c>
      <c r="O954">
        <f t="shared" si="58"/>
        <v>845.68</v>
      </c>
      <c r="P954" t="str">
        <f t="shared" si="59"/>
        <v>OK</v>
      </c>
    </row>
    <row r="955" spans="1:16" x14ac:dyDescent="0.35">
      <c r="A955" t="s">
        <v>1322</v>
      </c>
      <c r="B955" s="3">
        <v>45438</v>
      </c>
      <c r="C955" t="s">
        <v>24</v>
      </c>
      <c r="D955" t="s">
        <v>13</v>
      </c>
      <c r="E955" t="s">
        <v>385</v>
      </c>
      <c r="F955" t="s">
        <v>53</v>
      </c>
      <c r="G955" t="s">
        <v>260</v>
      </c>
      <c r="H955">
        <v>10</v>
      </c>
      <c r="I955">
        <v>73.64</v>
      </c>
      <c r="J955">
        <v>0</v>
      </c>
      <c r="K955">
        <v>736.4</v>
      </c>
      <c r="M955" t="str">
        <f t="shared" si="56"/>
        <v>May</v>
      </c>
      <c r="N955">
        <f t="shared" si="57"/>
        <v>5</v>
      </c>
      <c r="O955">
        <f t="shared" si="58"/>
        <v>736.4</v>
      </c>
      <c r="P955" t="str">
        <f t="shared" si="59"/>
        <v>OK</v>
      </c>
    </row>
    <row r="956" spans="1:16" x14ac:dyDescent="0.35">
      <c r="A956" t="s">
        <v>1323</v>
      </c>
      <c r="B956" s="3">
        <v>45326</v>
      </c>
      <c r="C956" t="s">
        <v>24</v>
      </c>
      <c r="D956" t="s">
        <v>57</v>
      </c>
      <c r="E956" t="s">
        <v>77</v>
      </c>
      <c r="F956" t="s">
        <v>53</v>
      </c>
      <c r="G956" t="s">
        <v>54</v>
      </c>
      <c r="H956">
        <v>2</v>
      </c>
      <c r="I956">
        <v>42.49</v>
      </c>
      <c r="J956">
        <v>0.1</v>
      </c>
      <c r="K956">
        <v>76.48</v>
      </c>
      <c r="M956" t="str">
        <f t="shared" si="56"/>
        <v>Feb</v>
      </c>
      <c r="N956">
        <f t="shared" si="57"/>
        <v>2</v>
      </c>
      <c r="O956">
        <f t="shared" si="58"/>
        <v>76.481999999999999</v>
      </c>
      <c r="P956" t="str">
        <f t="shared" si="59"/>
        <v>OK</v>
      </c>
    </row>
    <row r="957" spans="1:16" x14ac:dyDescent="0.35">
      <c r="A957" t="s">
        <v>1324</v>
      </c>
      <c r="B957" s="3">
        <v>45511</v>
      </c>
      <c r="C957" t="s">
        <v>41</v>
      </c>
      <c r="D957" t="s">
        <v>13</v>
      </c>
      <c r="E957" t="s">
        <v>248</v>
      </c>
      <c r="F957" t="s">
        <v>21</v>
      </c>
      <c r="G957" t="s">
        <v>70</v>
      </c>
      <c r="H957">
        <v>8</v>
      </c>
      <c r="I957">
        <v>229.91</v>
      </c>
      <c r="J957">
        <v>0.1</v>
      </c>
      <c r="K957">
        <v>1655.35</v>
      </c>
      <c r="M957" t="str">
        <f t="shared" si="56"/>
        <v>Aug</v>
      </c>
      <c r="N957">
        <f t="shared" si="57"/>
        <v>8</v>
      </c>
      <c r="O957">
        <f t="shared" si="58"/>
        <v>1655.3520000000001</v>
      </c>
      <c r="P957" t="str">
        <f t="shared" si="59"/>
        <v>OK</v>
      </c>
    </row>
    <row r="958" spans="1:16" x14ac:dyDescent="0.35">
      <c r="A958" t="s">
        <v>1325</v>
      </c>
      <c r="B958" s="3">
        <v>45345</v>
      </c>
      <c r="C958" t="s">
        <v>65</v>
      </c>
      <c r="D958" t="s">
        <v>19</v>
      </c>
      <c r="E958" t="s">
        <v>867</v>
      </c>
      <c r="F958" t="s">
        <v>53</v>
      </c>
      <c r="G958" t="s">
        <v>104</v>
      </c>
      <c r="H958">
        <v>12</v>
      </c>
      <c r="I958">
        <v>181.43</v>
      </c>
      <c r="J958">
        <v>0.15</v>
      </c>
      <c r="K958">
        <v>1850.59</v>
      </c>
      <c r="M958" t="str">
        <f t="shared" si="56"/>
        <v>Feb</v>
      </c>
      <c r="N958">
        <f t="shared" si="57"/>
        <v>2</v>
      </c>
      <c r="O958">
        <f t="shared" si="58"/>
        <v>1850.5859999999998</v>
      </c>
      <c r="P958" t="str">
        <f t="shared" si="59"/>
        <v>OK</v>
      </c>
    </row>
    <row r="959" spans="1:16" x14ac:dyDescent="0.35">
      <c r="A959" t="s">
        <v>1327</v>
      </c>
      <c r="B959" s="3">
        <v>45576</v>
      </c>
      <c r="C959" t="s">
        <v>18</v>
      </c>
      <c r="D959" t="s">
        <v>57</v>
      </c>
      <c r="E959" t="s">
        <v>679</v>
      </c>
      <c r="F959" t="s">
        <v>53</v>
      </c>
      <c r="G959" t="s">
        <v>125</v>
      </c>
      <c r="H959">
        <v>2</v>
      </c>
      <c r="I959">
        <v>201.13</v>
      </c>
      <c r="J959">
        <v>0</v>
      </c>
      <c r="K959">
        <v>402.26</v>
      </c>
      <c r="M959" t="str">
        <f t="shared" si="56"/>
        <v>Oct</v>
      </c>
      <c r="N959">
        <f t="shared" si="57"/>
        <v>10</v>
      </c>
      <c r="O959">
        <f t="shared" si="58"/>
        <v>402.26</v>
      </c>
      <c r="P959" t="str">
        <f t="shared" si="59"/>
        <v>OK</v>
      </c>
    </row>
    <row r="960" spans="1:16" x14ac:dyDescent="0.35">
      <c r="A960" t="s">
        <v>1328</v>
      </c>
      <c r="B960" s="3">
        <v>45439</v>
      </c>
      <c r="C960" t="s">
        <v>41</v>
      </c>
      <c r="D960" t="s">
        <v>25</v>
      </c>
      <c r="E960" t="s">
        <v>124</v>
      </c>
      <c r="F960" t="s">
        <v>44</v>
      </c>
      <c r="G960" t="s">
        <v>45</v>
      </c>
      <c r="H960">
        <v>8</v>
      </c>
      <c r="I960">
        <v>99.66</v>
      </c>
      <c r="J960">
        <v>0.1</v>
      </c>
      <c r="K960">
        <v>717.55</v>
      </c>
      <c r="M960" t="str">
        <f t="shared" si="56"/>
        <v>May</v>
      </c>
      <c r="N960">
        <f t="shared" si="57"/>
        <v>5</v>
      </c>
      <c r="O960">
        <f t="shared" si="58"/>
        <v>717.55200000000002</v>
      </c>
      <c r="P960" t="str">
        <f t="shared" si="59"/>
        <v>OK</v>
      </c>
    </row>
    <row r="961" spans="1:16" x14ac:dyDescent="0.35">
      <c r="A961" t="s">
        <v>1329</v>
      </c>
      <c r="B961" s="3">
        <v>45614</v>
      </c>
      <c r="C961" t="s">
        <v>24</v>
      </c>
      <c r="D961" t="s">
        <v>25</v>
      </c>
      <c r="E961" t="s">
        <v>272</v>
      </c>
      <c r="F961" t="s">
        <v>15</v>
      </c>
      <c r="G961" t="s">
        <v>111</v>
      </c>
      <c r="H961">
        <v>12</v>
      </c>
      <c r="I961">
        <v>138.94</v>
      </c>
      <c r="J961">
        <v>0</v>
      </c>
      <c r="K961">
        <v>1667.28</v>
      </c>
      <c r="M961" t="str">
        <f t="shared" si="56"/>
        <v>Nov</v>
      </c>
      <c r="N961">
        <f t="shared" si="57"/>
        <v>11</v>
      </c>
      <c r="O961">
        <f t="shared" si="58"/>
        <v>1667.28</v>
      </c>
      <c r="P961" t="str">
        <f t="shared" si="59"/>
        <v>OK</v>
      </c>
    </row>
    <row r="962" spans="1:16" x14ac:dyDescent="0.35">
      <c r="A962" t="s">
        <v>1330</v>
      </c>
      <c r="B962" s="3">
        <v>45544</v>
      </c>
      <c r="C962" t="s">
        <v>65</v>
      </c>
      <c r="D962" t="s">
        <v>57</v>
      </c>
      <c r="E962" t="s">
        <v>73</v>
      </c>
      <c r="F962" t="s">
        <v>15</v>
      </c>
      <c r="G962" t="s">
        <v>27</v>
      </c>
      <c r="H962">
        <v>9</v>
      </c>
      <c r="I962">
        <v>138.55000000000001</v>
      </c>
      <c r="J962">
        <v>0.05</v>
      </c>
      <c r="K962">
        <v>1184.5999999999999</v>
      </c>
      <c r="M962" t="str">
        <f t="shared" si="56"/>
        <v>Sep</v>
      </c>
      <c r="N962">
        <f t="shared" si="57"/>
        <v>9</v>
      </c>
      <c r="O962">
        <f t="shared" si="58"/>
        <v>1184.6025</v>
      </c>
      <c r="P962" t="str">
        <f t="shared" si="59"/>
        <v>OK</v>
      </c>
    </row>
    <row r="963" spans="1:16" x14ac:dyDescent="0.35">
      <c r="A963" t="s">
        <v>1331</v>
      </c>
      <c r="B963" s="3">
        <v>45445</v>
      </c>
      <c r="C963" t="s">
        <v>41</v>
      </c>
      <c r="D963" t="s">
        <v>13</v>
      </c>
      <c r="E963" t="s">
        <v>69</v>
      </c>
      <c r="F963" t="s">
        <v>35</v>
      </c>
      <c r="G963" t="s">
        <v>177</v>
      </c>
      <c r="H963">
        <v>11</v>
      </c>
      <c r="I963">
        <v>165.17</v>
      </c>
      <c r="J963">
        <v>0</v>
      </c>
      <c r="K963">
        <v>1816.87</v>
      </c>
      <c r="M963" t="str">
        <f t="shared" ref="M963:M1026" si="60">TEXT(B963,"mmm")</f>
        <v>Jun</v>
      </c>
      <c r="N963">
        <f t="shared" ref="N963:N1026" si="61">MONTH(B963)</f>
        <v>6</v>
      </c>
      <c r="O963">
        <f t="shared" ref="O963:O1026" si="62">H963*I963*(1-J963)</f>
        <v>1816.87</v>
      </c>
      <c r="P963" t="str">
        <f t="shared" ref="P963:P1026" si="63">IF(ROUND(K963,2)=ROUND(O963,2),"OK","MISMATCH")</f>
        <v>OK</v>
      </c>
    </row>
    <row r="964" spans="1:16" x14ac:dyDescent="0.35">
      <c r="A964" t="s">
        <v>1332</v>
      </c>
      <c r="B964" s="3">
        <v>45508</v>
      </c>
      <c r="C964" t="s">
        <v>24</v>
      </c>
      <c r="D964" t="s">
        <v>13</v>
      </c>
      <c r="E964" t="s">
        <v>26</v>
      </c>
      <c r="F964" t="s">
        <v>53</v>
      </c>
      <c r="G964" t="s">
        <v>54</v>
      </c>
      <c r="H964">
        <v>2</v>
      </c>
      <c r="I964">
        <v>15.46</v>
      </c>
      <c r="J964">
        <v>0.15</v>
      </c>
      <c r="K964">
        <v>26.28</v>
      </c>
      <c r="M964" t="str">
        <f t="shared" si="60"/>
        <v>Aug</v>
      </c>
      <c r="N964">
        <f t="shared" si="61"/>
        <v>8</v>
      </c>
      <c r="O964">
        <f t="shared" si="62"/>
        <v>26.282</v>
      </c>
      <c r="P964" t="str">
        <f t="shared" si="63"/>
        <v>OK</v>
      </c>
    </row>
    <row r="965" spans="1:16" x14ac:dyDescent="0.35">
      <c r="A965" t="s">
        <v>1333</v>
      </c>
      <c r="B965" s="3">
        <v>45637</v>
      </c>
      <c r="C965" t="s">
        <v>24</v>
      </c>
      <c r="D965" t="s">
        <v>57</v>
      </c>
      <c r="E965" t="s">
        <v>542</v>
      </c>
      <c r="F965" t="s">
        <v>53</v>
      </c>
      <c r="G965" t="s">
        <v>125</v>
      </c>
      <c r="H965">
        <v>2</v>
      </c>
      <c r="I965">
        <v>231.95</v>
      </c>
      <c r="J965">
        <v>0.05</v>
      </c>
      <c r="K965">
        <v>440.7</v>
      </c>
      <c r="M965" t="str">
        <f t="shared" si="60"/>
        <v>Dec</v>
      </c>
      <c r="N965">
        <f t="shared" si="61"/>
        <v>12</v>
      </c>
      <c r="O965">
        <f t="shared" si="62"/>
        <v>440.70499999999998</v>
      </c>
      <c r="P965" t="str">
        <f t="shared" si="63"/>
        <v>MISMATCH</v>
      </c>
    </row>
    <row r="966" spans="1:16" x14ac:dyDescent="0.35">
      <c r="A966" t="s">
        <v>1334</v>
      </c>
      <c r="B966" s="3">
        <v>45296</v>
      </c>
      <c r="C966" t="s">
        <v>33</v>
      </c>
      <c r="D966" t="s">
        <v>13</v>
      </c>
      <c r="E966" t="s">
        <v>2217</v>
      </c>
      <c r="F966" t="s">
        <v>15</v>
      </c>
      <c r="G966" t="s">
        <v>74</v>
      </c>
      <c r="H966">
        <v>6</v>
      </c>
      <c r="I966">
        <v>84.65</v>
      </c>
      <c r="J966">
        <v>0.15</v>
      </c>
      <c r="K966">
        <v>431.72</v>
      </c>
      <c r="M966" t="str">
        <f t="shared" si="60"/>
        <v>Jan</v>
      </c>
      <c r="N966">
        <f t="shared" si="61"/>
        <v>1</v>
      </c>
      <c r="O966">
        <f t="shared" si="62"/>
        <v>431.71500000000003</v>
      </c>
      <c r="P966" t="str">
        <f t="shared" si="63"/>
        <v>OK</v>
      </c>
    </row>
    <row r="967" spans="1:16" x14ac:dyDescent="0.35">
      <c r="A967" t="s">
        <v>1335</v>
      </c>
      <c r="B967" s="3">
        <v>45385</v>
      </c>
      <c r="C967" t="s">
        <v>65</v>
      </c>
      <c r="D967" t="s">
        <v>42</v>
      </c>
      <c r="E967" t="s">
        <v>433</v>
      </c>
      <c r="F967" t="s">
        <v>35</v>
      </c>
      <c r="G967" t="s">
        <v>134</v>
      </c>
      <c r="H967">
        <v>8</v>
      </c>
      <c r="I967">
        <v>31.63</v>
      </c>
      <c r="J967">
        <v>0.15</v>
      </c>
      <c r="K967">
        <v>215.08</v>
      </c>
      <c r="M967" t="str">
        <f t="shared" si="60"/>
        <v>Apr</v>
      </c>
      <c r="N967">
        <f t="shared" si="61"/>
        <v>4</v>
      </c>
      <c r="O967">
        <f t="shared" si="62"/>
        <v>215.08399999999997</v>
      </c>
      <c r="P967" t="str">
        <f t="shared" si="63"/>
        <v>OK</v>
      </c>
    </row>
    <row r="968" spans="1:16" x14ac:dyDescent="0.35">
      <c r="A968" t="s">
        <v>1336</v>
      </c>
      <c r="B968" s="3">
        <v>45508</v>
      </c>
      <c r="C968" t="s">
        <v>41</v>
      </c>
      <c r="D968" t="s">
        <v>25</v>
      </c>
      <c r="E968" t="s">
        <v>339</v>
      </c>
      <c r="F968" t="s">
        <v>21</v>
      </c>
      <c r="G968" t="s">
        <v>167</v>
      </c>
      <c r="H968">
        <v>1</v>
      </c>
      <c r="I968">
        <v>91.88</v>
      </c>
      <c r="J968">
        <v>0.05</v>
      </c>
      <c r="K968">
        <v>87.29</v>
      </c>
      <c r="M968" t="str">
        <f t="shared" si="60"/>
        <v>Aug</v>
      </c>
      <c r="N968">
        <f t="shared" si="61"/>
        <v>8</v>
      </c>
      <c r="O968">
        <f t="shared" si="62"/>
        <v>87.285999999999987</v>
      </c>
      <c r="P968" t="str">
        <f t="shared" si="63"/>
        <v>OK</v>
      </c>
    </row>
    <row r="969" spans="1:16" x14ac:dyDescent="0.35">
      <c r="A969" t="s">
        <v>1337</v>
      </c>
      <c r="B969" s="3">
        <v>45614</v>
      </c>
      <c r="C969" t="s">
        <v>65</v>
      </c>
      <c r="D969" t="s">
        <v>42</v>
      </c>
      <c r="E969" t="s">
        <v>30</v>
      </c>
      <c r="F969" t="s">
        <v>53</v>
      </c>
      <c r="G969" t="s">
        <v>260</v>
      </c>
      <c r="H969">
        <v>7</v>
      </c>
      <c r="I969">
        <v>186.47</v>
      </c>
      <c r="J969">
        <v>0</v>
      </c>
      <c r="K969">
        <v>1305.29</v>
      </c>
      <c r="M969" t="str">
        <f t="shared" si="60"/>
        <v>Nov</v>
      </c>
      <c r="N969">
        <f t="shared" si="61"/>
        <v>11</v>
      </c>
      <c r="O969">
        <f t="shared" si="62"/>
        <v>1305.29</v>
      </c>
      <c r="P969" t="str">
        <f t="shared" si="63"/>
        <v>OK</v>
      </c>
    </row>
    <row r="970" spans="1:16" x14ac:dyDescent="0.35">
      <c r="A970" t="s">
        <v>1338</v>
      </c>
      <c r="B970" s="3">
        <v>45495</v>
      </c>
      <c r="C970" t="s">
        <v>18</v>
      </c>
      <c r="D970" t="s">
        <v>13</v>
      </c>
      <c r="E970" t="s">
        <v>160</v>
      </c>
      <c r="F970" t="s">
        <v>44</v>
      </c>
      <c r="G970" t="s">
        <v>94</v>
      </c>
      <c r="H970">
        <v>3</v>
      </c>
      <c r="I970">
        <v>6.57</v>
      </c>
      <c r="J970">
        <v>0.05</v>
      </c>
      <c r="K970">
        <v>18.72</v>
      </c>
      <c r="M970" t="str">
        <f t="shared" si="60"/>
        <v>Jul</v>
      </c>
      <c r="N970">
        <f t="shared" si="61"/>
        <v>7</v>
      </c>
      <c r="O970">
        <f t="shared" si="62"/>
        <v>18.724499999999999</v>
      </c>
      <c r="P970" t="str">
        <f t="shared" si="63"/>
        <v>OK</v>
      </c>
    </row>
    <row r="971" spans="1:16" x14ac:dyDescent="0.35">
      <c r="A971" t="s">
        <v>1339</v>
      </c>
      <c r="B971" s="3">
        <v>45417</v>
      </c>
      <c r="C971" t="s">
        <v>33</v>
      </c>
      <c r="D971" t="s">
        <v>57</v>
      </c>
      <c r="E971" t="s">
        <v>201</v>
      </c>
      <c r="F971" t="s">
        <v>35</v>
      </c>
      <c r="G971" t="s">
        <v>134</v>
      </c>
      <c r="H971">
        <v>12</v>
      </c>
      <c r="I971">
        <v>116.4</v>
      </c>
      <c r="J971">
        <v>0</v>
      </c>
      <c r="K971">
        <v>1396.8</v>
      </c>
      <c r="M971" t="str">
        <f t="shared" si="60"/>
        <v>May</v>
      </c>
      <c r="N971">
        <f t="shared" si="61"/>
        <v>5</v>
      </c>
      <c r="O971">
        <f t="shared" si="62"/>
        <v>1396.8000000000002</v>
      </c>
      <c r="P971" t="str">
        <f t="shared" si="63"/>
        <v>OK</v>
      </c>
    </row>
    <row r="972" spans="1:16" x14ac:dyDescent="0.35">
      <c r="A972" t="s">
        <v>1340</v>
      </c>
      <c r="B972" s="3">
        <v>45390</v>
      </c>
      <c r="C972" t="s">
        <v>18</v>
      </c>
      <c r="D972" t="s">
        <v>57</v>
      </c>
      <c r="E972" t="s">
        <v>881</v>
      </c>
      <c r="F972" t="s">
        <v>35</v>
      </c>
      <c r="G972" t="s">
        <v>36</v>
      </c>
      <c r="H972">
        <v>4</v>
      </c>
      <c r="I972">
        <v>122.04</v>
      </c>
      <c r="J972">
        <v>0.05</v>
      </c>
      <c r="K972">
        <v>463.75</v>
      </c>
      <c r="M972" t="str">
        <f t="shared" si="60"/>
        <v>Apr</v>
      </c>
      <c r="N972">
        <f t="shared" si="61"/>
        <v>4</v>
      </c>
      <c r="O972">
        <f t="shared" si="62"/>
        <v>463.75200000000001</v>
      </c>
      <c r="P972" t="str">
        <f t="shared" si="63"/>
        <v>OK</v>
      </c>
    </row>
    <row r="973" spans="1:16" x14ac:dyDescent="0.35">
      <c r="A973" t="s">
        <v>1341</v>
      </c>
      <c r="B973" s="3">
        <v>45409</v>
      </c>
      <c r="C973" t="s">
        <v>65</v>
      </c>
      <c r="D973" t="s">
        <v>57</v>
      </c>
      <c r="E973" t="s">
        <v>302</v>
      </c>
      <c r="F973" t="s">
        <v>15</v>
      </c>
      <c r="G973" t="s">
        <v>111</v>
      </c>
      <c r="H973">
        <v>7</v>
      </c>
      <c r="I973">
        <v>202.24</v>
      </c>
      <c r="J973">
        <v>0</v>
      </c>
      <c r="K973">
        <v>1415.68</v>
      </c>
      <c r="M973" t="str">
        <f t="shared" si="60"/>
        <v>Apr</v>
      </c>
      <c r="N973">
        <f t="shared" si="61"/>
        <v>4</v>
      </c>
      <c r="O973">
        <f t="shared" si="62"/>
        <v>1415.68</v>
      </c>
      <c r="P973" t="str">
        <f t="shared" si="63"/>
        <v>OK</v>
      </c>
    </row>
    <row r="974" spans="1:16" x14ac:dyDescent="0.35">
      <c r="A974" t="s">
        <v>1342</v>
      </c>
      <c r="B974" s="3">
        <v>45373</v>
      </c>
      <c r="C974" t="s">
        <v>33</v>
      </c>
      <c r="D974" t="s">
        <v>19</v>
      </c>
      <c r="E974" t="s">
        <v>590</v>
      </c>
      <c r="F974" t="s">
        <v>44</v>
      </c>
      <c r="G974" t="s">
        <v>107</v>
      </c>
      <c r="H974">
        <v>11</v>
      </c>
      <c r="I974">
        <v>171.7</v>
      </c>
      <c r="J974">
        <v>0.15</v>
      </c>
      <c r="K974">
        <v>1605.39</v>
      </c>
      <c r="M974" t="str">
        <f t="shared" si="60"/>
        <v>Mar</v>
      </c>
      <c r="N974">
        <f t="shared" si="61"/>
        <v>3</v>
      </c>
      <c r="O974">
        <f t="shared" si="62"/>
        <v>1605.3949999999998</v>
      </c>
      <c r="P974" t="str">
        <f t="shared" si="63"/>
        <v>MISMATCH</v>
      </c>
    </row>
    <row r="975" spans="1:16" x14ac:dyDescent="0.35">
      <c r="A975" t="s">
        <v>1343</v>
      </c>
      <c r="B975" s="3">
        <v>45293</v>
      </c>
      <c r="C975" t="s">
        <v>65</v>
      </c>
      <c r="D975" t="s">
        <v>19</v>
      </c>
      <c r="E975" t="s">
        <v>521</v>
      </c>
      <c r="F975" t="s">
        <v>21</v>
      </c>
      <c r="G975" t="s">
        <v>70</v>
      </c>
      <c r="H975">
        <v>9</v>
      </c>
      <c r="I975">
        <v>133.26</v>
      </c>
      <c r="J975">
        <v>0</v>
      </c>
      <c r="K975">
        <v>1199.3399999999999</v>
      </c>
      <c r="M975" t="str">
        <f t="shared" si="60"/>
        <v>Jan</v>
      </c>
      <c r="N975">
        <f t="shared" si="61"/>
        <v>1</v>
      </c>
      <c r="O975">
        <f t="shared" si="62"/>
        <v>1199.3399999999999</v>
      </c>
      <c r="P975" t="str">
        <f t="shared" si="63"/>
        <v>OK</v>
      </c>
    </row>
    <row r="976" spans="1:16" x14ac:dyDescent="0.35">
      <c r="A976" t="s">
        <v>1344</v>
      </c>
      <c r="B976" s="3">
        <v>45637</v>
      </c>
      <c r="C976" t="s">
        <v>24</v>
      </c>
      <c r="D976" t="s">
        <v>25</v>
      </c>
      <c r="E976" t="s">
        <v>477</v>
      </c>
      <c r="F976" t="s">
        <v>21</v>
      </c>
      <c r="G976" t="s">
        <v>167</v>
      </c>
      <c r="H976">
        <v>9</v>
      </c>
      <c r="I976">
        <v>65.349999999999994</v>
      </c>
      <c r="J976">
        <v>0.15</v>
      </c>
      <c r="K976">
        <v>499.93</v>
      </c>
      <c r="M976" t="str">
        <f t="shared" si="60"/>
        <v>Dec</v>
      </c>
      <c r="N976">
        <f t="shared" si="61"/>
        <v>12</v>
      </c>
      <c r="O976">
        <f t="shared" si="62"/>
        <v>499.92749999999995</v>
      </c>
      <c r="P976" t="str">
        <f t="shared" si="63"/>
        <v>OK</v>
      </c>
    </row>
    <row r="977" spans="1:16" x14ac:dyDescent="0.35">
      <c r="A977" t="s">
        <v>1345</v>
      </c>
      <c r="B977" s="3">
        <v>45330</v>
      </c>
      <c r="C977" t="s">
        <v>41</v>
      </c>
      <c r="D977" t="s">
        <v>25</v>
      </c>
      <c r="E977" t="s">
        <v>131</v>
      </c>
      <c r="F977" t="s">
        <v>35</v>
      </c>
      <c r="G977" t="s">
        <v>134</v>
      </c>
      <c r="H977">
        <v>10</v>
      </c>
      <c r="I977">
        <v>205.14</v>
      </c>
      <c r="J977">
        <v>0</v>
      </c>
      <c r="K977">
        <v>2051.4</v>
      </c>
      <c r="M977" t="str">
        <f t="shared" si="60"/>
        <v>Feb</v>
      </c>
      <c r="N977">
        <f t="shared" si="61"/>
        <v>2</v>
      </c>
      <c r="O977">
        <f t="shared" si="62"/>
        <v>2051.3999999999996</v>
      </c>
      <c r="P977" t="str">
        <f t="shared" si="63"/>
        <v>OK</v>
      </c>
    </row>
    <row r="978" spans="1:16" x14ac:dyDescent="0.35">
      <c r="A978" t="s">
        <v>1346</v>
      </c>
      <c r="B978" s="3">
        <v>45469</v>
      </c>
      <c r="C978" t="s">
        <v>33</v>
      </c>
      <c r="D978" t="s">
        <v>13</v>
      </c>
      <c r="E978" t="s">
        <v>82</v>
      </c>
      <c r="F978" t="s">
        <v>15</v>
      </c>
      <c r="G978" t="s">
        <v>74</v>
      </c>
      <c r="H978">
        <v>5</v>
      </c>
      <c r="I978">
        <v>212.25</v>
      </c>
      <c r="J978">
        <v>0</v>
      </c>
      <c r="K978">
        <v>1061.25</v>
      </c>
      <c r="M978" t="str">
        <f t="shared" si="60"/>
        <v>Jun</v>
      </c>
      <c r="N978">
        <f t="shared" si="61"/>
        <v>6</v>
      </c>
      <c r="O978">
        <f t="shared" si="62"/>
        <v>1061.25</v>
      </c>
      <c r="P978" t="str">
        <f t="shared" si="63"/>
        <v>OK</v>
      </c>
    </row>
    <row r="979" spans="1:16" x14ac:dyDescent="0.35">
      <c r="A979" t="s">
        <v>1347</v>
      </c>
      <c r="B979" s="3">
        <v>45434</v>
      </c>
      <c r="C979" t="s">
        <v>41</v>
      </c>
      <c r="D979" t="s">
        <v>42</v>
      </c>
      <c r="E979" t="s">
        <v>902</v>
      </c>
      <c r="F979" t="s">
        <v>15</v>
      </c>
      <c r="G979" t="s">
        <v>27</v>
      </c>
      <c r="H979">
        <v>12</v>
      </c>
      <c r="I979">
        <v>184.13</v>
      </c>
      <c r="J979">
        <v>0.1</v>
      </c>
      <c r="K979">
        <v>1988.6</v>
      </c>
      <c r="M979" t="str">
        <f t="shared" si="60"/>
        <v>May</v>
      </c>
      <c r="N979">
        <f t="shared" si="61"/>
        <v>5</v>
      </c>
      <c r="O979">
        <f t="shared" si="62"/>
        <v>1988.604</v>
      </c>
      <c r="P979" t="str">
        <f t="shared" si="63"/>
        <v>OK</v>
      </c>
    </row>
    <row r="980" spans="1:16" x14ac:dyDescent="0.35">
      <c r="A980" t="s">
        <v>1349</v>
      </c>
      <c r="B980" s="3">
        <v>45637</v>
      </c>
      <c r="C980" t="s">
        <v>24</v>
      </c>
      <c r="D980" t="s">
        <v>25</v>
      </c>
      <c r="E980" t="s">
        <v>683</v>
      </c>
      <c r="F980" t="s">
        <v>53</v>
      </c>
      <c r="G980" t="s">
        <v>104</v>
      </c>
      <c r="H980">
        <v>2</v>
      </c>
      <c r="I980">
        <v>222.55</v>
      </c>
      <c r="J980">
        <v>0.05</v>
      </c>
      <c r="K980">
        <v>422.85</v>
      </c>
      <c r="M980" t="str">
        <f t="shared" si="60"/>
        <v>Dec</v>
      </c>
      <c r="N980">
        <f t="shared" si="61"/>
        <v>12</v>
      </c>
      <c r="O980">
        <f t="shared" si="62"/>
        <v>422.84500000000003</v>
      </c>
      <c r="P980" t="str">
        <f t="shared" si="63"/>
        <v>OK</v>
      </c>
    </row>
    <row r="981" spans="1:16" x14ac:dyDescent="0.35">
      <c r="A981" t="s">
        <v>1350</v>
      </c>
      <c r="B981" s="3">
        <v>45606</v>
      </c>
      <c r="C981" t="s">
        <v>18</v>
      </c>
      <c r="D981" t="s">
        <v>42</v>
      </c>
      <c r="E981" t="s">
        <v>193</v>
      </c>
      <c r="F981" t="s">
        <v>35</v>
      </c>
      <c r="G981" t="s">
        <v>83</v>
      </c>
      <c r="H981">
        <v>8</v>
      </c>
      <c r="I981">
        <v>194.24</v>
      </c>
      <c r="J981">
        <v>0</v>
      </c>
      <c r="K981">
        <v>1553.92</v>
      </c>
      <c r="M981" t="str">
        <f t="shared" si="60"/>
        <v>Nov</v>
      </c>
      <c r="N981">
        <f t="shared" si="61"/>
        <v>11</v>
      </c>
      <c r="O981">
        <f t="shared" si="62"/>
        <v>1553.92</v>
      </c>
      <c r="P981" t="str">
        <f t="shared" si="63"/>
        <v>OK</v>
      </c>
    </row>
    <row r="982" spans="1:16" x14ac:dyDescent="0.35">
      <c r="A982" t="s">
        <v>1351</v>
      </c>
      <c r="B982" s="3">
        <v>45418</v>
      </c>
      <c r="C982" t="s">
        <v>65</v>
      </c>
      <c r="D982" t="s">
        <v>19</v>
      </c>
      <c r="E982" t="s">
        <v>454</v>
      </c>
      <c r="F982" t="s">
        <v>35</v>
      </c>
      <c r="G982" t="s">
        <v>67</v>
      </c>
      <c r="H982">
        <v>5</v>
      </c>
      <c r="I982">
        <v>144.91</v>
      </c>
      <c r="J982">
        <v>0</v>
      </c>
      <c r="K982">
        <v>724.55</v>
      </c>
      <c r="M982" t="str">
        <f t="shared" si="60"/>
        <v>May</v>
      </c>
      <c r="N982">
        <f t="shared" si="61"/>
        <v>5</v>
      </c>
      <c r="O982">
        <f t="shared" si="62"/>
        <v>724.55</v>
      </c>
      <c r="P982" t="str">
        <f t="shared" si="63"/>
        <v>OK</v>
      </c>
    </row>
    <row r="983" spans="1:16" x14ac:dyDescent="0.35">
      <c r="A983" t="s">
        <v>1352</v>
      </c>
      <c r="B983" s="3">
        <v>45605</v>
      </c>
      <c r="C983" t="s">
        <v>41</v>
      </c>
      <c r="D983" t="s">
        <v>42</v>
      </c>
      <c r="E983" t="s">
        <v>542</v>
      </c>
      <c r="F983" t="s">
        <v>21</v>
      </c>
      <c r="G983" t="s">
        <v>22</v>
      </c>
      <c r="H983">
        <v>9</v>
      </c>
      <c r="I983">
        <v>151.78</v>
      </c>
      <c r="J983">
        <v>0</v>
      </c>
      <c r="K983">
        <v>1366.02</v>
      </c>
      <c r="M983" t="str">
        <f t="shared" si="60"/>
        <v>Nov</v>
      </c>
      <c r="N983">
        <f t="shared" si="61"/>
        <v>11</v>
      </c>
      <c r="O983">
        <f t="shared" si="62"/>
        <v>1366.02</v>
      </c>
      <c r="P983" t="str">
        <f t="shared" si="63"/>
        <v>OK</v>
      </c>
    </row>
    <row r="984" spans="1:16" x14ac:dyDescent="0.35">
      <c r="A984" t="s">
        <v>1353</v>
      </c>
      <c r="B984" s="3">
        <v>45577</v>
      </c>
      <c r="C984" t="s">
        <v>24</v>
      </c>
      <c r="D984" t="s">
        <v>42</v>
      </c>
      <c r="E984" t="s">
        <v>183</v>
      </c>
      <c r="F984" t="s">
        <v>44</v>
      </c>
      <c r="G984" t="s">
        <v>94</v>
      </c>
      <c r="H984">
        <v>6</v>
      </c>
      <c r="I984">
        <v>89.02</v>
      </c>
      <c r="J984">
        <v>0</v>
      </c>
      <c r="K984">
        <v>534.12</v>
      </c>
      <c r="M984" t="str">
        <f t="shared" si="60"/>
        <v>Oct</v>
      </c>
      <c r="N984">
        <f t="shared" si="61"/>
        <v>10</v>
      </c>
      <c r="O984">
        <f t="shared" si="62"/>
        <v>534.12</v>
      </c>
      <c r="P984" t="str">
        <f t="shared" si="63"/>
        <v>OK</v>
      </c>
    </row>
    <row r="985" spans="1:16" x14ac:dyDescent="0.35">
      <c r="A985" t="s">
        <v>1354</v>
      </c>
      <c r="B985" s="3">
        <v>45361</v>
      </c>
      <c r="C985" t="s">
        <v>24</v>
      </c>
      <c r="D985" t="s">
        <v>13</v>
      </c>
      <c r="E985" t="s">
        <v>115</v>
      </c>
      <c r="F985" t="s">
        <v>15</v>
      </c>
      <c r="G985" t="s">
        <v>27</v>
      </c>
      <c r="H985">
        <v>8</v>
      </c>
      <c r="I985">
        <v>212.67</v>
      </c>
      <c r="J985">
        <v>0</v>
      </c>
      <c r="K985">
        <v>1701.36</v>
      </c>
      <c r="M985" t="str">
        <f t="shared" si="60"/>
        <v>Mar</v>
      </c>
      <c r="N985">
        <f t="shared" si="61"/>
        <v>3</v>
      </c>
      <c r="O985">
        <f t="shared" si="62"/>
        <v>1701.36</v>
      </c>
      <c r="P985" t="str">
        <f t="shared" si="63"/>
        <v>OK</v>
      </c>
    </row>
    <row r="986" spans="1:16" x14ac:dyDescent="0.35">
      <c r="A986" t="s">
        <v>1355</v>
      </c>
      <c r="B986" s="3">
        <v>45417</v>
      </c>
      <c r="C986" t="s">
        <v>65</v>
      </c>
      <c r="D986" t="s">
        <v>25</v>
      </c>
      <c r="E986" t="s">
        <v>2217</v>
      </c>
      <c r="F986" t="s">
        <v>21</v>
      </c>
      <c r="G986" t="s">
        <v>129</v>
      </c>
      <c r="H986">
        <v>11</v>
      </c>
      <c r="I986">
        <v>193.75</v>
      </c>
      <c r="J986">
        <v>0</v>
      </c>
      <c r="K986">
        <v>2131.25</v>
      </c>
      <c r="M986" t="str">
        <f t="shared" si="60"/>
        <v>May</v>
      </c>
      <c r="N986">
        <f t="shared" si="61"/>
        <v>5</v>
      </c>
      <c r="O986">
        <f t="shared" si="62"/>
        <v>2131.25</v>
      </c>
      <c r="P986" t="str">
        <f t="shared" si="63"/>
        <v>OK</v>
      </c>
    </row>
    <row r="987" spans="1:16" x14ac:dyDescent="0.35">
      <c r="A987" t="s">
        <v>1356</v>
      </c>
      <c r="B987" s="3">
        <v>45445</v>
      </c>
      <c r="C987" t="s">
        <v>24</v>
      </c>
      <c r="D987" t="s">
        <v>25</v>
      </c>
      <c r="E987" t="s">
        <v>881</v>
      </c>
      <c r="F987" t="s">
        <v>53</v>
      </c>
      <c r="G987" t="s">
        <v>63</v>
      </c>
      <c r="H987">
        <v>8</v>
      </c>
      <c r="I987">
        <v>147.77000000000001</v>
      </c>
      <c r="J987">
        <v>0.15</v>
      </c>
      <c r="K987">
        <v>1004.84</v>
      </c>
      <c r="M987" t="str">
        <f t="shared" si="60"/>
        <v>Jun</v>
      </c>
      <c r="N987">
        <f t="shared" si="61"/>
        <v>6</v>
      </c>
      <c r="O987">
        <f t="shared" si="62"/>
        <v>1004.836</v>
      </c>
      <c r="P987" t="str">
        <f t="shared" si="63"/>
        <v>OK</v>
      </c>
    </row>
    <row r="988" spans="1:16" x14ac:dyDescent="0.35">
      <c r="A988" t="s">
        <v>1357</v>
      </c>
      <c r="B988" s="3">
        <v>45534</v>
      </c>
      <c r="C988" t="s">
        <v>41</v>
      </c>
      <c r="D988" t="s">
        <v>57</v>
      </c>
      <c r="E988" t="s">
        <v>180</v>
      </c>
      <c r="F988" t="s">
        <v>35</v>
      </c>
      <c r="G988" t="s">
        <v>36</v>
      </c>
      <c r="H988">
        <v>12</v>
      </c>
      <c r="I988">
        <v>108.51</v>
      </c>
      <c r="J988">
        <v>0</v>
      </c>
      <c r="K988">
        <v>1302.1199999999999</v>
      </c>
      <c r="M988" t="str">
        <f t="shared" si="60"/>
        <v>Aug</v>
      </c>
      <c r="N988">
        <f t="shared" si="61"/>
        <v>8</v>
      </c>
      <c r="O988">
        <f t="shared" si="62"/>
        <v>1302.1200000000001</v>
      </c>
      <c r="P988" t="str">
        <f t="shared" si="63"/>
        <v>OK</v>
      </c>
    </row>
    <row r="989" spans="1:16" x14ac:dyDescent="0.35">
      <c r="A989" t="s">
        <v>1358</v>
      </c>
      <c r="B989" s="3">
        <v>45339</v>
      </c>
      <c r="C989" t="s">
        <v>18</v>
      </c>
      <c r="D989" t="s">
        <v>13</v>
      </c>
      <c r="E989" t="s">
        <v>52</v>
      </c>
      <c r="F989" t="s">
        <v>21</v>
      </c>
      <c r="G989" t="s">
        <v>167</v>
      </c>
      <c r="H989">
        <v>8</v>
      </c>
      <c r="I989">
        <v>128.97</v>
      </c>
      <c r="J989">
        <v>0.1</v>
      </c>
      <c r="K989">
        <v>928.58</v>
      </c>
      <c r="M989" t="str">
        <f t="shared" si="60"/>
        <v>Feb</v>
      </c>
      <c r="N989">
        <f t="shared" si="61"/>
        <v>2</v>
      </c>
      <c r="O989">
        <f t="shared" si="62"/>
        <v>928.58400000000006</v>
      </c>
      <c r="P989" t="str">
        <f t="shared" si="63"/>
        <v>OK</v>
      </c>
    </row>
    <row r="990" spans="1:16" x14ac:dyDescent="0.35">
      <c r="A990" t="s">
        <v>1359</v>
      </c>
      <c r="B990" s="3">
        <v>45537</v>
      </c>
      <c r="C990" t="s">
        <v>41</v>
      </c>
      <c r="D990" t="s">
        <v>19</v>
      </c>
      <c r="E990" t="s">
        <v>155</v>
      </c>
      <c r="F990" t="s">
        <v>15</v>
      </c>
      <c r="G990" t="s">
        <v>74</v>
      </c>
      <c r="H990">
        <v>12</v>
      </c>
      <c r="I990">
        <v>83.81</v>
      </c>
      <c r="J990">
        <v>0</v>
      </c>
      <c r="K990">
        <v>1005.72</v>
      </c>
      <c r="M990" t="str">
        <f t="shared" si="60"/>
        <v>Sep</v>
      </c>
      <c r="N990">
        <f t="shared" si="61"/>
        <v>9</v>
      </c>
      <c r="O990">
        <f t="shared" si="62"/>
        <v>1005.72</v>
      </c>
      <c r="P990" t="str">
        <f t="shared" si="63"/>
        <v>OK</v>
      </c>
    </row>
    <row r="991" spans="1:16" x14ac:dyDescent="0.35">
      <c r="A991" t="s">
        <v>1360</v>
      </c>
      <c r="B991" s="3">
        <v>45598</v>
      </c>
      <c r="C991" t="s">
        <v>24</v>
      </c>
      <c r="D991" t="s">
        <v>19</v>
      </c>
      <c r="E991" t="s">
        <v>429</v>
      </c>
      <c r="F991" t="s">
        <v>53</v>
      </c>
      <c r="G991" t="s">
        <v>260</v>
      </c>
      <c r="H991">
        <v>2</v>
      </c>
      <c r="I991">
        <v>245.86</v>
      </c>
      <c r="J991">
        <v>0.15</v>
      </c>
      <c r="K991">
        <v>417.96</v>
      </c>
      <c r="M991" t="str">
        <f t="shared" si="60"/>
        <v>Nov</v>
      </c>
      <c r="N991">
        <f t="shared" si="61"/>
        <v>11</v>
      </c>
      <c r="O991">
        <f t="shared" si="62"/>
        <v>417.96199999999999</v>
      </c>
      <c r="P991" t="str">
        <f t="shared" si="63"/>
        <v>OK</v>
      </c>
    </row>
    <row r="992" spans="1:16" x14ac:dyDescent="0.35">
      <c r="A992" t="s">
        <v>1361</v>
      </c>
      <c r="B992" s="3">
        <v>45460</v>
      </c>
      <c r="C992" t="s">
        <v>33</v>
      </c>
      <c r="D992" t="s">
        <v>25</v>
      </c>
      <c r="E992" t="s">
        <v>204</v>
      </c>
      <c r="F992" t="s">
        <v>15</v>
      </c>
      <c r="G992" t="s">
        <v>147</v>
      </c>
      <c r="H992">
        <v>3</v>
      </c>
      <c r="I992">
        <v>228.93</v>
      </c>
      <c r="J992">
        <v>0.15</v>
      </c>
      <c r="K992">
        <v>583.77</v>
      </c>
      <c r="M992" t="str">
        <f t="shared" si="60"/>
        <v>Jun</v>
      </c>
      <c r="N992">
        <f t="shared" si="61"/>
        <v>6</v>
      </c>
      <c r="O992">
        <f t="shared" si="62"/>
        <v>583.77149999999995</v>
      </c>
      <c r="P992" t="str">
        <f t="shared" si="63"/>
        <v>OK</v>
      </c>
    </row>
    <row r="993" spans="1:16" x14ac:dyDescent="0.35">
      <c r="A993" t="s">
        <v>1362</v>
      </c>
      <c r="B993" s="3">
        <v>45542</v>
      </c>
      <c r="C993" t="s">
        <v>18</v>
      </c>
      <c r="D993" t="s">
        <v>42</v>
      </c>
      <c r="E993" t="s">
        <v>317</v>
      </c>
      <c r="F993" t="s">
        <v>15</v>
      </c>
      <c r="G993" t="s">
        <v>74</v>
      </c>
      <c r="H993">
        <v>9</v>
      </c>
      <c r="I993">
        <v>172.92</v>
      </c>
      <c r="J993">
        <v>0.05</v>
      </c>
      <c r="K993">
        <v>1478.47</v>
      </c>
      <c r="M993" t="str">
        <f t="shared" si="60"/>
        <v>Sep</v>
      </c>
      <c r="N993">
        <f t="shared" si="61"/>
        <v>9</v>
      </c>
      <c r="O993">
        <f t="shared" si="62"/>
        <v>1478.4659999999999</v>
      </c>
      <c r="P993" t="str">
        <f t="shared" si="63"/>
        <v>OK</v>
      </c>
    </row>
    <row r="994" spans="1:16" x14ac:dyDescent="0.35">
      <c r="A994" t="s">
        <v>1363</v>
      </c>
      <c r="B994" s="3">
        <v>45559</v>
      </c>
      <c r="C994" t="s">
        <v>65</v>
      </c>
      <c r="D994" t="s">
        <v>19</v>
      </c>
      <c r="E994" t="s">
        <v>439</v>
      </c>
      <c r="F994" t="s">
        <v>35</v>
      </c>
      <c r="G994" t="s">
        <v>67</v>
      </c>
      <c r="H994">
        <v>3</v>
      </c>
      <c r="I994">
        <v>105.95</v>
      </c>
      <c r="J994">
        <v>0.1</v>
      </c>
      <c r="K994">
        <v>286.07</v>
      </c>
      <c r="M994" t="str">
        <f t="shared" si="60"/>
        <v>Sep</v>
      </c>
      <c r="N994">
        <f t="shared" si="61"/>
        <v>9</v>
      </c>
      <c r="O994">
        <f t="shared" si="62"/>
        <v>286.06500000000005</v>
      </c>
      <c r="P994" t="str">
        <f t="shared" si="63"/>
        <v>OK</v>
      </c>
    </row>
    <row r="995" spans="1:16" x14ac:dyDescent="0.35">
      <c r="A995" t="s">
        <v>1364</v>
      </c>
      <c r="B995" s="3">
        <v>45541</v>
      </c>
      <c r="C995" t="s">
        <v>24</v>
      </c>
      <c r="D995" t="s">
        <v>13</v>
      </c>
      <c r="E995" t="s">
        <v>562</v>
      </c>
      <c r="F995" t="s">
        <v>21</v>
      </c>
      <c r="G995" t="s">
        <v>129</v>
      </c>
      <c r="H995">
        <v>11</v>
      </c>
      <c r="I995">
        <v>78.28</v>
      </c>
      <c r="J995">
        <v>0</v>
      </c>
      <c r="K995">
        <v>861.08</v>
      </c>
      <c r="M995" t="str">
        <f t="shared" si="60"/>
        <v>Sep</v>
      </c>
      <c r="N995">
        <f t="shared" si="61"/>
        <v>9</v>
      </c>
      <c r="O995">
        <f t="shared" si="62"/>
        <v>861.08</v>
      </c>
      <c r="P995" t="str">
        <f t="shared" si="63"/>
        <v>OK</v>
      </c>
    </row>
    <row r="996" spans="1:16" x14ac:dyDescent="0.35">
      <c r="A996" t="s">
        <v>1365</v>
      </c>
      <c r="B996" s="3">
        <v>45468</v>
      </c>
      <c r="C996" t="s">
        <v>33</v>
      </c>
      <c r="D996" t="s">
        <v>19</v>
      </c>
      <c r="E996" t="s">
        <v>110</v>
      </c>
      <c r="F996" t="s">
        <v>35</v>
      </c>
      <c r="G996" t="s">
        <v>67</v>
      </c>
      <c r="H996">
        <v>3</v>
      </c>
      <c r="I996">
        <v>122.39</v>
      </c>
      <c r="J996">
        <v>0.05</v>
      </c>
      <c r="K996">
        <v>348.81</v>
      </c>
      <c r="M996" t="str">
        <f t="shared" si="60"/>
        <v>Jun</v>
      </c>
      <c r="N996">
        <f t="shared" si="61"/>
        <v>6</v>
      </c>
      <c r="O996">
        <f t="shared" si="62"/>
        <v>348.81150000000002</v>
      </c>
      <c r="P996" t="str">
        <f t="shared" si="63"/>
        <v>OK</v>
      </c>
    </row>
    <row r="997" spans="1:16" x14ac:dyDescent="0.35">
      <c r="A997" t="s">
        <v>1366</v>
      </c>
      <c r="B997" s="3">
        <v>45434</v>
      </c>
      <c r="C997" t="s">
        <v>65</v>
      </c>
      <c r="D997" t="s">
        <v>13</v>
      </c>
      <c r="E997" t="s">
        <v>620</v>
      </c>
      <c r="F997" t="s">
        <v>44</v>
      </c>
      <c r="G997" t="s">
        <v>50</v>
      </c>
      <c r="H997">
        <v>2</v>
      </c>
      <c r="I997">
        <v>66.2</v>
      </c>
      <c r="J997">
        <v>0.05</v>
      </c>
      <c r="K997">
        <v>125.78</v>
      </c>
      <c r="M997" t="str">
        <f t="shared" si="60"/>
        <v>May</v>
      </c>
      <c r="N997">
        <f t="shared" si="61"/>
        <v>5</v>
      </c>
      <c r="O997">
        <f t="shared" si="62"/>
        <v>125.78</v>
      </c>
      <c r="P997" t="str">
        <f t="shared" si="63"/>
        <v>OK</v>
      </c>
    </row>
    <row r="998" spans="1:16" x14ac:dyDescent="0.35">
      <c r="A998" t="s">
        <v>1367</v>
      </c>
      <c r="B998" s="3">
        <v>45410</v>
      </c>
      <c r="C998" t="s">
        <v>18</v>
      </c>
      <c r="D998" t="s">
        <v>57</v>
      </c>
      <c r="E998" t="s">
        <v>185</v>
      </c>
      <c r="F998" t="s">
        <v>15</v>
      </c>
      <c r="G998" t="s">
        <v>111</v>
      </c>
      <c r="H998">
        <v>5</v>
      </c>
      <c r="I998">
        <v>80.260000000000005</v>
      </c>
      <c r="J998">
        <v>0</v>
      </c>
      <c r="K998">
        <v>401.3</v>
      </c>
      <c r="M998" t="str">
        <f t="shared" si="60"/>
        <v>Apr</v>
      </c>
      <c r="N998">
        <f t="shared" si="61"/>
        <v>4</v>
      </c>
      <c r="O998">
        <f t="shared" si="62"/>
        <v>401.3</v>
      </c>
      <c r="P998" t="str">
        <f t="shared" si="63"/>
        <v>OK</v>
      </c>
    </row>
    <row r="999" spans="1:16" x14ac:dyDescent="0.35">
      <c r="A999" t="s">
        <v>1368</v>
      </c>
      <c r="B999" s="3">
        <v>45428</v>
      </c>
      <c r="C999" t="s">
        <v>65</v>
      </c>
      <c r="D999" t="s">
        <v>13</v>
      </c>
      <c r="E999" t="s">
        <v>113</v>
      </c>
      <c r="F999" t="s">
        <v>21</v>
      </c>
      <c r="G999" t="s">
        <v>22</v>
      </c>
      <c r="H999">
        <v>4</v>
      </c>
      <c r="I999">
        <v>86.1</v>
      </c>
      <c r="J999">
        <v>0</v>
      </c>
      <c r="K999">
        <v>344.4</v>
      </c>
      <c r="M999" t="str">
        <f t="shared" si="60"/>
        <v>May</v>
      </c>
      <c r="N999">
        <f t="shared" si="61"/>
        <v>5</v>
      </c>
      <c r="O999">
        <f t="shared" si="62"/>
        <v>344.4</v>
      </c>
      <c r="P999" t="str">
        <f t="shared" si="63"/>
        <v>OK</v>
      </c>
    </row>
    <row r="1000" spans="1:16" x14ac:dyDescent="0.35">
      <c r="A1000" t="s">
        <v>1369</v>
      </c>
      <c r="B1000" s="3">
        <v>45325</v>
      </c>
      <c r="C1000" t="s">
        <v>33</v>
      </c>
      <c r="D1000" t="s">
        <v>57</v>
      </c>
      <c r="E1000" t="s">
        <v>330</v>
      </c>
      <c r="F1000" t="s">
        <v>53</v>
      </c>
      <c r="G1000" t="s">
        <v>54</v>
      </c>
      <c r="H1000">
        <v>12</v>
      </c>
      <c r="I1000">
        <v>101.73</v>
      </c>
      <c r="J1000">
        <v>0.1</v>
      </c>
      <c r="K1000">
        <v>1098.68</v>
      </c>
      <c r="M1000" t="str">
        <f t="shared" si="60"/>
        <v>Feb</v>
      </c>
      <c r="N1000">
        <f t="shared" si="61"/>
        <v>2</v>
      </c>
      <c r="O1000">
        <f t="shared" si="62"/>
        <v>1098.684</v>
      </c>
      <c r="P1000" t="str">
        <f t="shared" si="63"/>
        <v>OK</v>
      </c>
    </row>
    <row r="1001" spans="1:16" x14ac:dyDescent="0.35">
      <c r="A1001" t="s">
        <v>1370</v>
      </c>
      <c r="B1001" s="3">
        <v>45584</v>
      </c>
      <c r="C1001" t="s">
        <v>18</v>
      </c>
      <c r="D1001" t="s">
        <v>19</v>
      </c>
      <c r="E1001" t="s">
        <v>96</v>
      </c>
      <c r="F1001" t="s">
        <v>35</v>
      </c>
      <c r="G1001" t="s">
        <v>36</v>
      </c>
      <c r="H1001">
        <v>9</v>
      </c>
      <c r="I1001">
        <v>184.36</v>
      </c>
      <c r="J1001">
        <v>0</v>
      </c>
      <c r="K1001">
        <v>1659.24</v>
      </c>
      <c r="M1001" t="str">
        <f t="shared" si="60"/>
        <v>Oct</v>
      </c>
      <c r="N1001">
        <f t="shared" si="61"/>
        <v>10</v>
      </c>
      <c r="O1001">
        <f t="shared" si="62"/>
        <v>1659.2400000000002</v>
      </c>
      <c r="P1001" t="str">
        <f t="shared" si="63"/>
        <v>OK</v>
      </c>
    </row>
    <row r="1002" spans="1:16" x14ac:dyDescent="0.35">
      <c r="A1002" t="s">
        <v>1371</v>
      </c>
      <c r="B1002" s="3">
        <v>45476</v>
      </c>
      <c r="C1002" t="s">
        <v>33</v>
      </c>
      <c r="D1002" t="s">
        <v>19</v>
      </c>
      <c r="E1002" t="s">
        <v>480</v>
      </c>
      <c r="F1002" t="s">
        <v>21</v>
      </c>
      <c r="G1002" t="s">
        <v>22</v>
      </c>
      <c r="H1002">
        <v>6</v>
      </c>
      <c r="I1002">
        <v>160.88</v>
      </c>
      <c r="J1002">
        <v>0</v>
      </c>
      <c r="K1002">
        <v>965.28</v>
      </c>
      <c r="M1002" t="str">
        <f t="shared" si="60"/>
        <v>Jul</v>
      </c>
      <c r="N1002">
        <f t="shared" si="61"/>
        <v>7</v>
      </c>
      <c r="O1002">
        <f t="shared" si="62"/>
        <v>965.28</v>
      </c>
      <c r="P1002" t="str">
        <f t="shared" si="63"/>
        <v>OK</v>
      </c>
    </row>
    <row r="1003" spans="1:16" x14ac:dyDescent="0.35">
      <c r="A1003" t="s">
        <v>1372</v>
      </c>
      <c r="B1003" s="3">
        <v>45502</v>
      </c>
      <c r="C1003" t="s">
        <v>18</v>
      </c>
      <c r="D1003" t="s">
        <v>19</v>
      </c>
      <c r="E1003" t="s">
        <v>14</v>
      </c>
      <c r="F1003" t="s">
        <v>53</v>
      </c>
      <c r="G1003" t="s">
        <v>104</v>
      </c>
      <c r="H1003">
        <v>7</v>
      </c>
      <c r="I1003">
        <v>203.21</v>
      </c>
      <c r="J1003">
        <v>0.05</v>
      </c>
      <c r="K1003">
        <v>1351.35</v>
      </c>
      <c r="M1003" t="str">
        <f t="shared" si="60"/>
        <v>Jul</v>
      </c>
      <c r="N1003">
        <f t="shared" si="61"/>
        <v>7</v>
      </c>
      <c r="O1003">
        <f t="shared" si="62"/>
        <v>1351.3464999999999</v>
      </c>
      <c r="P1003" t="str">
        <f t="shared" si="63"/>
        <v>OK</v>
      </c>
    </row>
    <row r="1004" spans="1:16" x14ac:dyDescent="0.35">
      <c r="A1004" t="s">
        <v>1373</v>
      </c>
      <c r="B1004" s="3">
        <v>45431</v>
      </c>
      <c r="C1004" t="s">
        <v>65</v>
      </c>
      <c r="D1004" t="s">
        <v>13</v>
      </c>
      <c r="E1004" t="s">
        <v>547</v>
      </c>
      <c r="F1004" t="s">
        <v>35</v>
      </c>
      <c r="G1004" t="s">
        <v>177</v>
      </c>
      <c r="H1004">
        <v>5</v>
      </c>
      <c r="I1004">
        <v>12.14</v>
      </c>
      <c r="J1004">
        <v>0.15</v>
      </c>
      <c r="K1004">
        <v>51.59</v>
      </c>
      <c r="M1004" t="str">
        <f t="shared" si="60"/>
        <v>May</v>
      </c>
      <c r="N1004">
        <f t="shared" si="61"/>
        <v>5</v>
      </c>
      <c r="O1004">
        <f t="shared" si="62"/>
        <v>51.594999999999999</v>
      </c>
      <c r="P1004" t="str">
        <f t="shared" si="63"/>
        <v>MISMATCH</v>
      </c>
    </row>
    <row r="1005" spans="1:16" x14ac:dyDescent="0.35">
      <c r="A1005" t="s">
        <v>1375</v>
      </c>
      <c r="B1005" s="3">
        <v>45413</v>
      </c>
      <c r="C1005" t="s">
        <v>41</v>
      </c>
      <c r="D1005" t="s">
        <v>25</v>
      </c>
      <c r="E1005" t="s">
        <v>193</v>
      </c>
      <c r="F1005" t="s">
        <v>53</v>
      </c>
      <c r="G1005" t="s">
        <v>260</v>
      </c>
      <c r="H1005">
        <v>4</v>
      </c>
      <c r="I1005">
        <v>168.9</v>
      </c>
      <c r="J1005">
        <v>0.1</v>
      </c>
      <c r="K1005">
        <v>608.04</v>
      </c>
      <c r="M1005" t="str">
        <f t="shared" si="60"/>
        <v>May</v>
      </c>
      <c r="N1005">
        <f t="shared" si="61"/>
        <v>5</v>
      </c>
      <c r="O1005">
        <f t="shared" si="62"/>
        <v>608.04000000000008</v>
      </c>
      <c r="P1005" t="str">
        <f t="shared" si="63"/>
        <v>OK</v>
      </c>
    </row>
    <row r="1006" spans="1:16" x14ac:dyDescent="0.35">
      <c r="A1006" t="s">
        <v>1376</v>
      </c>
      <c r="B1006" s="3">
        <v>45591</v>
      </c>
      <c r="C1006" t="s">
        <v>18</v>
      </c>
      <c r="D1006" t="s">
        <v>42</v>
      </c>
      <c r="E1006" t="s">
        <v>360</v>
      </c>
      <c r="F1006" t="s">
        <v>35</v>
      </c>
      <c r="G1006" t="s">
        <v>177</v>
      </c>
      <c r="H1006">
        <v>4</v>
      </c>
      <c r="I1006">
        <v>154.72</v>
      </c>
      <c r="J1006">
        <v>0</v>
      </c>
      <c r="K1006">
        <v>618.88</v>
      </c>
      <c r="M1006" t="str">
        <f t="shared" si="60"/>
        <v>Oct</v>
      </c>
      <c r="N1006">
        <f t="shared" si="61"/>
        <v>10</v>
      </c>
      <c r="O1006">
        <f t="shared" si="62"/>
        <v>618.88</v>
      </c>
      <c r="P1006" t="str">
        <f t="shared" si="63"/>
        <v>OK</v>
      </c>
    </row>
    <row r="1007" spans="1:16" x14ac:dyDescent="0.35">
      <c r="A1007" t="s">
        <v>1377</v>
      </c>
      <c r="B1007" s="3">
        <v>45616</v>
      </c>
      <c r="C1007" t="s">
        <v>33</v>
      </c>
      <c r="D1007" t="s">
        <v>57</v>
      </c>
      <c r="E1007" t="s">
        <v>620</v>
      </c>
      <c r="F1007" t="s">
        <v>44</v>
      </c>
      <c r="G1007" t="s">
        <v>86</v>
      </c>
      <c r="H1007">
        <v>2</v>
      </c>
      <c r="I1007">
        <v>184.28</v>
      </c>
      <c r="J1007">
        <v>0</v>
      </c>
      <c r="K1007">
        <v>368.56</v>
      </c>
      <c r="M1007" t="str">
        <f t="shared" si="60"/>
        <v>Nov</v>
      </c>
      <c r="N1007">
        <f t="shared" si="61"/>
        <v>11</v>
      </c>
      <c r="O1007">
        <f t="shared" si="62"/>
        <v>368.56</v>
      </c>
      <c r="P1007" t="str">
        <f t="shared" si="63"/>
        <v>OK</v>
      </c>
    </row>
    <row r="1008" spans="1:16" x14ac:dyDescent="0.35">
      <c r="A1008" t="s">
        <v>1378</v>
      </c>
      <c r="B1008" s="3">
        <v>45414</v>
      </c>
      <c r="C1008" t="s">
        <v>65</v>
      </c>
      <c r="D1008" t="s">
        <v>25</v>
      </c>
      <c r="E1008" t="s">
        <v>313</v>
      </c>
      <c r="F1008" t="s">
        <v>44</v>
      </c>
      <c r="G1008" t="s">
        <v>94</v>
      </c>
      <c r="H1008">
        <v>8</v>
      </c>
      <c r="I1008">
        <v>241.57</v>
      </c>
      <c r="J1008">
        <v>0</v>
      </c>
      <c r="K1008">
        <v>1932.56</v>
      </c>
      <c r="M1008" t="str">
        <f t="shared" si="60"/>
        <v>May</v>
      </c>
      <c r="N1008">
        <f t="shared" si="61"/>
        <v>5</v>
      </c>
      <c r="O1008">
        <f t="shared" si="62"/>
        <v>1932.56</v>
      </c>
      <c r="P1008" t="str">
        <f t="shared" si="63"/>
        <v>OK</v>
      </c>
    </row>
    <row r="1009" spans="1:16" x14ac:dyDescent="0.35">
      <c r="A1009" t="s">
        <v>1379</v>
      </c>
      <c r="B1009" s="3">
        <v>45612</v>
      </c>
      <c r="C1009" t="s">
        <v>33</v>
      </c>
      <c r="D1009" t="s">
        <v>25</v>
      </c>
      <c r="E1009" t="s">
        <v>82</v>
      </c>
      <c r="F1009" t="s">
        <v>21</v>
      </c>
      <c r="G1009" t="s">
        <v>167</v>
      </c>
      <c r="H1009">
        <v>1</v>
      </c>
      <c r="I1009">
        <v>192.85</v>
      </c>
      <c r="J1009">
        <v>0</v>
      </c>
      <c r="K1009">
        <v>192.85</v>
      </c>
      <c r="M1009" t="str">
        <f t="shared" si="60"/>
        <v>Nov</v>
      </c>
      <c r="N1009">
        <f t="shared" si="61"/>
        <v>11</v>
      </c>
      <c r="O1009">
        <f t="shared" si="62"/>
        <v>192.85</v>
      </c>
      <c r="P1009" t="str">
        <f t="shared" si="63"/>
        <v>OK</v>
      </c>
    </row>
    <row r="1010" spans="1:16" x14ac:dyDescent="0.35">
      <c r="A1010" t="s">
        <v>1380</v>
      </c>
      <c r="B1010" s="3">
        <v>45395</v>
      </c>
      <c r="C1010" t="s">
        <v>65</v>
      </c>
      <c r="D1010" t="s">
        <v>13</v>
      </c>
      <c r="E1010" t="s">
        <v>426</v>
      </c>
      <c r="F1010" t="s">
        <v>35</v>
      </c>
      <c r="G1010" t="s">
        <v>36</v>
      </c>
      <c r="H1010">
        <v>12</v>
      </c>
      <c r="I1010">
        <v>78.58</v>
      </c>
      <c r="J1010">
        <v>0.15</v>
      </c>
      <c r="K1010">
        <v>801.52</v>
      </c>
      <c r="M1010" t="str">
        <f t="shared" si="60"/>
        <v>Apr</v>
      </c>
      <c r="N1010">
        <f t="shared" si="61"/>
        <v>4</v>
      </c>
      <c r="O1010">
        <f t="shared" si="62"/>
        <v>801.51599999999996</v>
      </c>
      <c r="P1010" t="str">
        <f t="shared" si="63"/>
        <v>OK</v>
      </c>
    </row>
    <row r="1011" spans="1:16" x14ac:dyDescent="0.35">
      <c r="A1011" t="s">
        <v>1381</v>
      </c>
      <c r="B1011" s="3">
        <v>45428</v>
      </c>
      <c r="C1011" t="s">
        <v>65</v>
      </c>
      <c r="D1011" t="s">
        <v>19</v>
      </c>
      <c r="E1011" t="s">
        <v>370</v>
      </c>
      <c r="F1011" t="s">
        <v>35</v>
      </c>
      <c r="G1011" t="s">
        <v>83</v>
      </c>
      <c r="H1011">
        <v>10</v>
      </c>
      <c r="I1011">
        <v>67.56</v>
      </c>
      <c r="J1011">
        <v>0.05</v>
      </c>
      <c r="K1011">
        <v>641.82000000000005</v>
      </c>
      <c r="M1011" t="str">
        <f t="shared" si="60"/>
        <v>May</v>
      </c>
      <c r="N1011">
        <f t="shared" si="61"/>
        <v>5</v>
      </c>
      <c r="O1011">
        <f t="shared" si="62"/>
        <v>641.81999999999994</v>
      </c>
      <c r="P1011" t="str">
        <f t="shared" si="63"/>
        <v>OK</v>
      </c>
    </row>
    <row r="1012" spans="1:16" x14ac:dyDescent="0.35">
      <c r="A1012" t="s">
        <v>1382</v>
      </c>
      <c r="B1012" s="3">
        <v>45624</v>
      </c>
      <c r="C1012" t="s">
        <v>65</v>
      </c>
      <c r="D1012" t="s">
        <v>13</v>
      </c>
      <c r="E1012" t="s">
        <v>204</v>
      </c>
      <c r="F1012" t="s">
        <v>21</v>
      </c>
      <c r="G1012" t="s">
        <v>167</v>
      </c>
      <c r="H1012">
        <v>11</v>
      </c>
      <c r="I1012">
        <v>111.77</v>
      </c>
      <c r="J1012">
        <v>0.1</v>
      </c>
      <c r="K1012">
        <v>1106.52</v>
      </c>
      <c r="M1012" t="str">
        <f t="shared" si="60"/>
        <v>Nov</v>
      </c>
      <c r="N1012">
        <f t="shared" si="61"/>
        <v>11</v>
      </c>
      <c r="O1012">
        <f t="shared" si="62"/>
        <v>1106.5230000000001</v>
      </c>
      <c r="P1012" t="str">
        <f t="shared" si="63"/>
        <v>OK</v>
      </c>
    </row>
    <row r="1013" spans="1:16" x14ac:dyDescent="0.35">
      <c r="A1013" t="s">
        <v>1384</v>
      </c>
      <c r="B1013" s="3">
        <v>45644</v>
      </c>
      <c r="C1013" t="s">
        <v>65</v>
      </c>
      <c r="D1013" t="s">
        <v>42</v>
      </c>
      <c r="E1013" t="s">
        <v>562</v>
      </c>
      <c r="F1013" t="s">
        <v>44</v>
      </c>
      <c r="G1013" t="s">
        <v>45</v>
      </c>
      <c r="H1013">
        <v>11</v>
      </c>
      <c r="I1013">
        <v>137.56</v>
      </c>
      <c r="J1013">
        <v>0.15</v>
      </c>
      <c r="K1013">
        <v>1286.19</v>
      </c>
      <c r="M1013" t="str">
        <f t="shared" si="60"/>
        <v>Dec</v>
      </c>
      <c r="N1013">
        <f t="shared" si="61"/>
        <v>12</v>
      </c>
      <c r="O1013">
        <f t="shared" si="62"/>
        <v>1286.1860000000001</v>
      </c>
      <c r="P1013" t="str">
        <f t="shared" si="63"/>
        <v>OK</v>
      </c>
    </row>
    <row r="1014" spans="1:16" x14ac:dyDescent="0.35">
      <c r="A1014" t="s">
        <v>1385</v>
      </c>
      <c r="B1014" s="3">
        <v>45641</v>
      </c>
      <c r="C1014" t="s">
        <v>41</v>
      </c>
      <c r="D1014" t="s">
        <v>57</v>
      </c>
      <c r="E1014" t="s">
        <v>608</v>
      </c>
      <c r="F1014" t="s">
        <v>53</v>
      </c>
      <c r="G1014" t="s">
        <v>54</v>
      </c>
      <c r="H1014">
        <v>12</v>
      </c>
      <c r="I1014">
        <v>168.62</v>
      </c>
      <c r="J1014">
        <v>0</v>
      </c>
      <c r="K1014">
        <v>2023.44</v>
      </c>
      <c r="M1014" t="str">
        <f t="shared" si="60"/>
        <v>Dec</v>
      </c>
      <c r="N1014">
        <f t="shared" si="61"/>
        <v>12</v>
      </c>
      <c r="O1014">
        <f t="shared" si="62"/>
        <v>2023.44</v>
      </c>
      <c r="P1014" t="str">
        <f t="shared" si="63"/>
        <v>OK</v>
      </c>
    </row>
    <row r="1015" spans="1:16" x14ac:dyDescent="0.35">
      <c r="A1015" t="s">
        <v>1386</v>
      </c>
      <c r="B1015" s="3">
        <v>45624</v>
      </c>
      <c r="C1015" t="s">
        <v>24</v>
      </c>
      <c r="D1015" t="s">
        <v>42</v>
      </c>
      <c r="E1015" t="s">
        <v>902</v>
      </c>
      <c r="F1015" t="s">
        <v>53</v>
      </c>
      <c r="G1015" t="s">
        <v>104</v>
      </c>
      <c r="H1015">
        <v>2</v>
      </c>
      <c r="I1015">
        <v>103.01</v>
      </c>
      <c r="J1015">
        <v>0</v>
      </c>
      <c r="K1015">
        <v>206.02</v>
      </c>
      <c r="M1015" t="str">
        <f t="shared" si="60"/>
        <v>Nov</v>
      </c>
      <c r="N1015">
        <f t="shared" si="61"/>
        <v>11</v>
      </c>
      <c r="O1015">
        <f t="shared" si="62"/>
        <v>206.02</v>
      </c>
      <c r="P1015" t="str">
        <f t="shared" si="63"/>
        <v>OK</v>
      </c>
    </row>
    <row r="1016" spans="1:16" x14ac:dyDescent="0.35">
      <c r="A1016" t="s">
        <v>1387</v>
      </c>
      <c r="B1016" s="3">
        <v>45502</v>
      </c>
      <c r="C1016" t="s">
        <v>65</v>
      </c>
      <c r="D1016" t="s">
        <v>19</v>
      </c>
      <c r="E1016" t="s">
        <v>160</v>
      </c>
      <c r="F1016" t="s">
        <v>15</v>
      </c>
      <c r="G1016" t="s">
        <v>16</v>
      </c>
      <c r="H1016">
        <v>6</v>
      </c>
      <c r="I1016">
        <v>243.91</v>
      </c>
      <c r="J1016">
        <v>0</v>
      </c>
      <c r="K1016">
        <v>1463.46</v>
      </c>
      <c r="M1016" t="str">
        <f t="shared" si="60"/>
        <v>Jul</v>
      </c>
      <c r="N1016">
        <f t="shared" si="61"/>
        <v>7</v>
      </c>
      <c r="O1016">
        <f t="shared" si="62"/>
        <v>1463.46</v>
      </c>
      <c r="P1016" t="str">
        <f t="shared" si="63"/>
        <v>OK</v>
      </c>
    </row>
    <row r="1017" spans="1:16" x14ac:dyDescent="0.35">
      <c r="A1017" t="s">
        <v>1388</v>
      </c>
      <c r="B1017" s="3">
        <v>45302</v>
      </c>
      <c r="C1017" t="s">
        <v>41</v>
      </c>
      <c r="D1017" t="s">
        <v>19</v>
      </c>
      <c r="E1017" t="s">
        <v>62</v>
      </c>
      <c r="F1017" t="s">
        <v>35</v>
      </c>
      <c r="G1017" t="s">
        <v>134</v>
      </c>
      <c r="H1017">
        <v>9</v>
      </c>
      <c r="I1017">
        <v>200.21</v>
      </c>
      <c r="J1017">
        <v>0</v>
      </c>
      <c r="K1017">
        <v>1801.89</v>
      </c>
      <c r="M1017" t="str">
        <f t="shared" si="60"/>
        <v>Jan</v>
      </c>
      <c r="N1017">
        <f t="shared" si="61"/>
        <v>1</v>
      </c>
      <c r="O1017">
        <f t="shared" si="62"/>
        <v>1801.89</v>
      </c>
      <c r="P1017" t="str">
        <f t="shared" si="63"/>
        <v>OK</v>
      </c>
    </row>
    <row r="1018" spans="1:16" x14ac:dyDescent="0.35">
      <c r="A1018" t="s">
        <v>1389</v>
      </c>
      <c r="B1018" s="3">
        <v>45538</v>
      </c>
      <c r="C1018" t="s">
        <v>24</v>
      </c>
      <c r="D1018" t="s">
        <v>42</v>
      </c>
      <c r="E1018" t="s">
        <v>14</v>
      </c>
      <c r="F1018" t="s">
        <v>15</v>
      </c>
      <c r="G1018" t="s">
        <v>16</v>
      </c>
      <c r="H1018">
        <v>12</v>
      </c>
      <c r="I1018">
        <v>106.12</v>
      </c>
      <c r="J1018">
        <v>0.15</v>
      </c>
      <c r="K1018">
        <v>1082.42</v>
      </c>
      <c r="M1018" t="str">
        <f t="shared" si="60"/>
        <v>Sep</v>
      </c>
      <c r="N1018">
        <f t="shared" si="61"/>
        <v>9</v>
      </c>
      <c r="O1018">
        <f t="shared" si="62"/>
        <v>1082.424</v>
      </c>
      <c r="P1018" t="str">
        <f t="shared" si="63"/>
        <v>OK</v>
      </c>
    </row>
    <row r="1019" spans="1:16" x14ac:dyDescent="0.35">
      <c r="A1019" t="s">
        <v>1390</v>
      </c>
      <c r="B1019" s="3">
        <v>45595</v>
      </c>
      <c r="C1019" t="s">
        <v>65</v>
      </c>
      <c r="D1019" t="s">
        <v>42</v>
      </c>
      <c r="E1019" t="s">
        <v>263</v>
      </c>
      <c r="F1019" t="s">
        <v>21</v>
      </c>
      <c r="G1019" t="s">
        <v>70</v>
      </c>
      <c r="H1019">
        <v>7</v>
      </c>
      <c r="I1019">
        <v>216.98</v>
      </c>
      <c r="J1019">
        <v>0</v>
      </c>
      <c r="K1019">
        <v>1518.86</v>
      </c>
      <c r="M1019" t="str">
        <f t="shared" si="60"/>
        <v>Oct</v>
      </c>
      <c r="N1019">
        <f t="shared" si="61"/>
        <v>10</v>
      </c>
      <c r="O1019">
        <f t="shared" si="62"/>
        <v>1518.86</v>
      </c>
      <c r="P1019" t="str">
        <f t="shared" si="63"/>
        <v>OK</v>
      </c>
    </row>
    <row r="1020" spans="1:16" x14ac:dyDescent="0.35">
      <c r="A1020" t="s">
        <v>1392</v>
      </c>
      <c r="B1020" s="3">
        <v>45525</v>
      </c>
      <c r="C1020" t="s">
        <v>65</v>
      </c>
      <c r="D1020" t="s">
        <v>57</v>
      </c>
      <c r="E1020" t="s">
        <v>547</v>
      </c>
      <c r="F1020" t="s">
        <v>21</v>
      </c>
      <c r="G1020" t="s">
        <v>129</v>
      </c>
      <c r="H1020">
        <v>12</v>
      </c>
      <c r="I1020">
        <v>229.92</v>
      </c>
      <c r="J1020">
        <v>0</v>
      </c>
      <c r="K1020">
        <v>2759.04</v>
      </c>
      <c r="M1020" t="str">
        <f t="shared" si="60"/>
        <v>Aug</v>
      </c>
      <c r="N1020">
        <f t="shared" si="61"/>
        <v>8</v>
      </c>
      <c r="O1020">
        <f t="shared" si="62"/>
        <v>2759.04</v>
      </c>
      <c r="P1020" t="str">
        <f t="shared" si="63"/>
        <v>OK</v>
      </c>
    </row>
    <row r="1021" spans="1:16" x14ac:dyDescent="0.35">
      <c r="A1021" t="s">
        <v>1393</v>
      </c>
      <c r="B1021" s="3">
        <v>45575</v>
      </c>
      <c r="C1021" t="s">
        <v>33</v>
      </c>
      <c r="D1021" t="s">
        <v>13</v>
      </c>
      <c r="E1021" t="s">
        <v>315</v>
      </c>
      <c r="F1021" t="s">
        <v>15</v>
      </c>
      <c r="G1021" t="s">
        <v>111</v>
      </c>
      <c r="H1021">
        <v>9</v>
      </c>
      <c r="I1021">
        <v>211</v>
      </c>
      <c r="J1021">
        <v>0.05</v>
      </c>
      <c r="K1021">
        <v>1804.05</v>
      </c>
      <c r="M1021" t="str">
        <f t="shared" si="60"/>
        <v>Oct</v>
      </c>
      <c r="N1021">
        <f t="shared" si="61"/>
        <v>10</v>
      </c>
      <c r="O1021">
        <f t="shared" si="62"/>
        <v>1804.05</v>
      </c>
      <c r="P1021" t="str">
        <f t="shared" si="63"/>
        <v>OK</v>
      </c>
    </row>
    <row r="1022" spans="1:16" x14ac:dyDescent="0.35">
      <c r="A1022" t="s">
        <v>1394</v>
      </c>
      <c r="B1022" s="3">
        <v>45513</v>
      </c>
      <c r="C1022" t="s">
        <v>65</v>
      </c>
      <c r="D1022" t="s">
        <v>57</v>
      </c>
      <c r="E1022" t="s">
        <v>716</v>
      </c>
      <c r="F1022" t="s">
        <v>44</v>
      </c>
      <c r="G1022" t="s">
        <v>45</v>
      </c>
      <c r="H1022">
        <v>9</v>
      </c>
      <c r="I1022">
        <v>107.24</v>
      </c>
      <c r="J1022">
        <v>0</v>
      </c>
      <c r="K1022">
        <v>965.16</v>
      </c>
      <c r="M1022" t="str">
        <f t="shared" si="60"/>
        <v>Aug</v>
      </c>
      <c r="N1022">
        <f t="shared" si="61"/>
        <v>8</v>
      </c>
      <c r="O1022">
        <f t="shared" si="62"/>
        <v>965.16</v>
      </c>
      <c r="P1022" t="str">
        <f t="shared" si="63"/>
        <v>OK</v>
      </c>
    </row>
    <row r="1023" spans="1:16" x14ac:dyDescent="0.35">
      <c r="A1023" t="s">
        <v>1395</v>
      </c>
      <c r="B1023" s="3">
        <v>45303</v>
      </c>
      <c r="C1023" t="s">
        <v>65</v>
      </c>
      <c r="D1023" t="s">
        <v>19</v>
      </c>
      <c r="E1023" t="s">
        <v>2217</v>
      </c>
      <c r="F1023" t="s">
        <v>35</v>
      </c>
      <c r="G1023" t="s">
        <v>36</v>
      </c>
      <c r="H1023">
        <v>4</v>
      </c>
      <c r="I1023">
        <v>161.52000000000001</v>
      </c>
      <c r="J1023">
        <v>0</v>
      </c>
      <c r="K1023">
        <v>646.08000000000004</v>
      </c>
      <c r="M1023" t="str">
        <f t="shared" si="60"/>
        <v>Jan</v>
      </c>
      <c r="N1023">
        <f t="shared" si="61"/>
        <v>1</v>
      </c>
      <c r="O1023">
        <f t="shared" si="62"/>
        <v>646.08000000000004</v>
      </c>
      <c r="P1023" t="str">
        <f t="shared" si="63"/>
        <v>OK</v>
      </c>
    </row>
    <row r="1024" spans="1:16" x14ac:dyDescent="0.35">
      <c r="A1024" t="s">
        <v>1396</v>
      </c>
      <c r="B1024" s="3">
        <v>45647</v>
      </c>
      <c r="C1024" t="s">
        <v>65</v>
      </c>
      <c r="D1024" t="s">
        <v>13</v>
      </c>
      <c r="E1024" t="s">
        <v>825</v>
      </c>
      <c r="F1024" t="s">
        <v>53</v>
      </c>
      <c r="G1024" t="s">
        <v>63</v>
      </c>
      <c r="H1024">
        <v>1</v>
      </c>
      <c r="I1024">
        <v>226.34</v>
      </c>
      <c r="J1024">
        <v>0</v>
      </c>
      <c r="K1024">
        <v>226.34</v>
      </c>
      <c r="M1024" t="str">
        <f t="shared" si="60"/>
        <v>Dec</v>
      </c>
      <c r="N1024">
        <f t="shared" si="61"/>
        <v>12</v>
      </c>
      <c r="O1024">
        <f t="shared" si="62"/>
        <v>226.34</v>
      </c>
      <c r="P1024" t="str">
        <f t="shared" si="63"/>
        <v>OK</v>
      </c>
    </row>
    <row r="1025" spans="1:16" x14ac:dyDescent="0.35">
      <c r="A1025" t="s">
        <v>1397</v>
      </c>
      <c r="B1025" s="3">
        <v>45553</v>
      </c>
      <c r="C1025" t="s">
        <v>33</v>
      </c>
      <c r="D1025" t="s">
        <v>25</v>
      </c>
      <c r="E1025" t="s">
        <v>769</v>
      </c>
      <c r="F1025" t="s">
        <v>53</v>
      </c>
      <c r="G1025" t="s">
        <v>63</v>
      </c>
      <c r="H1025">
        <v>3</v>
      </c>
      <c r="I1025">
        <v>213.33</v>
      </c>
      <c r="J1025">
        <v>0.05</v>
      </c>
      <c r="K1025">
        <v>607.99</v>
      </c>
      <c r="M1025" t="str">
        <f t="shared" si="60"/>
        <v>Sep</v>
      </c>
      <c r="N1025">
        <f t="shared" si="61"/>
        <v>9</v>
      </c>
      <c r="O1025">
        <f t="shared" si="62"/>
        <v>607.9905</v>
      </c>
      <c r="P1025" t="str">
        <f t="shared" si="63"/>
        <v>OK</v>
      </c>
    </row>
    <row r="1026" spans="1:16" x14ac:dyDescent="0.35">
      <c r="A1026" t="s">
        <v>1398</v>
      </c>
      <c r="B1026" s="3">
        <v>45648</v>
      </c>
      <c r="C1026" t="s">
        <v>33</v>
      </c>
      <c r="D1026" t="s">
        <v>42</v>
      </c>
      <c r="E1026" t="s">
        <v>833</v>
      </c>
      <c r="F1026" t="s">
        <v>15</v>
      </c>
      <c r="G1026" t="s">
        <v>111</v>
      </c>
      <c r="H1026">
        <v>3</v>
      </c>
      <c r="I1026">
        <v>159.78</v>
      </c>
      <c r="J1026">
        <v>0</v>
      </c>
      <c r="K1026">
        <v>479.34</v>
      </c>
      <c r="M1026" t="str">
        <f t="shared" si="60"/>
        <v>Dec</v>
      </c>
      <c r="N1026">
        <f t="shared" si="61"/>
        <v>12</v>
      </c>
      <c r="O1026">
        <f t="shared" si="62"/>
        <v>479.34000000000003</v>
      </c>
      <c r="P1026" t="str">
        <f t="shared" si="63"/>
        <v>OK</v>
      </c>
    </row>
    <row r="1027" spans="1:16" x14ac:dyDescent="0.35">
      <c r="A1027" t="s">
        <v>1399</v>
      </c>
      <c r="B1027" s="3">
        <v>45431</v>
      </c>
      <c r="C1027" t="s">
        <v>33</v>
      </c>
      <c r="D1027" t="s">
        <v>25</v>
      </c>
      <c r="E1027" t="s">
        <v>286</v>
      </c>
      <c r="F1027" t="s">
        <v>44</v>
      </c>
      <c r="G1027" t="s">
        <v>107</v>
      </c>
      <c r="H1027">
        <v>4</v>
      </c>
      <c r="I1027">
        <v>125.7</v>
      </c>
      <c r="J1027">
        <v>0</v>
      </c>
      <c r="K1027">
        <v>502.8</v>
      </c>
      <c r="M1027" t="str">
        <f t="shared" ref="M1027:M1090" si="64">TEXT(B1027,"mmm")</f>
        <v>May</v>
      </c>
      <c r="N1027">
        <f t="shared" ref="N1027:N1090" si="65">MONTH(B1027)</f>
        <v>5</v>
      </c>
      <c r="O1027">
        <f t="shared" ref="O1027:O1090" si="66">H1027*I1027*(1-J1027)</f>
        <v>502.8</v>
      </c>
      <c r="P1027" t="str">
        <f t="shared" ref="P1027:P1090" si="67">IF(ROUND(K1027,2)=ROUND(O1027,2),"OK","MISMATCH")</f>
        <v>OK</v>
      </c>
    </row>
    <row r="1028" spans="1:16" x14ac:dyDescent="0.35">
      <c r="A1028" t="s">
        <v>1400</v>
      </c>
      <c r="B1028" s="3">
        <v>45506</v>
      </c>
      <c r="C1028" t="s">
        <v>65</v>
      </c>
      <c r="D1028" t="s">
        <v>13</v>
      </c>
      <c r="E1028" t="s">
        <v>332</v>
      </c>
      <c r="F1028" t="s">
        <v>15</v>
      </c>
      <c r="G1028" t="s">
        <v>16</v>
      </c>
      <c r="H1028">
        <v>9</v>
      </c>
      <c r="I1028">
        <v>100.42</v>
      </c>
      <c r="J1028">
        <v>0</v>
      </c>
      <c r="K1028">
        <v>903.78</v>
      </c>
      <c r="M1028" t="str">
        <f t="shared" si="64"/>
        <v>Aug</v>
      </c>
      <c r="N1028">
        <f t="shared" si="65"/>
        <v>8</v>
      </c>
      <c r="O1028">
        <f t="shared" si="66"/>
        <v>903.78</v>
      </c>
      <c r="P1028" t="str">
        <f t="shared" si="67"/>
        <v>OK</v>
      </c>
    </row>
    <row r="1029" spans="1:16" x14ac:dyDescent="0.35">
      <c r="A1029" t="s">
        <v>1401</v>
      </c>
      <c r="B1029" s="3">
        <v>45504</v>
      </c>
      <c r="C1029" t="s">
        <v>33</v>
      </c>
      <c r="D1029" t="s">
        <v>57</v>
      </c>
      <c r="E1029" t="s">
        <v>124</v>
      </c>
      <c r="F1029" t="s">
        <v>21</v>
      </c>
      <c r="G1029" t="s">
        <v>194</v>
      </c>
      <c r="H1029">
        <v>11</v>
      </c>
      <c r="I1029">
        <v>232.02</v>
      </c>
      <c r="J1029">
        <v>0.1</v>
      </c>
      <c r="K1029">
        <v>2297</v>
      </c>
      <c r="M1029" t="str">
        <f t="shared" si="64"/>
        <v>Jul</v>
      </c>
      <c r="N1029">
        <f t="shared" si="65"/>
        <v>7</v>
      </c>
      <c r="O1029">
        <f t="shared" si="66"/>
        <v>2296.9980000000005</v>
      </c>
      <c r="P1029" t="str">
        <f t="shared" si="67"/>
        <v>OK</v>
      </c>
    </row>
    <row r="1030" spans="1:16" x14ac:dyDescent="0.35">
      <c r="A1030" t="s">
        <v>1402</v>
      </c>
      <c r="B1030" s="3">
        <v>45368</v>
      </c>
      <c r="C1030" t="s">
        <v>65</v>
      </c>
      <c r="D1030" t="s">
        <v>25</v>
      </c>
      <c r="E1030" t="s">
        <v>69</v>
      </c>
      <c r="F1030" t="s">
        <v>15</v>
      </c>
      <c r="G1030" t="s">
        <v>16</v>
      </c>
      <c r="H1030">
        <v>1</v>
      </c>
      <c r="I1030">
        <v>107.35</v>
      </c>
      <c r="J1030">
        <v>0</v>
      </c>
      <c r="K1030">
        <v>107.35</v>
      </c>
      <c r="M1030" t="str">
        <f t="shared" si="64"/>
        <v>Mar</v>
      </c>
      <c r="N1030">
        <f t="shared" si="65"/>
        <v>3</v>
      </c>
      <c r="O1030">
        <f t="shared" si="66"/>
        <v>107.35</v>
      </c>
      <c r="P1030" t="str">
        <f t="shared" si="67"/>
        <v>OK</v>
      </c>
    </row>
    <row r="1031" spans="1:16" x14ac:dyDescent="0.35">
      <c r="A1031" t="s">
        <v>1403</v>
      </c>
      <c r="B1031" s="3">
        <v>45549</v>
      </c>
      <c r="C1031" t="s">
        <v>41</v>
      </c>
      <c r="D1031" t="s">
        <v>57</v>
      </c>
      <c r="E1031" t="s">
        <v>263</v>
      </c>
      <c r="F1031" t="s">
        <v>44</v>
      </c>
      <c r="G1031" t="s">
        <v>86</v>
      </c>
      <c r="H1031">
        <v>12</v>
      </c>
      <c r="I1031">
        <v>118.48</v>
      </c>
      <c r="J1031">
        <v>0.1</v>
      </c>
      <c r="K1031">
        <v>1279.58</v>
      </c>
      <c r="M1031" t="str">
        <f t="shared" si="64"/>
        <v>Sep</v>
      </c>
      <c r="N1031">
        <f t="shared" si="65"/>
        <v>9</v>
      </c>
      <c r="O1031">
        <f t="shared" si="66"/>
        <v>1279.5840000000001</v>
      </c>
      <c r="P1031" t="str">
        <f t="shared" si="67"/>
        <v>OK</v>
      </c>
    </row>
    <row r="1032" spans="1:16" x14ac:dyDescent="0.35">
      <c r="A1032" t="s">
        <v>1404</v>
      </c>
      <c r="B1032" s="3">
        <v>45359</v>
      </c>
      <c r="C1032" t="s">
        <v>41</v>
      </c>
      <c r="D1032" t="s">
        <v>42</v>
      </c>
      <c r="E1032" t="s">
        <v>460</v>
      </c>
      <c r="F1032" t="s">
        <v>53</v>
      </c>
      <c r="G1032" t="s">
        <v>104</v>
      </c>
      <c r="H1032">
        <v>1</v>
      </c>
      <c r="I1032">
        <v>116.92</v>
      </c>
      <c r="J1032">
        <v>0.1</v>
      </c>
      <c r="K1032">
        <v>105.23</v>
      </c>
      <c r="M1032" t="str">
        <f t="shared" si="64"/>
        <v>Mar</v>
      </c>
      <c r="N1032">
        <f t="shared" si="65"/>
        <v>3</v>
      </c>
      <c r="O1032">
        <f t="shared" si="66"/>
        <v>105.22800000000001</v>
      </c>
      <c r="P1032" t="str">
        <f t="shared" si="67"/>
        <v>OK</v>
      </c>
    </row>
    <row r="1033" spans="1:16" x14ac:dyDescent="0.35">
      <c r="A1033" t="s">
        <v>1405</v>
      </c>
      <c r="B1033" s="3">
        <v>45391</v>
      </c>
      <c r="C1033" t="s">
        <v>18</v>
      </c>
      <c r="D1033" t="s">
        <v>13</v>
      </c>
      <c r="E1033" t="s">
        <v>317</v>
      </c>
      <c r="F1033" t="s">
        <v>35</v>
      </c>
      <c r="G1033" t="s">
        <v>134</v>
      </c>
      <c r="H1033">
        <v>10</v>
      </c>
      <c r="I1033">
        <v>80.790000000000006</v>
      </c>
      <c r="J1033">
        <v>0</v>
      </c>
      <c r="K1033">
        <v>807.9</v>
      </c>
      <c r="M1033" t="str">
        <f t="shared" si="64"/>
        <v>Apr</v>
      </c>
      <c r="N1033">
        <f t="shared" si="65"/>
        <v>4</v>
      </c>
      <c r="O1033">
        <f t="shared" si="66"/>
        <v>807.90000000000009</v>
      </c>
      <c r="P1033" t="str">
        <f t="shared" si="67"/>
        <v>OK</v>
      </c>
    </row>
    <row r="1034" spans="1:16" x14ac:dyDescent="0.35">
      <c r="A1034" t="s">
        <v>1406</v>
      </c>
      <c r="B1034" s="3">
        <v>45363</v>
      </c>
      <c r="C1034" t="s">
        <v>24</v>
      </c>
      <c r="D1034" t="s">
        <v>13</v>
      </c>
      <c r="E1034" t="s">
        <v>106</v>
      </c>
      <c r="F1034" t="s">
        <v>15</v>
      </c>
      <c r="G1034" t="s">
        <v>27</v>
      </c>
      <c r="H1034">
        <v>4</v>
      </c>
      <c r="I1034">
        <v>84.28</v>
      </c>
      <c r="J1034">
        <v>0</v>
      </c>
      <c r="K1034">
        <v>337.12</v>
      </c>
      <c r="M1034" t="str">
        <f t="shared" si="64"/>
        <v>Mar</v>
      </c>
      <c r="N1034">
        <f t="shared" si="65"/>
        <v>3</v>
      </c>
      <c r="O1034">
        <f t="shared" si="66"/>
        <v>337.12</v>
      </c>
      <c r="P1034" t="str">
        <f t="shared" si="67"/>
        <v>OK</v>
      </c>
    </row>
    <row r="1035" spans="1:16" x14ac:dyDescent="0.35">
      <c r="A1035" t="s">
        <v>1407</v>
      </c>
      <c r="B1035" s="3">
        <v>45637</v>
      </c>
      <c r="C1035" t="s">
        <v>33</v>
      </c>
      <c r="D1035" t="s">
        <v>42</v>
      </c>
      <c r="E1035" t="s">
        <v>193</v>
      </c>
      <c r="F1035" t="s">
        <v>21</v>
      </c>
      <c r="G1035" t="s">
        <v>194</v>
      </c>
      <c r="H1035">
        <v>10</v>
      </c>
      <c r="I1035">
        <v>122.36</v>
      </c>
      <c r="J1035">
        <v>0</v>
      </c>
      <c r="K1035">
        <v>1223.5999999999999</v>
      </c>
      <c r="M1035" t="str">
        <f t="shared" si="64"/>
        <v>Dec</v>
      </c>
      <c r="N1035">
        <f t="shared" si="65"/>
        <v>12</v>
      </c>
      <c r="O1035">
        <f t="shared" si="66"/>
        <v>1223.5999999999999</v>
      </c>
      <c r="P1035" t="str">
        <f t="shared" si="67"/>
        <v>OK</v>
      </c>
    </row>
    <row r="1036" spans="1:16" x14ac:dyDescent="0.35">
      <c r="A1036" t="s">
        <v>1408</v>
      </c>
      <c r="B1036" s="3">
        <v>45489</v>
      </c>
      <c r="C1036" t="s">
        <v>33</v>
      </c>
      <c r="D1036" t="s">
        <v>57</v>
      </c>
      <c r="E1036" t="s">
        <v>521</v>
      </c>
      <c r="F1036" t="s">
        <v>35</v>
      </c>
      <c r="G1036" t="s">
        <v>177</v>
      </c>
      <c r="H1036">
        <v>2</v>
      </c>
      <c r="I1036">
        <v>172.8</v>
      </c>
      <c r="J1036">
        <v>0</v>
      </c>
      <c r="K1036">
        <v>345.6</v>
      </c>
      <c r="M1036" t="str">
        <f t="shared" si="64"/>
        <v>Jul</v>
      </c>
      <c r="N1036">
        <f t="shared" si="65"/>
        <v>7</v>
      </c>
      <c r="O1036">
        <f t="shared" si="66"/>
        <v>345.6</v>
      </c>
      <c r="P1036" t="str">
        <f t="shared" si="67"/>
        <v>OK</v>
      </c>
    </row>
    <row r="1037" spans="1:16" x14ac:dyDescent="0.35">
      <c r="A1037" t="s">
        <v>1410</v>
      </c>
      <c r="B1037" s="3">
        <v>45325</v>
      </c>
      <c r="C1037" t="s">
        <v>24</v>
      </c>
      <c r="D1037" t="s">
        <v>13</v>
      </c>
      <c r="E1037" t="s">
        <v>902</v>
      </c>
      <c r="F1037" t="s">
        <v>53</v>
      </c>
      <c r="G1037" t="s">
        <v>63</v>
      </c>
      <c r="H1037">
        <v>6</v>
      </c>
      <c r="I1037">
        <v>20.38</v>
      </c>
      <c r="J1037">
        <v>0.15</v>
      </c>
      <c r="K1037">
        <v>103.94</v>
      </c>
      <c r="M1037" t="str">
        <f t="shared" si="64"/>
        <v>Feb</v>
      </c>
      <c r="N1037">
        <f t="shared" si="65"/>
        <v>2</v>
      </c>
      <c r="O1037">
        <f t="shared" si="66"/>
        <v>103.938</v>
      </c>
      <c r="P1037" t="str">
        <f t="shared" si="67"/>
        <v>OK</v>
      </c>
    </row>
    <row r="1038" spans="1:16" x14ac:dyDescent="0.35">
      <c r="A1038" t="s">
        <v>1411</v>
      </c>
      <c r="B1038" s="3">
        <v>45378</v>
      </c>
      <c r="C1038" t="s">
        <v>24</v>
      </c>
      <c r="D1038" t="s">
        <v>19</v>
      </c>
      <c r="E1038" t="s">
        <v>225</v>
      </c>
      <c r="F1038" t="s">
        <v>15</v>
      </c>
      <c r="G1038" t="s">
        <v>147</v>
      </c>
      <c r="H1038">
        <v>8</v>
      </c>
      <c r="I1038">
        <v>155.97</v>
      </c>
      <c r="J1038">
        <v>0.1</v>
      </c>
      <c r="K1038">
        <v>1122.98</v>
      </c>
      <c r="M1038" t="str">
        <f t="shared" si="64"/>
        <v>Mar</v>
      </c>
      <c r="N1038">
        <f t="shared" si="65"/>
        <v>3</v>
      </c>
      <c r="O1038">
        <f t="shared" si="66"/>
        <v>1122.9839999999999</v>
      </c>
      <c r="P1038" t="str">
        <f t="shared" si="67"/>
        <v>OK</v>
      </c>
    </row>
    <row r="1039" spans="1:16" x14ac:dyDescent="0.35">
      <c r="A1039" t="s">
        <v>1412</v>
      </c>
      <c r="B1039" s="3">
        <v>45301</v>
      </c>
      <c r="C1039" t="s">
        <v>33</v>
      </c>
      <c r="D1039" t="s">
        <v>57</v>
      </c>
      <c r="E1039" t="s">
        <v>120</v>
      </c>
      <c r="F1039" t="s">
        <v>21</v>
      </c>
      <c r="G1039" t="s">
        <v>22</v>
      </c>
      <c r="H1039">
        <v>4</v>
      </c>
      <c r="I1039">
        <v>95.65</v>
      </c>
      <c r="J1039">
        <v>0</v>
      </c>
      <c r="K1039">
        <v>382.6</v>
      </c>
      <c r="M1039" t="str">
        <f t="shared" si="64"/>
        <v>Jan</v>
      </c>
      <c r="N1039">
        <f t="shared" si="65"/>
        <v>1</v>
      </c>
      <c r="O1039">
        <f t="shared" si="66"/>
        <v>382.6</v>
      </c>
      <c r="P1039" t="str">
        <f t="shared" si="67"/>
        <v>OK</v>
      </c>
    </row>
    <row r="1040" spans="1:16" x14ac:dyDescent="0.35">
      <c r="A1040" t="s">
        <v>1413</v>
      </c>
      <c r="B1040" s="3">
        <v>45642</v>
      </c>
      <c r="C1040" t="s">
        <v>33</v>
      </c>
      <c r="D1040" t="s">
        <v>25</v>
      </c>
      <c r="E1040" t="s">
        <v>69</v>
      </c>
      <c r="F1040" t="s">
        <v>44</v>
      </c>
      <c r="G1040" t="s">
        <v>94</v>
      </c>
      <c r="H1040">
        <v>1</v>
      </c>
      <c r="I1040">
        <v>72.48</v>
      </c>
      <c r="J1040">
        <v>0</v>
      </c>
      <c r="K1040">
        <v>72.48</v>
      </c>
      <c r="M1040" t="str">
        <f t="shared" si="64"/>
        <v>Dec</v>
      </c>
      <c r="N1040">
        <f t="shared" si="65"/>
        <v>12</v>
      </c>
      <c r="O1040">
        <f t="shared" si="66"/>
        <v>72.48</v>
      </c>
      <c r="P1040" t="str">
        <f t="shared" si="67"/>
        <v>OK</v>
      </c>
    </row>
    <row r="1041" spans="1:16" x14ac:dyDescent="0.35">
      <c r="A1041" t="s">
        <v>1414</v>
      </c>
      <c r="B1041" s="3">
        <v>45565</v>
      </c>
      <c r="C1041" t="s">
        <v>33</v>
      </c>
      <c r="D1041" t="s">
        <v>57</v>
      </c>
      <c r="E1041" t="s">
        <v>223</v>
      </c>
      <c r="F1041" t="s">
        <v>44</v>
      </c>
      <c r="G1041" t="s">
        <v>86</v>
      </c>
      <c r="H1041">
        <v>11</v>
      </c>
      <c r="I1041">
        <v>46.27</v>
      </c>
      <c r="J1041">
        <v>0</v>
      </c>
      <c r="K1041">
        <v>508.97</v>
      </c>
      <c r="M1041" t="str">
        <f t="shared" si="64"/>
        <v>Sep</v>
      </c>
      <c r="N1041">
        <f t="shared" si="65"/>
        <v>9</v>
      </c>
      <c r="O1041">
        <f t="shared" si="66"/>
        <v>508.97</v>
      </c>
      <c r="P1041" t="str">
        <f t="shared" si="67"/>
        <v>OK</v>
      </c>
    </row>
    <row r="1042" spans="1:16" x14ac:dyDescent="0.35">
      <c r="A1042" t="s">
        <v>1415</v>
      </c>
      <c r="B1042" s="3">
        <v>45319</v>
      </c>
      <c r="C1042" t="s">
        <v>41</v>
      </c>
      <c r="D1042" t="s">
        <v>57</v>
      </c>
      <c r="E1042" t="s">
        <v>128</v>
      </c>
      <c r="F1042" t="s">
        <v>35</v>
      </c>
      <c r="G1042" t="s">
        <v>134</v>
      </c>
      <c r="H1042">
        <v>9</v>
      </c>
      <c r="I1042">
        <v>199.58</v>
      </c>
      <c r="J1042">
        <v>0</v>
      </c>
      <c r="K1042">
        <v>1796.22</v>
      </c>
      <c r="M1042" t="str">
        <f t="shared" si="64"/>
        <v>Jan</v>
      </c>
      <c r="N1042">
        <f t="shared" si="65"/>
        <v>1</v>
      </c>
      <c r="O1042">
        <f t="shared" si="66"/>
        <v>1796.22</v>
      </c>
      <c r="P1042" t="str">
        <f t="shared" si="67"/>
        <v>OK</v>
      </c>
    </row>
    <row r="1043" spans="1:16" x14ac:dyDescent="0.35">
      <c r="A1043" t="s">
        <v>1416</v>
      </c>
      <c r="B1043" s="3">
        <v>45631</v>
      </c>
      <c r="C1043" t="s">
        <v>41</v>
      </c>
      <c r="D1043" t="s">
        <v>13</v>
      </c>
      <c r="E1043" t="s">
        <v>139</v>
      </c>
      <c r="F1043" t="s">
        <v>53</v>
      </c>
      <c r="G1043" t="s">
        <v>104</v>
      </c>
      <c r="H1043">
        <v>12</v>
      </c>
      <c r="I1043">
        <v>220.85</v>
      </c>
      <c r="J1043">
        <v>0</v>
      </c>
      <c r="K1043">
        <v>2650.2</v>
      </c>
      <c r="M1043" t="str">
        <f t="shared" si="64"/>
        <v>Dec</v>
      </c>
      <c r="N1043">
        <f t="shared" si="65"/>
        <v>12</v>
      </c>
      <c r="O1043">
        <f t="shared" si="66"/>
        <v>2650.2</v>
      </c>
      <c r="P1043" t="str">
        <f t="shared" si="67"/>
        <v>OK</v>
      </c>
    </row>
    <row r="1044" spans="1:16" x14ac:dyDescent="0.35">
      <c r="A1044" t="s">
        <v>1417</v>
      </c>
      <c r="B1044" s="3">
        <v>45524</v>
      </c>
      <c r="C1044" t="s">
        <v>18</v>
      </c>
      <c r="D1044" t="s">
        <v>13</v>
      </c>
      <c r="E1044" t="s">
        <v>510</v>
      </c>
      <c r="F1044" t="s">
        <v>15</v>
      </c>
      <c r="G1044" t="s">
        <v>147</v>
      </c>
      <c r="H1044">
        <v>5</v>
      </c>
      <c r="I1044">
        <v>145.85</v>
      </c>
      <c r="J1044">
        <v>0</v>
      </c>
      <c r="K1044">
        <v>729.25</v>
      </c>
      <c r="M1044" t="str">
        <f t="shared" si="64"/>
        <v>Aug</v>
      </c>
      <c r="N1044">
        <f t="shared" si="65"/>
        <v>8</v>
      </c>
      <c r="O1044">
        <f t="shared" si="66"/>
        <v>729.25</v>
      </c>
      <c r="P1044" t="str">
        <f t="shared" si="67"/>
        <v>OK</v>
      </c>
    </row>
    <row r="1045" spans="1:16" x14ac:dyDescent="0.35">
      <c r="A1045" t="s">
        <v>1418</v>
      </c>
      <c r="B1045" s="3">
        <v>45305</v>
      </c>
      <c r="C1045" t="s">
        <v>18</v>
      </c>
      <c r="D1045" t="s">
        <v>57</v>
      </c>
      <c r="E1045" t="s">
        <v>638</v>
      </c>
      <c r="F1045" t="s">
        <v>15</v>
      </c>
      <c r="G1045" t="s">
        <v>111</v>
      </c>
      <c r="H1045">
        <v>5</v>
      </c>
      <c r="I1045">
        <v>46.85</v>
      </c>
      <c r="J1045">
        <v>0</v>
      </c>
      <c r="K1045">
        <v>234.25</v>
      </c>
      <c r="M1045" t="str">
        <f t="shared" si="64"/>
        <v>Jan</v>
      </c>
      <c r="N1045">
        <f t="shared" si="65"/>
        <v>1</v>
      </c>
      <c r="O1045">
        <f t="shared" si="66"/>
        <v>234.25</v>
      </c>
      <c r="P1045" t="str">
        <f t="shared" si="67"/>
        <v>OK</v>
      </c>
    </row>
    <row r="1046" spans="1:16" x14ac:dyDescent="0.35">
      <c r="A1046" t="s">
        <v>1419</v>
      </c>
      <c r="B1046" s="3">
        <v>45413</v>
      </c>
      <c r="C1046" t="s">
        <v>33</v>
      </c>
      <c r="D1046" t="s">
        <v>19</v>
      </c>
      <c r="E1046" t="s">
        <v>472</v>
      </c>
      <c r="F1046" t="s">
        <v>15</v>
      </c>
      <c r="G1046" t="s">
        <v>74</v>
      </c>
      <c r="H1046">
        <v>9</v>
      </c>
      <c r="I1046">
        <v>92.65</v>
      </c>
      <c r="J1046">
        <v>0</v>
      </c>
      <c r="K1046">
        <v>833.85</v>
      </c>
      <c r="M1046" t="str">
        <f t="shared" si="64"/>
        <v>May</v>
      </c>
      <c r="N1046">
        <f t="shared" si="65"/>
        <v>5</v>
      </c>
      <c r="O1046">
        <f t="shared" si="66"/>
        <v>833.85</v>
      </c>
      <c r="P1046" t="str">
        <f t="shared" si="67"/>
        <v>OK</v>
      </c>
    </row>
    <row r="1047" spans="1:16" x14ac:dyDescent="0.35">
      <c r="A1047" t="s">
        <v>1420</v>
      </c>
      <c r="B1047" s="3">
        <v>45547</v>
      </c>
      <c r="C1047" t="s">
        <v>18</v>
      </c>
      <c r="D1047" t="s">
        <v>19</v>
      </c>
      <c r="E1047" t="s">
        <v>291</v>
      </c>
      <c r="F1047" t="s">
        <v>35</v>
      </c>
      <c r="G1047" t="s">
        <v>134</v>
      </c>
      <c r="H1047">
        <v>2</v>
      </c>
      <c r="I1047">
        <v>37.9</v>
      </c>
      <c r="J1047">
        <v>0.15</v>
      </c>
      <c r="K1047">
        <v>64.430000000000007</v>
      </c>
      <c r="M1047" t="str">
        <f t="shared" si="64"/>
        <v>Sep</v>
      </c>
      <c r="N1047">
        <f t="shared" si="65"/>
        <v>9</v>
      </c>
      <c r="O1047">
        <f t="shared" si="66"/>
        <v>64.429999999999993</v>
      </c>
      <c r="P1047" t="str">
        <f t="shared" si="67"/>
        <v>OK</v>
      </c>
    </row>
    <row r="1048" spans="1:16" x14ac:dyDescent="0.35">
      <c r="A1048" t="s">
        <v>1421</v>
      </c>
      <c r="B1048" s="3">
        <v>45338</v>
      </c>
      <c r="C1048" t="s">
        <v>24</v>
      </c>
      <c r="D1048" t="s">
        <v>13</v>
      </c>
      <c r="E1048" t="s">
        <v>586</v>
      </c>
      <c r="F1048" t="s">
        <v>53</v>
      </c>
      <c r="G1048" t="s">
        <v>104</v>
      </c>
      <c r="H1048">
        <v>3</v>
      </c>
      <c r="I1048">
        <v>248.72</v>
      </c>
      <c r="J1048">
        <v>0.05</v>
      </c>
      <c r="K1048">
        <v>708.85</v>
      </c>
      <c r="M1048" t="str">
        <f t="shared" si="64"/>
        <v>Feb</v>
      </c>
      <c r="N1048">
        <f t="shared" si="65"/>
        <v>2</v>
      </c>
      <c r="O1048">
        <f t="shared" si="66"/>
        <v>708.85199999999998</v>
      </c>
      <c r="P1048" t="str">
        <f t="shared" si="67"/>
        <v>OK</v>
      </c>
    </row>
    <row r="1049" spans="1:16" x14ac:dyDescent="0.35">
      <c r="A1049" t="s">
        <v>1422</v>
      </c>
      <c r="B1049" s="3">
        <v>45518</v>
      </c>
      <c r="C1049" t="s">
        <v>18</v>
      </c>
      <c r="D1049" t="s">
        <v>13</v>
      </c>
      <c r="E1049" t="s">
        <v>865</v>
      </c>
      <c r="F1049" t="s">
        <v>15</v>
      </c>
      <c r="G1049" t="s">
        <v>147</v>
      </c>
      <c r="H1049">
        <v>7</v>
      </c>
      <c r="I1049">
        <v>6.93</v>
      </c>
      <c r="J1049">
        <v>0</v>
      </c>
      <c r="K1049">
        <v>48.51</v>
      </c>
      <c r="M1049" t="str">
        <f t="shared" si="64"/>
        <v>Aug</v>
      </c>
      <c r="N1049">
        <f t="shared" si="65"/>
        <v>8</v>
      </c>
      <c r="O1049">
        <f t="shared" si="66"/>
        <v>48.51</v>
      </c>
      <c r="P1049" t="str">
        <f t="shared" si="67"/>
        <v>OK</v>
      </c>
    </row>
    <row r="1050" spans="1:16" x14ac:dyDescent="0.35">
      <c r="A1050" t="s">
        <v>1423</v>
      </c>
      <c r="B1050" s="3">
        <v>45527</v>
      </c>
      <c r="C1050" t="s">
        <v>24</v>
      </c>
      <c r="D1050" t="s">
        <v>13</v>
      </c>
      <c r="E1050" t="s">
        <v>346</v>
      </c>
      <c r="F1050" t="s">
        <v>21</v>
      </c>
      <c r="G1050" t="s">
        <v>194</v>
      </c>
      <c r="H1050">
        <v>3</v>
      </c>
      <c r="I1050">
        <v>204.82</v>
      </c>
      <c r="J1050">
        <v>0</v>
      </c>
      <c r="K1050">
        <v>614.46</v>
      </c>
      <c r="M1050" t="str">
        <f t="shared" si="64"/>
        <v>Aug</v>
      </c>
      <c r="N1050">
        <f t="shared" si="65"/>
        <v>8</v>
      </c>
      <c r="O1050">
        <f t="shared" si="66"/>
        <v>614.46</v>
      </c>
      <c r="P1050" t="str">
        <f t="shared" si="67"/>
        <v>OK</v>
      </c>
    </row>
    <row r="1051" spans="1:16" x14ac:dyDescent="0.35">
      <c r="A1051" t="s">
        <v>1425</v>
      </c>
      <c r="B1051" s="3">
        <v>45482</v>
      </c>
      <c r="C1051" t="s">
        <v>41</v>
      </c>
      <c r="D1051" t="s">
        <v>13</v>
      </c>
      <c r="E1051" t="s">
        <v>454</v>
      </c>
      <c r="F1051" t="s">
        <v>21</v>
      </c>
      <c r="G1051" t="s">
        <v>22</v>
      </c>
      <c r="H1051">
        <v>3</v>
      </c>
      <c r="I1051">
        <v>15.97</v>
      </c>
      <c r="J1051">
        <v>0.1</v>
      </c>
      <c r="K1051">
        <v>43.12</v>
      </c>
      <c r="M1051" t="str">
        <f t="shared" si="64"/>
        <v>Jul</v>
      </c>
      <c r="N1051">
        <f t="shared" si="65"/>
        <v>7</v>
      </c>
      <c r="O1051">
        <f t="shared" si="66"/>
        <v>43.119000000000007</v>
      </c>
      <c r="P1051" t="str">
        <f t="shared" si="67"/>
        <v>OK</v>
      </c>
    </row>
    <row r="1052" spans="1:16" x14ac:dyDescent="0.35">
      <c r="A1052" t="s">
        <v>1426</v>
      </c>
      <c r="B1052" s="3">
        <v>45621</v>
      </c>
      <c r="C1052" t="s">
        <v>33</v>
      </c>
      <c r="D1052" t="s">
        <v>57</v>
      </c>
      <c r="E1052" t="s">
        <v>133</v>
      </c>
      <c r="F1052" t="s">
        <v>15</v>
      </c>
      <c r="G1052" t="s">
        <v>111</v>
      </c>
      <c r="H1052">
        <v>1</v>
      </c>
      <c r="I1052">
        <v>84.18</v>
      </c>
      <c r="J1052">
        <v>0.15</v>
      </c>
      <c r="K1052">
        <v>71.55</v>
      </c>
      <c r="M1052" t="str">
        <f t="shared" si="64"/>
        <v>Nov</v>
      </c>
      <c r="N1052">
        <f t="shared" si="65"/>
        <v>11</v>
      </c>
      <c r="O1052">
        <f t="shared" si="66"/>
        <v>71.552999999999997</v>
      </c>
      <c r="P1052" t="str">
        <f t="shared" si="67"/>
        <v>OK</v>
      </c>
    </row>
    <row r="1053" spans="1:16" x14ac:dyDescent="0.35">
      <c r="A1053" t="s">
        <v>1427</v>
      </c>
      <c r="B1053" s="3">
        <v>45592</v>
      </c>
      <c r="C1053" t="s">
        <v>41</v>
      </c>
      <c r="D1053" t="s">
        <v>19</v>
      </c>
      <c r="E1053" t="s">
        <v>567</v>
      </c>
      <c r="F1053" t="s">
        <v>21</v>
      </c>
      <c r="G1053" t="s">
        <v>22</v>
      </c>
      <c r="H1053">
        <v>2</v>
      </c>
      <c r="I1053">
        <v>221.45</v>
      </c>
      <c r="J1053">
        <v>0.05</v>
      </c>
      <c r="K1053">
        <v>420.75</v>
      </c>
      <c r="M1053" t="str">
        <f t="shared" si="64"/>
        <v>Oct</v>
      </c>
      <c r="N1053">
        <f t="shared" si="65"/>
        <v>10</v>
      </c>
      <c r="O1053">
        <f t="shared" si="66"/>
        <v>420.75499999999994</v>
      </c>
      <c r="P1053" t="str">
        <f t="shared" si="67"/>
        <v>MISMATCH</v>
      </c>
    </row>
    <row r="1054" spans="1:16" x14ac:dyDescent="0.35">
      <c r="A1054" t="s">
        <v>1428</v>
      </c>
      <c r="B1054" s="3">
        <v>45406</v>
      </c>
      <c r="C1054" t="s">
        <v>24</v>
      </c>
      <c r="D1054" t="s">
        <v>25</v>
      </c>
      <c r="E1054" t="s">
        <v>82</v>
      </c>
      <c r="F1054" t="s">
        <v>15</v>
      </c>
      <c r="G1054" t="s">
        <v>74</v>
      </c>
      <c r="H1054">
        <v>3</v>
      </c>
      <c r="I1054">
        <v>246.36</v>
      </c>
      <c r="J1054">
        <v>0</v>
      </c>
      <c r="K1054">
        <v>739.08</v>
      </c>
      <c r="M1054" t="str">
        <f t="shared" si="64"/>
        <v>Apr</v>
      </c>
      <c r="N1054">
        <f t="shared" si="65"/>
        <v>4</v>
      </c>
      <c r="O1054">
        <f t="shared" si="66"/>
        <v>739.08</v>
      </c>
      <c r="P1054" t="str">
        <f t="shared" si="67"/>
        <v>OK</v>
      </c>
    </row>
    <row r="1055" spans="1:16" x14ac:dyDescent="0.35">
      <c r="A1055" t="s">
        <v>1429</v>
      </c>
      <c r="B1055" s="3">
        <v>45430</v>
      </c>
      <c r="C1055" t="s">
        <v>65</v>
      </c>
      <c r="D1055" t="s">
        <v>57</v>
      </c>
      <c r="E1055" t="s">
        <v>189</v>
      </c>
      <c r="F1055" t="s">
        <v>15</v>
      </c>
      <c r="G1055" t="s">
        <v>111</v>
      </c>
      <c r="H1055">
        <v>7</v>
      </c>
      <c r="I1055">
        <v>41.24</v>
      </c>
      <c r="J1055">
        <v>0</v>
      </c>
      <c r="K1055">
        <v>288.68</v>
      </c>
      <c r="M1055" t="str">
        <f t="shared" si="64"/>
        <v>May</v>
      </c>
      <c r="N1055">
        <f t="shared" si="65"/>
        <v>5</v>
      </c>
      <c r="O1055">
        <f t="shared" si="66"/>
        <v>288.68</v>
      </c>
      <c r="P1055" t="str">
        <f t="shared" si="67"/>
        <v>OK</v>
      </c>
    </row>
    <row r="1056" spans="1:16" x14ac:dyDescent="0.35">
      <c r="A1056" t="s">
        <v>1430</v>
      </c>
      <c r="B1056" s="3">
        <v>45626</v>
      </c>
      <c r="C1056" t="s">
        <v>18</v>
      </c>
      <c r="D1056" t="s">
        <v>2216</v>
      </c>
      <c r="E1056" t="s">
        <v>30</v>
      </c>
      <c r="F1056" t="s">
        <v>15</v>
      </c>
      <c r="G1056" t="s">
        <v>27</v>
      </c>
      <c r="H1056">
        <v>5</v>
      </c>
      <c r="I1056">
        <v>24.14</v>
      </c>
      <c r="J1056">
        <v>0</v>
      </c>
      <c r="K1056">
        <v>120.7</v>
      </c>
      <c r="M1056" t="str">
        <f t="shared" si="64"/>
        <v>Nov</v>
      </c>
      <c r="N1056">
        <f t="shared" si="65"/>
        <v>11</v>
      </c>
      <c r="O1056">
        <f t="shared" si="66"/>
        <v>120.7</v>
      </c>
      <c r="P1056" t="str">
        <f t="shared" si="67"/>
        <v>OK</v>
      </c>
    </row>
    <row r="1057" spans="1:16" x14ac:dyDescent="0.35">
      <c r="A1057" t="s">
        <v>1431</v>
      </c>
      <c r="B1057" s="3">
        <v>45403</v>
      </c>
      <c r="C1057" t="s">
        <v>33</v>
      </c>
      <c r="D1057" t="s">
        <v>42</v>
      </c>
      <c r="E1057" t="s">
        <v>58</v>
      </c>
      <c r="F1057" t="s">
        <v>53</v>
      </c>
      <c r="G1057" t="s">
        <v>54</v>
      </c>
      <c r="H1057">
        <v>1</v>
      </c>
      <c r="I1057">
        <v>239.39</v>
      </c>
      <c r="J1057">
        <v>0</v>
      </c>
      <c r="K1057">
        <v>239.39</v>
      </c>
      <c r="M1057" t="str">
        <f t="shared" si="64"/>
        <v>Apr</v>
      </c>
      <c r="N1057">
        <f t="shared" si="65"/>
        <v>4</v>
      </c>
      <c r="O1057">
        <f t="shared" si="66"/>
        <v>239.39</v>
      </c>
      <c r="P1057" t="str">
        <f t="shared" si="67"/>
        <v>OK</v>
      </c>
    </row>
    <row r="1058" spans="1:16" x14ac:dyDescent="0.35">
      <c r="A1058" t="s">
        <v>1433</v>
      </c>
      <c r="B1058" s="3">
        <v>45303</v>
      </c>
      <c r="C1058" t="s">
        <v>24</v>
      </c>
      <c r="D1058" t="s">
        <v>57</v>
      </c>
      <c r="E1058" t="s">
        <v>133</v>
      </c>
      <c r="F1058" t="s">
        <v>35</v>
      </c>
      <c r="G1058" t="s">
        <v>83</v>
      </c>
      <c r="H1058">
        <v>12</v>
      </c>
      <c r="I1058">
        <v>118.44</v>
      </c>
      <c r="J1058">
        <v>0.1</v>
      </c>
      <c r="K1058">
        <v>1279.1500000000001</v>
      </c>
      <c r="M1058" t="str">
        <f t="shared" si="64"/>
        <v>Jan</v>
      </c>
      <c r="N1058">
        <f t="shared" si="65"/>
        <v>1</v>
      </c>
      <c r="O1058">
        <f t="shared" si="66"/>
        <v>1279.152</v>
      </c>
      <c r="P1058" t="str">
        <f t="shared" si="67"/>
        <v>OK</v>
      </c>
    </row>
    <row r="1059" spans="1:16" x14ac:dyDescent="0.35">
      <c r="A1059" t="s">
        <v>1434</v>
      </c>
      <c r="B1059" s="3">
        <v>45454</v>
      </c>
      <c r="C1059" t="s">
        <v>41</v>
      </c>
      <c r="D1059" t="s">
        <v>42</v>
      </c>
      <c r="E1059" t="s">
        <v>137</v>
      </c>
      <c r="F1059" t="s">
        <v>53</v>
      </c>
      <c r="G1059" t="s">
        <v>63</v>
      </c>
      <c r="H1059">
        <v>9</v>
      </c>
      <c r="I1059">
        <v>146.13</v>
      </c>
      <c r="J1059">
        <v>0.15</v>
      </c>
      <c r="K1059">
        <v>1117.8900000000001</v>
      </c>
      <c r="M1059" t="str">
        <f t="shared" si="64"/>
        <v>Jun</v>
      </c>
      <c r="N1059">
        <f t="shared" si="65"/>
        <v>6</v>
      </c>
      <c r="O1059">
        <f t="shared" si="66"/>
        <v>1117.8945000000001</v>
      </c>
      <c r="P1059" t="str">
        <f t="shared" si="67"/>
        <v>OK</v>
      </c>
    </row>
    <row r="1060" spans="1:16" x14ac:dyDescent="0.35">
      <c r="A1060" t="s">
        <v>1435</v>
      </c>
      <c r="B1060" s="3">
        <v>45470</v>
      </c>
      <c r="C1060" t="s">
        <v>24</v>
      </c>
      <c r="D1060" t="s">
        <v>13</v>
      </c>
      <c r="E1060" t="s">
        <v>510</v>
      </c>
      <c r="F1060" t="s">
        <v>15</v>
      </c>
      <c r="G1060" t="s">
        <v>147</v>
      </c>
      <c r="H1060">
        <v>6</v>
      </c>
      <c r="I1060">
        <v>52</v>
      </c>
      <c r="J1060">
        <v>0.1</v>
      </c>
      <c r="K1060">
        <v>280.8</v>
      </c>
      <c r="M1060" t="str">
        <f t="shared" si="64"/>
        <v>Jun</v>
      </c>
      <c r="N1060">
        <f t="shared" si="65"/>
        <v>6</v>
      </c>
      <c r="O1060">
        <f t="shared" si="66"/>
        <v>280.8</v>
      </c>
      <c r="P1060" t="str">
        <f t="shared" si="67"/>
        <v>OK</v>
      </c>
    </row>
    <row r="1061" spans="1:16" x14ac:dyDescent="0.35">
      <c r="A1061" t="s">
        <v>1436</v>
      </c>
      <c r="B1061" s="3">
        <v>45449</v>
      </c>
      <c r="C1061" t="s">
        <v>41</v>
      </c>
      <c r="D1061" t="s">
        <v>57</v>
      </c>
      <c r="E1061" t="s">
        <v>302</v>
      </c>
      <c r="F1061" t="s">
        <v>15</v>
      </c>
      <c r="G1061" t="s">
        <v>16</v>
      </c>
      <c r="H1061">
        <v>10</v>
      </c>
      <c r="I1061">
        <v>105.4</v>
      </c>
      <c r="J1061">
        <v>0</v>
      </c>
      <c r="K1061">
        <v>1054</v>
      </c>
      <c r="M1061" t="str">
        <f t="shared" si="64"/>
        <v>Jun</v>
      </c>
      <c r="N1061">
        <f t="shared" si="65"/>
        <v>6</v>
      </c>
      <c r="O1061">
        <f t="shared" si="66"/>
        <v>1054</v>
      </c>
      <c r="P1061" t="str">
        <f t="shared" si="67"/>
        <v>OK</v>
      </c>
    </row>
    <row r="1062" spans="1:16" x14ac:dyDescent="0.35">
      <c r="A1062" t="s">
        <v>1437</v>
      </c>
      <c r="B1062" s="3">
        <v>45439</v>
      </c>
      <c r="C1062" t="s">
        <v>18</v>
      </c>
      <c r="D1062" t="s">
        <v>57</v>
      </c>
      <c r="E1062" t="s">
        <v>152</v>
      </c>
      <c r="F1062" t="s">
        <v>53</v>
      </c>
      <c r="G1062" t="s">
        <v>54</v>
      </c>
      <c r="H1062">
        <v>10</v>
      </c>
      <c r="I1062">
        <v>91.15</v>
      </c>
      <c r="J1062">
        <v>0.1</v>
      </c>
      <c r="K1062">
        <v>820.35</v>
      </c>
      <c r="M1062" t="str">
        <f t="shared" si="64"/>
        <v>May</v>
      </c>
      <c r="N1062">
        <f t="shared" si="65"/>
        <v>5</v>
      </c>
      <c r="O1062">
        <f t="shared" si="66"/>
        <v>820.35</v>
      </c>
      <c r="P1062" t="str">
        <f t="shared" si="67"/>
        <v>OK</v>
      </c>
    </row>
    <row r="1063" spans="1:16" x14ac:dyDescent="0.35">
      <c r="A1063" t="s">
        <v>1438</v>
      </c>
      <c r="B1063" s="3">
        <v>45555</v>
      </c>
      <c r="C1063" t="s">
        <v>33</v>
      </c>
      <c r="D1063" t="s">
        <v>57</v>
      </c>
      <c r="E1063" t="s">
        <v>426</v>
      </c>
      <c r="F1063" t="s">
        <v>53</v>
      </c>
      <c r="G1063" t="s">
        <v>260</v>
      </c>
      <c r="H1063">
        <v>1</v>
      </c>
      <c r="I1063">
        <v>14.49</v>
      </c>
      <c r="J1063">
        <v>0.15</v>
      </c>
      <c r="K1063">
        <v>12.32</v>
      </c>
      <c r="M1063" t="str">
        <f t="shared" si="64"/>
        <v>Sep</v>
      </c>
      <c r="N1063">
        <f t="shared" si="65"/>
        <v>9</v>
      </c>
      <c r="O1063">
        <f t="shared" si="66"/>
        <v>12.3165</v>
      </c>
      <c r="P1063" t="str">
        <f t="shared" si="67"/>
        <v>OK</v>
      </c>
    </row>
    <row r="1064" spans="1:16" x14ac:dyDescent="0.35">
      <c r="A1064" t="s">
        <v>1439</v>
      </c>
      <c r="B1064" s="3">
        <v>45644</v>
      </c>
      <c r="C1064" t="s">
        <v>33</v>
      </c>
      <c r="D1064" t="s">
        <v>57</v>
      </c>
      <c r="E1064" t="s">
        <v>1159</v>
      </c>
      <c r="F1064" t="s">
        <v>53</v>
      </c>
      <c r="G1064" t="s">
        <v>125</v>
      </c>
      <c r="H1064">
        <v>1</v>
      </c>
      <c r="I1064">
        <v>68.62</v>
      </c>
      <c r="J1064">
        <v>0</v>
      </c>
      <c r="K1064">
        <v>68.62</v>
      </c>
      <c r="M1064" t="str">
        <f t="shared" si="64"/>
        <v>Dec</v>
      </c>
      <c r="N1064">
        <f t="shared" si="65"/>
        <v>12</v>
      </c>
      <c r="O1064">
        <f t="shared" si="66"/>
        <v>68.62</v>
      </c>
      <c r="P1064" t="str">
        <f t="shared" si="67"/>
        <v>OK</v>
      </c>
    </row>
    <row r="1065" spans="1:16" x14ac:dyDescent="0.35">
      <c r="A1065" t="s">
        <v>1440</v>
      </c>
      <c r="B1065" s="3">
        <v>45584</v>
      </c>
      <c r="C1065" t="s">
        <v>18</v>
      </c>
      <c r="D1065" t="s">
        <v>19</v>
      </c>
      <c r="E1065" t="s">
        <v>330</v>
      </c>
      <c r="F1065" t="s">
        <v>35</v>
      </c>
      <c r="G1065" t="s">
        <v>177</v>
      </c>
      <c r="H1065">
        <v>7</v>
      </c>
      <c r="I1065">
        <v>178.79</v>
      </c>
      <c r="J1065">
        <v>0</v>
      </c>
      <c r="K1065">
        <v>1251.53</v>
      </c>
      <c r="M1065" t="str">
        <f t="shared" si="64"/>
        <v>Oct</v>
      </c>
      <c r="N1065">
        <f t="shared" si="65"/>
        <v>10</v>
      </c>
      <c r="O1065">
        <f t="shared" si="66"/>
        <v>1251.53</v>
      </c>
      <c r="P1065" t="str">
        <f t="shared" si="67"/>
        <v>OK</v>
      </c>
    </row>
    <row r="1066" spans="1:16" x14ac:dyDescent="0.35">
      <c r="A1066" t="s">
        <v>1441</v>
      </c>
      <c r="B1066" s="3">
        <v>45376</v>
      </c>
      <c r="C1066" t="s">
        <v>18</v>
      </c>
      <c r="D1066" t="s">
        <v>25</v>
      </c>
      <c r="E1066" t="s">
        <v>437</v>
      </c>
      <c r="F1066" t="s">
        <v>35</v>
      </c>
      <c r="G1066" t="s">
        <v>134</v>
      </c>
      <c r="H1066">
        <v>10</v>
      </c>
      <c r="I1066">
        <v>122.64</v>
      </c>
      <c r="J1066">
        <v>0</v>
      </c>
      <c r="K1066">
        <v>1226.4000000000001</v>
      </c>
      <c r="M1066" t="str">
        <f t="shared" si="64"/>
        <v>Mar</v>
      </c>
      <c r="N1066">
        <f t="shared" si="65"/>
        <v>3</v>
      </c>
      <c r="O1066">
        <f t="shared" si="66"/>
        <v>1226.4000000000001</v>
      </c>
      <c r="P1066" t="str">
        <f t="shared" si="67"/>
        <v>OK</v>
      </c>
    </row>
    <row r="1067" spans="1:16" x14ac:dyDescent="0.35">
      <c r="A1067" t="s">
        <v>1442</v>
      </c>
      <c r="B1067" s="3">
        <v>45412</v>
      </c>
      <c r="C1067" t="s">
        <v>18</v>
      </c>
      <c r="D1067" t="s">
        <v>42</v>
      </c>
      <c r="E1067" t="s">
        <v>381</v>
      </c>
      <c r="F1067" t="s">
        <v>44</v>
      </c>
      <c r="G1067" t="s">
        <v>94</v>
      </c>
      <c r="H1067">
        <v>4</v>
      </c>
      <c r="I1067">
        <v>168.23</v>
      </c>
      <c r="J1067">
        <v>0</v>
      </c>
      <c r="K1067">
        <v>672.92</v>
      </c>
      <c r="M1067" t="str">
        <f t="shared" si="64"/>
        <v>Apr</v>
      </c>
      <c r="N1067">
        <f t="shared" si="65"/>
        <v>4</v>
      </c>
      <c r="O1067">
        <f t="shared" si="66"/>
        <v>672.92</v>
      </c>
      <c r="P1067" t="str">
        <f t="shared" si="67"/>
        <v>OK</v>
      </c>
    </row>
    <row r="1068" spans="1:16" x14ac:dyDescent="0.35">
      <c r="A1068" t="s">
        <v>1443</v>
      </c>
      <c r="B1068" s="3">
        <v>45351</v>
      </c>
      <c r="C1068" t="s">
        <v>33</v>
      </c>
      <c r="D1068" t="s">
        <v>25</v>
      </c>
      <c r="E1068" t="s">
        <v>394</v>
      </c>
      <c r="F1068" t="s">
        <v>21</v>
      </c>
      <c r="G1068" t="s">
        <v>167</v>
      </c>
      <c r="H1068">
        <v>9</v>
      </c>
      <c r="I1068">
        <v>120.99</v>
      </c>
      <c r="J1068">
        <v>0.1</v>
      </c>
      <c r="K1068">
        <v>980.02</v>
      </c>
      <c r="M1068" t="str">
        <f t="shared" si="64"/>
        <v>Feb</v>
      </c>
      <c r="N1068">
        <f t="shared" si="65"/>
        <v>2</v>
      </c>
      <c r="O1068">
        <f t="shared" si="66"/>
        <v>980.01899999999989</v>
      </c>
      <c r="P1068" t="str">
        <f t="shared" si="67"/>
        <v>OK</v>
      </c>
    </row>
    <row r="1069" spans="1:16" x14ac:dyDescent="0.35">
      <c r="A1069" t="s">
        <v>1445</v>
      </c>
      <c r="B1069" s="3">
        <v>45597</v>
      </c>
      <c r="C1069" t="s">
        <v>18</v>
      </c>
      <c r="D1069" t="s">
        <v>42</v>
      </c>
      <c r="E1069" t="s">
        <v>14</v>
      </c>
      <c r="F1069" t="s">
        <v>21</v>
      </c>
      <c r="G1069" t="s">
        <v>194</v>
      </c>
      <c r="H1069">
        <v>6</v>
      </c>
      <c r="I1069">
        <v>135.86000000000001</v>
      </c>
      <c r="J1069">
        <v>0.05</v>
      </c>
      <c r="K1069">
        <v>774.4</v>
      </c>
      <c r="M1069" t="str">
        <f t="shared" si="64"/>
        <v>Nov</v>
      </c>
      <c r="N1069">
        <f t="shared" si="65"/>
        <v>11</v>
      </c>
      <c r="O1069">
        <f t="shared" si="66"/>
        <v>774.40200000000004</v>
      </c>
      <c r="P1069" t="str">
        <f t="shared" si="67"/>
        <v>OK</v>
      </c>
    </row>
    <row r="1070" spans="1:16" x14ac:dyDescent="0.35">
      <c r="A1070" t="s">
        <v>1446</v>
      </c>
      <c r="B1070" s="3">
        <v>45454</v>
      </c>
      <c r="C1070" t="s">
        <v>24</v>
      </c>
      <c r="D1070" t="s">
        <v>13</v>
      </c>
      <c r="E1070" t="s">
        <v>1447</v>
      </c>
      <c r="F1070" t="s">
        <v>21</v>
      </c>
      <c r="G1070" t="s">
        <v>129</v>
      </c>
      <c r="H1070">
        <v>10</v>
      </c>
      <c r="I1070">
        <v>79.260000000000005</v>
      </c>
      <c r="J1070">
        <v>0.05</v>
      </c>
      <c r="K1070">
        <v>752.97</v>
      </c>
      <c r="M1070" t="str">
        <f t="shared" si="64"/>
        <v>Jun</v>
      </c>
      <c r="N1070">
        <f t="shared" si="65"/>
        <v>6</v>
      </c>
      <c r="O1070">
        <f t="shared" si="66"/>
        <v>752.97</v>
      </c>
      <c r="P1070" t="str">
        <f t="shared" si="67"/>
        <v>OK</v>
      </c>
    </row>
    <row r="1071" spans="1:16" x14ac:dyDescent="0.35">
      <c r="A1071" t="s">
        <v>1448</v>
      </c>
      <c r="B1071" s="3">
        <v>45391</v>
      </c>
      <c r="C1071" t="s">
        <v>33</v>
      </c>
      <c r="D1071" t="s">
        <v>57</v>
      </c>
      <c r="E1071" t="s">
        <v>683</v>
      </c>
      <c r="F1071" t="s">
        <v>44</v>
      </c>
      <c r="G1071" t="s">
        <v>94</v>
      </c>
      <c r="H1071">
        <v>6</v>
      </c>
      <c r="I1071">
        <v>56.71</v>
      </c>
      <c r="J1071">
        <v>0.15</v>
      </c>
      <c r="K1071">
        <v>289.22000000000003</v>
      </c>
      <c r="M1071" t="str">
        <f t="shared" si="64"/>
        <v>Apr</v>
      </c>
      <c r="N1071">
        <f t="shared" si="65"/>
        <v>4</v>
      </c>
      <c r="O1071">
        <f t="shared" si="66"/>
        <v>289.221</v>
      </c>
      <c r="P1071" t="str">
        <f t="shared" si="67"/>
        <v>OK</v>
      </c>
    </row>
    <row r="1072" spans="1:16" x14ac:dyDescent="0.35">
      <c r="A1072" t="s">
        <v>1449</v>
      </c>
      <c r="B1072" s="3">
        <v>45574</v>
      </c>
      <c r="C1072" t="s">
        <v>18</v>
      </c>
      <c r="D1072" t="s">
        <v>19</v>
      </c>
      <c r="E1072" t="s">
        <v>250</v>
      </c>
      <c r="F1072" t="s">
        <v>35</v>
      </c>
      <c r="G1072" t="s">
        <v>67</v>
      </c>
      <c r="H1072">
        <v>4</v>
      </c>
      <c r="I1072">
        <v>27.38</v>
      </c>
      <c r="J1072">
        <v>0.15</v>
      </c>
      <c r="K1072">
        <v>93.09</v>
      </c>
      <c r="M1072" t="str">
        <f t="shared" si="64"/>
        <v>Oct</v>
      </c>
      <c r="N1072">
        <f t="shared" si="65"/>
        <v>10</v>
      </c>
      <c r="O1072">
        <f t="shared" si="66"/>
        <v>93.091999999999999</v>
      </c>
      <c r="P1072" t="str">
        <f t="shared" si="67"/>
        <v>OK</v>
      </c>
    </row>
    <row r="1073" spans="1:16" x14ac:dyDescent="0.35">
      <c r="A1073" t="s">
        <v>1450</v>
      </c>
      <c r="B1073" s="3">
        <v>45319</v>
      </c>
      <c r="C1073" t="s">
        <v>41</v>
      </c>
      <c r="D1073" t="s">
        <v>13</v>
      </c>
      <c r="E1073" t="s">
        <v>547</v>
      </c>
      <c r="F1073" t="s">
        <v>44</v>
      </c>
      <c r="G1073" t="s">
        <v>50</v>
      </c>
      <c r="H1073">
        <v>8</v>
      </c>
      <c r="I1073">
        <v>49.87</v>
      </c>
      <c r="J1073">
        <v>0</v>
      </c>
      <c r="K1073">
        <v>398.96</v>
      </c>
      <c r="M1073" t="str">
        <f t="shared" si="64"/>
        <v>Jan</v>
      </c>
      <c r="N1073">
        <f t="shared" si="65"/>
        <v>1</v>
      </c>
      <c r="O1073">
        <f t="shared" si="66"/>
        <v>398.96</v>
      </c>
      <c r="P1073" t="str">
        <f t="shared" si="67"/>
        <v>OK</v>
      </c>
    </row>
    <row r="1074" spans="1:16" x14ac:dyDescent="0.35">
      <c r="A1074" t="s">
        <v>1451</v>
      </c>
      <c r="B1074" s="3">
        <v>45545</v>
      </c>
      <c r="C1074" t="s">
        <v>18</v>
      </c>
      <c r="D1074" t="s">
        <v>42</v>
      </c>
      <c r="E1074" t="s">
        <v>638</v>
      </c>
      <c r="F1074" t="s">
        <v>35</v>
      </c>
      <c r="G1074" t="s">
        <v>177</v>
      </c>
      <c r="H1074">
        <v>10</v>
      </c>
      <c r="I1074">
        <v>98.98</v>
      </c>
      <c r="J1074">
        <v>0.1</v>
      </c>
      <c r="K1074">
        <v>890.82</v>
      </c>
      <c r="M1074" t="str">
        <f t="shared" si="64"/>
        <v>Sep</v>
      </c>
      <c r="N1074">
        <f t="shared" si="65"/>
        <v>9</v>
      </c>
      <c r="O1074">
        <f t="shared" si="66"/>
        <v>890.82</v>
      </c>
      <c r="P1074" t="str">
        <f t="shared" si="67"/>
        <v>OK</v>
      </c>
    </row>
    <row r="1075" spans="1:16" x14ac:dyDescent="0.35">
      <c r="A1075" t="s">
        <v>1452</v>
      </c>
      <c r="B1075" s="3">
        <v>45534</v>
      </c>
      <c r="C1075" t="s">
        <v>18</v>
      </c>
      <c r="D1075" t="s">
        <v>25</v>
      </c>
      <c r="E1075" t="s">
        <v>484</v>
      </c>
      <c r="F1075" t="s">
        <v>44</v>
      </c>
      <c r="G1075" t="s">
        <v>45</v>
      </c>
      <c r="H1075">
        <v>3</v>
      </c>
      <c r="I1075">
        <v>153.24</v>
      </c>
      <c r="J1075">
        <v>0.05</v>
      </c>
      <c r="K1075">
        <v>436.73</v>
      </c>
      <c r="M1075" t="str">
        <f t="shared" si="64"/>
        <v>Aug</v>
      </c>
      <c r="N1075">
        <f t="shared" si="65"/>
        <v>8</v>
      </c>
      <c r="O1075">
        <f t="shared" si="66"/>
        <v>436.73399999999998</v>
      </c>
      <c r="P1075" t="str">
        <f t="shared" si="67"/>
        <v>OK</v>
      </c>
    </row>
    <row r="1076" spans="1:16" x14ac:dyDescent="0.35">
      <c r="A1076" t="s">
        <v>1453</v>
      </c>
      <c r="B1076" s="3">
        <v>45473</v>
      </c>
      <c r="C1076" t="s">
        <v>24</v>
      </c>
      <c r="D1076" t="s">
        <v>13</v>
      </c>
      <c r="E1076" t="s">
        <v>562</v>
      </c>
      <c r="F1076" t="s">
        <v>21</v>
      </c>
      <c r="G1076" t="s">
        <v>129</v>
      </c>
      <c r="H1076">
        <v>9</v>
      </c>
      <c r="I1076">
        <v>142.91</v>
      </c>
      <c r="J1076">
        <v>0.1</v>
      </c>
      <c r="K1076">
        <v>1157.57</v>
      </c>
      <c r="M1076" t="str">
        <f t="shared" si="64"/>
        <v>Jun</v>
      </c>
      <c r="N1076">
        <f t="shared" si="65"/>
        <v>6</v>
      </c>
      <c r="O1076">
        <f t="shared" si="66"/>
        <v>1157.5710000000001</v>
      </c>
      <c r="P1076" t="str">
        <f t="shared" si="67"/>
        <v>OK</v>
      </c>
    </row>
    <row r="1077" spans="1:16" x14ac:dyDescent="0.35">
      <c r="A1077" t="s">
        <v>1454</v>
      </c>
      <c r="B1077" s="3">
        <v>45385</v>
      </c>
      <c r="C1077" t="s">
        <v>65</v>
      </c>
      <c r="D1077" t="s">
        <v>25</v>
      </c>
      <c r="E1077" t="s">
        <v>206</v>
      </c>
      <c r="F1077" t="s">
        <v>21</v>
      </c>
      <c r="G1077" t="s">
        <v>70</v>
      </c>
      <c r="H1077">
        <v>1</v>
      </c>
      <c r="I1077">
        <v>244.48</v>
      </c>
      <c r="J1077">
        <v>0</v>
      </c>
      <c r="K1077">
        <v>244.48</v>
      </c>
      <c r="M1077" t="str">
        <f t="shared" si="64"/>
        <v>Apr</v>
      </c>
      <c r="N1077">
        <f t="shared" si="65"/>
        <v>4</v>
      </c>
      <c r="O1077">
        <f t="shared" si="66"/>
        <v>244.48</v>
      </c>
      <c r="P1077" t="str">
        <f t="shared" si="67"/>
        <v>OK</v>
      </c>
    </row>
    <row r="1078" spans="1:16" x14ac:dyDescent="0.35">
      <c r="A1078" t="s">
        <v>1455</v>
      </c>
      <c r="B1078" s="3">
        <v>45530</v>
      </c>
      <c r="C1078" t="s">
        <v>18</v>
      </c>
      <c r="D1078" t="s">
        <v>25</v>
      </c>
      <c r="E1078" t="s">
        <v>339</v>
      </c>
      <c r="F1078" t="s">
        <v>35</v>
      </c>
      <c r="G1078" t="s">
        <v>177</v>
      </c>
      <c r="H1078">
        <v>1</v>
      </c>
      <c r="I1078">
        <v>93.56</v>
      </c>
      <c r="J1078">
        <v>0.15</v>
      </c>
      <c r="K1078">
        <v>79.53</v>
      </c>
      <c r="M1078" t="str">
        <f t="shared" si="64"/>
        <v>Aug</v>
      </c>
      <c r="N1078">
        <f t="shared" si="65"/>
        <v>8</v>
      </c>
      <c r="O1078">
        <f t="shared" si="66"/>
        <v>79.525999999999996</v>
      </c>
      <c r="P1078" t="str">
        <f t="shared" si="67"/>
        <v>OK</v>
      </c>
    </row>
    <row r="1079" spans="1:16" x14ac:dyDescent="0.35">
      <c r="A1079" t="s">
        <v>1456</v>
      </c>
      <c r="B1079" s="3">
        <v>45321</v>
      </c>
      <c r="C1079" t="s">
        <v>41</v>
      </c>
      <c r="D1079" t="s">
        <v>42</v>
      </c>
      <c r="E1079" t="s">
        <v>246</v>
      </c>
      <c r="F1079" t="s">
        <v>15</v>
      </c>
      <c r="G1079" t="s">
        <v>16</v>
      </c>
      <c r="H1079">
        <v>10</v>
      </c>
      <c r="I1079">
        <v>72.73</v>
      </c>
      <c r="J1079">
        <v>0.1</v>
      </c>
      <c r="K1079">
        <v>654.57000000000005</v>
      </c>
      <c r="M1079" t="str">
        <f t="shared" si="64"/>
        <v>Jan</v>
      </c>
      <c r="N1079">
        <f t="shared" si="65"/>
        <v>1</v>
      </c>
      <c r="O1079">
        <f t="shared" si="66"/>
        <v>654.57000000000005</v>
      </c>
      <c r="P1079" t="str">
        <f t="shared" si="67"/>
        <v>OK</v>
      </c>
    </row>
    <row r="1080" spans="1:16" x14ac:dyDescent="0.35">
      <c r="A1080" t="s">
        <v>1457</v>
      </c>
      <c r="B1080" s="3">
        <v>45504</v>
      </c>
      <c r="C1080" t="s">
        <v>24</v>
      </c>
      <c r="D1080" t="s">
        <v>19</v>
      </c>
      <c r="E1080" t="s">
        <v>122</v>
      </c>
      <c r="F1080" t="s">
        <v>15</v>
      </c>
      <c r="G1080" t="s">
        <v>27</v>
      </c>
      <c r="H1080">
        <v>12</v>
      </c>
      <c r="I1080">
        <v>33.44</v>
      </c>
      <c r="J1080">
        <v>0</v>
      </c>
      <c r="K1080">
        <v>401.28</v>
      </c>
      <c r="M1080" t="str">
        <f t="shared" si="64"/>
        <v>Jul</v>
      </c>
      <c r="N1080">
        <f t="shared" si="65"/>
        <v>7</v>
      </c>
      <c r="O1080">
        <f t="shared" si="66"/>
        <v>401.28</v>
      </c>
      <c r="P1080" t="str">
        <f t="shared" si="67"/>
        <v>OK</v>
      </c>
    </row>
    <row r="1081" spans="1:16" x14ac:dyDescent="0.35">
      <c r="A1081" t="s">
        <v>1458</v>
      </c>
      <c r="B1081" s="3">
        <v>45340</v>
      </c>
      <c r="C1081" t="s">
        <v>18</v>
      </c>
      <c r="D1081" t="s">
        <v>13</v>
      </c>
      <c r="E1081" t="s">
        <v>1084</v>
      </c>
      <c r="F1081" t="s">
        <v>15</v>
      </c>
      <c r="G1081" t="s">
        <v>16</v>
      </c>
      <c r="H1081">
        <v>2</v>
      </c>
      <c r="I1081">
        <v>243.9</v>
      </c>
      <c r="J1081">
        <v>0</v>
      </c>
      <c r="K1081">
        <v>487.8</v>
      </c>
      <c r="M1081" t="str">
        <f t="shared" si="64"/>
        <v>Feb</v>
      </c>
      <c r="N1081">
        <f t="shared" si="65"/>
        <v>2</v>
      </c>
      <c r="O1081">
        <f t="shared" si="66"/>
        <v>487.8</v>
      </c>
      <c r="P1081" t="str">
        <f t="shared" si="67"/>
        <v>OK</v>
      </c>
    </row>
    <row r="1082" spans="1:16" x14ac:dyDescent="0.35">
      <c r="A1082" t="s">
        <v>1459</v>
      </c>
      <c r="B1082" s="3">
        <v>45579</v>
      </c>
      <c r="C1082" t="s">
        <v>41</v>
      </c>
      <c r="D1082" t="s">
        <v>42</v>
      </c>
      <c r="E1082" t="s">
        <v>120</v>
      </c>
      <c r="F1082" t="s">
        <v>44</v>
      </c>
      <c r="G1082" t="s">
        <v>45</v>
      </c>
      <c r="H1082">
        <v>7</v>
      </c>
      <c r="I1082">
        <v>129.13999999999999</v>
      </c>
      <c r="J1082">
        <v>0</v>
      </c>
      <c r="K1082">
        <v>903.98</v>
      </c>
      <c r="M1082" t="str">
        <f t="shared" si="64"/>
        <v>Oct</v>
      </c>
      <c r="N1082">
        <f t="shared" si="65"/>
        <v>10</v>
      </c>
      <c r="O1082">
        <f t="shared" si="66"/>
        <v>903.9799999999999</v>
      </c>
      <c r="P1082" t="str">
        <f t="shared" si="67"/>
        <v>OK</v>
      </c>
    </row>
    <row r="1083" spans="1:16" x14ac:dyDescent="0.35">
      <c r="A1083" t="s">
        <v>1460</v>
      </c>
      <c r="B1083" s="3">
        <v>45446</v>
      </c>
      <c r="C1083" t="s">
        <v>33</v>
      </c>
      <c r="D1083" t="s">
        <v>42</v>
      </c>
      <c r="E1083" t="s">
        <v>233</v>
      </c>
      <c r="F1083" t="s">
        <v>15</v>
      </c>
      <c r="G1083" t="s">
        <v>111</v>
      </c>
      <c r="H1083">
        <v>1</v>
      </c>
      <c r="I1083">
        <v>35.65</v>
      </c>
      <c r="J1083">
        <v>0</v>
      </c>
      <c r="K1083">
        <v>35.65</v>
      </c>
      <c r="M1083" t="str">
        <f t="shared" si="64"/>
        <v>Jun</v>
      </c>
      <c r="N1083">
        <f t="shared" si="65"/>
        <v>6</v>
      </c>
      <c r="O1083">
        <f t="shared" si="66"/>
        <v>35.65</v>
      </c>
      <c r="P1083" t="str">
        <f t="shared" si="67"/>
        <v>OK</v>
      </c>
    </row>
    <row r="1084" spans="1:16" x14ac:dyDescent="0.35">
      <c r="A1084" t="s">
        <v>1461</v>
      </c>
      <c r="B1084" s="3">
        <v>45563</v>
      </c>
      <c r="C1084" t="s">
        <v>33</v>
      </c>
      <c r="D1084" t="s">
        <v>25</v>
      </c>
      <c r="E1084" t="s">
        <v>448</v>
      </c>
      <c r="F1084" t="s">
        <v>53</v>
      </c>
      <c r="G1084" t="s">
        <v>104</v>
      </c>
      <c r="H1084">
        <v>5</v>
      </c>
      <c r="I1084">
        <v>100.16</v>
      </c>
      <c r="J1084">
        <v>0</v>
      </c>
      <c r="K1084">
        <v>500.8</v>
      </c>
      <c r="M1084" t="str">
        <f t="shared" si="64"/>
        <v>Sep</v>
      </c>
      <c r="N1084">
        <f t="shared" si="65"/>
        <v>9</v>
      </c>
      <c r="O1084">
        <f t="shared" si="66"/>
        <v>500.79999999999995</v>
      </c>
      <c r="P1084" t="str">
        <f t="shared" si="67"/>
        <v>OK</v>
      </c>
    </row>
    <row r="1085" spans="1:16" x14ac:dyDescent="0.35">
      <c r="A1085" t="s">
        <v>673</v>
      </c>
      <c r="B1085" s="3">
        <v>45298</v>
      </c>
      <c r="C1085" t="s">
        <v>33</v>
      </c>
      <c r="D1085" t="s">
        <v>19</v>
      </c>
      <c r="E1085" t="s">
        <v>674</v>
      </c>
      <c r="F1085" t="s">
        <v>21</v>
      </c>
      <c r="G1085" t="s">
        <v>129</v>
      </c>
      <c r="H1085">
        <v>8</v>
      </c>
      <c r="I1085">
        <v>126.92</v>
      </c>
      <c r="J1085">
        <v>0.1</v>
      </c>
      <c r="K1085">
        <v>913.82</v>
      </c>
      <c r="M1085" t="str">
        <f t="shared" si="64"/>
        <v>Jan</v>
      </c>
      <c r="N1085">
        <f t="shared" si="65"/>
        <v>1</v>
      </c>
      <c r="O1085">
        <f t="shared" si="66"/>
        <v>913.82400000000007</v>
      </c>
      <c r="P1085" t="str">
        <f t="shared" si="67"/>
        <v>OK</v>
      </c>
    </row>
    <row r="1086" spans="1:16" x14ac:dyDescent="0.35">
      <c r="A1086" t="s">
        <v>1462</v>
      </c>
      <c r="B1086" s="3">
        <v>45414</v>
      </c>
      <c r="C1086" t="s">
        <v>18</v>
      </c>
      <c r="D1086" t="s">
        <v>42</v>
      </c>
      <c r="E1086" t="s">
        <v>284</v>
      </c>
      <c r="F1086" t="s">
        <v>53</v>
      </c>
      <c r="G1086" t="s">
        <v>59</v>
      </c>
      <c r="H1086">
        <v>11</v>
      </c>
      <c r="I1086">
        <v>203.32</v>
      </c>
      <c r="J1086">
        <v>0</v>
      </c>
      <c r="K1086">
        <v>2236.52</v>
      </c>
      <c r="M1086" t="str">
        <f t="shared" si="64"/>
        <v>May</v>
      </c>
      <c r="N1086">
        <f t="shared" si="65"/>
        <v>5</v>
      </c>
      <c r="O1086">
        <f t="shared" si="66"/>
        <v>2236.52</v>
      </c>
      <c r="P1086" t="str">
        <f t="shared" si="67"/>
        <v>OK</v>
      </c>
    </row>
    <row r="1087" spans="1:16" x14ac:dyDescent="0.35">
      <c r="A1087" t="s">
        <v>1463</v>
      </c>
      <c r="B1087" s="3">
        <v>45604</v>
      </c>
      <c r="C1087" t="s">
        <v>33</v>
      </c>
      <c r="D1087" t="s">
        <v>57</v>
      </c>
      <c r="E1087" t="s">
        <v>146</v>
      </c>
      <c r="F1087" t="s">
        <v>15</v>
      </c>
      <c r="G1087" t="s">
        <v>16</v>
      </c>
      <c r="H1087">
        <v>11</v>
      </c>
      <c r="I1087">
        <v>190.22</v>
      </c>
      <c r="J1087">
        <v>0</v>
      </c>
      <c r="K1087">
        <v>2092.42</v>
      </c>
      <c r="M1087" t="str">
        <f t="shared" si="64"/>
        <v>Nov</v>
      </c>
      <c r="N1087">
        <f t="shared" si="65"/>
        <v>11</v>
      </c>
      <c r="O1087">
        <f t="shared" si="66"/>
        <v>2092.42</v>
      </c>
      <c r="P1087" t="str">
        <f t="shared" si="67"/>
        <v>OK</v>
      </c>
    </row>
    <row r="1088" spans="1:16" x14ac:dyDescent="0.35">
      <c r="A1088" t="s">
        <v>1464</v>
      </c>
      <c r="B1088" s="3">
        <v>45635</v>
      </c>
      <c r="C1088" t="s">
        <v>65</v>
      </c>
      <c r="D1088" t="s">
        <v>42</v>
      </c>
      <c r="E1088" t="s">
        <v>989</v>
      </c>
      <c r="F1088" t="s">
        <v>21</v>
      </c>
      <c r="G1088" t="s">
        <v>194</v>
      </c>
      <c r="H1088">
        <v>11</v>
      </c>
      <c r="I1088">
        <v>248.91</v>
      </c>
      <c r="J1088">
        <v>0.1</v>
      </c>
      <c r="K1088">
        <v>2464.21</v>
      </c>
      <c r="M1088" t="str">
        <f t="shared" si="64"/>
        <v>Dec</v>
      </c>
      <c r="N1088">
        <f t="shared" si="65"/>
        <v>12</v>
      </c>
      <c r="O1088">
        <f t="shared" si="66"/>
        <v>2464.2089999999998</v>
      </c>
      <c r="P1088" t="str">
        <f t="shared" si="67"/>
        <v>OK</v>
      </c>
    </row>
    <row r="1089" spans="1:16" x14ac:dyDescent="0.35">
      <c r="A1089" t="s">
        <v>1465</v>
      </c>
      <c r="B1089" s="3">
        <v>45391</v>
      </c>
      <c r="C1089" t="s">
        <v>24</v>
      </c>
      <c r="D1089" t="s">
        <v>19</v>
      </c>
      <c r="E1089" t="s">
        <v>360</v>
      </c>
      <c r="F1089" t="s">
        <v>44</v>
      </c>
      <c r="G1089" t="s">
        <v>45</v>
      </c>
      <c r="H1089">
        <v>6</v>
      </c>
      <c r="I1089">
        <v>228.21</v>
      </c>
      <c r="J1089">
        <v>0</v>
      </c>
      <c r="K1089">
        <v>1369.26</v>
      </c>
      <c r="M1089" t="str">
        <f t="shared" si="64"/>
        <v>Apr</v>
      </c>
      <c r="N1089">
        <f t="shared" si="65"/>
        <v>4</v>
      </c>
      <c r="O1089">
        <f t="shared" si="66"/>
        <v>1369.26</v>
      </c>
      <c r="P1089" t="str">
        <f t="shared" si="67"/>
        <v>OK</v>
      </c>
    </row>
    <row r="1090" spans="1:16" x14ac:dyDescent="0.35">
      <c r="A1090" t="s">
        <v>1466</v>
      </c>
      <c r="B1090" s="3">
        <v>45600</v>
      </c>
      <c r="C1090" t="s">
        <v>41</v>
      </c>
      <c r="D1090" t="s">
        <v>19</v>
      </c>
      <c r="E1090" t="s">
        <v>73</v>
      </c>
      <c r="F1090" t="s">
        <v>44</v>
      </c>
      <c r="G1090" t="s">
        <v>50</v>
      </c>
      <c r="H1090">
        <v>8</v>
      </c>
      <c r="I1090">
        <v>17.170000000000002</v>
      </c>
      <c r="J1090">
        <v>0.05</v>
      </c>
      <c r="K1090">
        <v>130.49</v>
      </c>
      <c r="M1090" t="str">
        <f t="shared" si="64"/>
        <v>Nov</v>
      </c>
      <c r="N1090">
        <f t="shared" si="65"/>
        <v>11</v>
      </c>
      <c r="O1090">
        <f t="shared" si="66"/>
        <v>130.49200000000002</v>
      </c>
      <c r="P1090" t="str">
        <f t="shared" si="67"/>
        <v>OK</v>
      </c>
    </row>
    <row r="1091" spans="1:16" x14ac:dyDescent="0.35">
      <c r="A1091" t="s">
        <v>1467</v>
      </c>
      <c r="B1091" s="3">
        <v>45331</v>
      </c>
      <c r="C1091" t="s">
        <v>41</v>
      </c>
      <c r="D1091" t="s">
        <v>25</v>
      </c>
      <c r="E1091" t="s">
        <v>388</v>
      </c>
      <c r="F1091" t="s">
        <v>15</v>
      </c>
      <c r="G1091" t="s">
        <v>16</v>
      </c>
      <c r="H1091">
        <v>10</v>
      </c>
      <c r="I1091">
        <v>66.75</v>
      </c>
      <c r="J1091">
        <v>0</v>
      </c>
      <c r="K1091">
        <v>667.5</v>
      </c>
      <c r="M1091" t="str">
        <f t="shared" ref="M1091:M1154" si="68">TEXT(B1091,"mmm")</f>
        <v>Feb</v>
      </c>
      <c r="N1091">
        <f t="shared" ref="N1091:N1154" si="69">MONTH(B1091)</f>
        <v>2</v>
      </c>
      <c r="O1091">
        <f t="shared" ref="O1091:O1154" si="70">H1091*I1091*(1-J1091)</f>
        <v>667.5</v>
      </c>
      <c r="P1091" t="str">
        <f t="shared" ref="P1091:P1154" si="71">IF(ROUND(K1091,2)=ROUND(O1091,2),"OK","MISMATCH")</f>
        <v>OK</v>
      </c>
    </row>
    <row r="1092" spans="1:16" x14ac:dyDescent="0.35">
      <c r="A1092" t="s">
        <v>1468</v>
      </c>
      <c r="B1092" s="3">
        <v>45567</v>
      </c>
      <c r="C1092" t="s">
        <v>33</v>
      </c>
      <c r="D1092" t="s">
        <v>19</v>
      </c>
      <c r="E1092" t="s">
        <v>407</v>
      </c>
      <c r="F1092" t="s">
        <v>53</v>
      </c>
      <c r="G1092" t="s">
        <v>59</v>
      </c>
      <c r="H1092">
        <v>11</v>
      </c>
      <c r="I1092">
        <v>206.82</v>
      </c>
      <c r="J1092">
        <v>0.05</v>
      </c>
      <c r="K1092">
        <v>2161.27</v>
      </c>
      <c r="M1092" t="str">
        <f t="shared" si="68"/>
        <v>Oct</v>
      </c>
      <c r="N1092">
        <f t="shared" si="69"/>
        <v>10</v>
      </c>
      <c r="O1092">
        <f t="shared" si="70"/>
        <v>2161.2689999999998</v>
      </c>
      <c r="P1092" t="str">
        <f t="shared" si="71"/>
        <v>OK</v>
      </c>
    </row>
    <row r="1093" spans="1:16" x14ac:dyDescent="0.35">
      <c r="A1093" t="s">
        <v>1469</v>
      </c>
      <c r="B1093" s="3">
        <v>45634</v>
      </c>
      <c r="C1093" t="s">
        <v>65</v>
      </c>
      <c r="D1093" t="s">
        <v>19</v>
      </c>
      <c r="E1093" t="s">
        <v>315</v>
      </c>
      <c r="F1093" t="s">
        <v>53</v>
      </c>
      <c r="G1093" t="s">
        <v>125</v>
      </c>
      <c r="H1093">
        <v>1</v>
      </c>
      <c r="I1093">
        <v>113.3</v>
      </c>
      <c r="J1093">
        <v>0.15</v>
      </c>
      <c r="K1093">
        <v>96.3</v>
      </c>
      <c r="M1093" t="str">
        <f t="shared" si="68"/>
        <v>Dec</v>
      </c>
      <c r="N1093">
        <f t="shared" si="69"/>
        <v>12</v>
      </c>
      <c r="O1093">
        <f t="shared" si="70"/>
        <v>96.304999999999993</v>
      </c>
      <c r="P1093" t="str">
        <f t="shared" si="71"/>
        <v>MISMATCH</v>
      </c>
    </row>
    <row r="1094" spans="1:16" x14ac:dyDescent="0.35">
      <c r="A1094" t="s">
        <v>1470</v>
      </c>
      <c r="B1094" s="3">
        <v>45645</v>
      </c>
      <c r="C1094" t="s">
        <v>41</v>
      </c>
      <c r="D1094" t="s">
        <v>42</v>
      </c>
      <c r="E1094" t="s">
        <v>542</v>
      </c>
      <c r="F1094" t="s">
        <v>44</v>
      </c>
      <c r="G1094" t="s">
        <v>86</v>
      </c>
      <c r="H1094">
        <v>2</v>
      </c>
      <c r="I1094">
        <v>216.76</v>
      </c>
      <c r="J1094">
        <v>0.15</v>
      </c>
      <c r="K1094">
        <v>368.49</v>
      </c>
      <c r="M1094" t="str">
        <f t="shared" si="68"/>
        <v>Dec</v>
      </c>
      <c r="N1094">
        <f t="shared" si="69"/>
        <v>12</v>
      </c>
      <c r="O1094">
        <f t="shared" si="70"/>
        <v>368.49199999999996</v>
      </c>
      <c r="P1094" t="str">
        <f t="shared" si="71"/>
        <v>OK</v>
      </c>
    </row>
    <row r="1095" spans="1:16" x14ac:dyDescent="0.35">
      <c r="A1095" t="s">
        <v>1471</v>
      </c>
      <c r="B1095" s="3">
        <v>45421</v>
      </c>
      <c r="C1095" t="s">
        <v>18</v>
      </c>
      <c r="D1095" t="s">
        <v>13</v>
      </c>
      <c r="E1095" t="s">
        <v>751</v>
      </c>
      <c r="F1095" t="s">
        <v>35</v>
      </c>
      <c r="G1095" t="s">
        <v>36</v>
      </c>
      <c r="H1095">
        <v>2</v>
      </c>
      <c r="I1095">
        <v>61.98</v>
      </c>
      <c r="J1095">
        <v>0.15</v>
      </c>
      <c r="K1095">
        <v>105.37</v>
      </c>
      <c r="M1095" t="str">
        <f t="shared" si="68"/>
        <v>May</v>
      </c>
      <c r="N1095">
        <f t="shared" si="69"/>
        <v>5</v>
      </c>
      <c r="O1095">
        <f t="shared" si="70"/>
        <v>105.36599999999999</v>
      </c>
      <c r="P1095" t="str">
        <f t="shared" si="71"/>
        <v>OK</v>
      </c>
    </row>
    <row r="1096" spans="1:16" x14ac:dyDescent="0.35">
      <c r="A1096" t="s">
        <v>1472</v>
      </c>
      <c r="B1096" s="3">
        <v>45317</v>
      </c>
      <c r="C1096" t="s">
        <v>33</v>
      </c>
      <c r="D1096" t="s">
        <v>19</v>
      </c>
      <c r="E1096" t="s">
        <v>206</v>
      </c>
      <c r="F1096" t="s">
        <v>35</v>
      </c>
      <c r="G1096" t="s">
        <v>83</v>
      </c>
      <c r="H1096">
        <v>12</v>
      </c>
      <c r="I1096">
        <v>59.08</v>
      </c>
      <c r="J1096">
        <v>0</v>
      </c>
      <c r="K1096">
        <v>708.96</v>
      </c>
      <c r="M1096" t="str">
        <f t="shared" si="68"/>
        <v>Jan</v>
      </c>
      <c r="N1096">
        <f t="shared" si="69"/>
        <v>1</v>
      </c>
      <c r="O1096">
        <f t="shared" si="70"/>
        <v>708.96</v>
      </c>
      <c r="P1096" t="str">
        <f t="shared" si="71"/>
        <v>OK</v>
      </c>
    </row>
    <row r="1097" spans="1:16" x14ac:dyDescent="0.35">
      <c r="A1097" t="s">
        <v>1473</v>
      </c>
      <c r="B1097" s="3">
        <v>45313</v>
      </c>
      <c r="C1097" t="s">
        <v>33</v>
      </c>
      <c r="D1097" t="s">
        <v>42</v>
      </c>
      <c r="E1097" t="s">
        <v>547</v>
      </c>
      <c r="F1097" t="s">
        <v>44</v>
      </c>
      <c r="G1097" t="s">
        <v>86</v>
      </c>
      <c r="H1097">
        <v>4</v>
      </c>
      <c r="I1097">
        <v>58.66</v>
      </c>
      <c r="J1097">
        <v>0</v>
      </c>
      <c r="K1097">
        <v>234.64</v>
      </c>
      <c r="M1097" t="str">
        <f t="shared" si="68"/>
        <v>Jan</v>
      </c>
      <c r="N1097">
        <f t="shared" si="69"/>
        <v>1</v>
      </c>
      <c r="O1097">
        <f t="shared" si="70"/>
        <v>234.64</v>
      </c>
      <c r="P1097" t="str">
        <f t="shared" si="71"/>
        <v>OK</v>
      </c>
    </row>
    <row r="1098" spans="1:16" x14ac:dyDescent="0.35">
      <c r="A1098" t="s">
        <v>1474</v>
      </c>
      <c r="B1098" s="3">
        <v>45506</v>
      </c>
      <c r="C1098" t="s">
        <v>24</v>
      </c>
      <c r="D1098" t="s">
        <v>57</v>
      </c>
      <c r="E1098" t="s">
        <v>293</v>
      </c>
      <c r="F1098" t="s">
        <v>44</v>
      </c>
      <c r="G1098" t="s">
        <v>45</v>
      </c>
      <c r="H1098">
        <v>12</v>
      </c>
      <c r="I1098">
        <v>44.3</v>
      </c>
      <c r="J1098">
        <v>0.05</v>
      </c>
      <c r="K1098">
        <v>505.02</v>
      </c>
      <c r="M1098" t="str">
        <f t="shared" si="68"/>
        <v>Aug</v>
      </c>
      <c r="N1098">
        <f t="shared" si="69"/>
        <v>8</v>
      </c>
      <c r="O1098">
        <f t="shared" si="70"/>
        <v>505.01999999999987</v>
      </c>
      <c r="P1098" t="str">
        <f t="shared" si="71"/>
        <v>OK</v>
      </c>
    </row>
    <row r="1099" spans="1:16" x14ac:dyDescent="0.35">
      <c r="A1099" t="s">
        <v>1475</v>
      </c>
      <c r="B1099" s="3">
        <v>45546</v>
      </c>
      <c r="C1099" t="s">
        <v>41</v>
      </c>
      <c r="D1099" t="s">
        <v>13</v>
      </c>
      <c r="E1099" t="s">
        <v>357</v>
      </c>
      <c r="F1099" t="s">
        <v>53</v>
      </c>
      <c r="G1099" t="s">
        <v>260</v>
      </c>
      <c r="H1099">
        <v>12</v>
      </c>
      <c r="I1099">
        <v>133.13999999999999</v>
      </c>
      <c r="J1099">
        <v>0</v>
      </c>
      <c r="K1099">
        <v>1597.68</v>
      </c>
      <c r="M1099" t="str">
        <f t="shared" si="68"/>
        <v>Sep</v>
      </c>
      <c r="N1099">
        <f t="shared" si="69"/>
        <v>9</v>
      </c>
      <c r="O1099">
        <f t="shared" si="70"/>
        <v>1597.6799999999998</v>
      </c>
      <c r="P1099" t="str">
        <f t="shared" si="71"/>
        <v>OK</v>
      </c>
    </row>
    <row r="1100" spans="1:16" x14ac:dyDescent="0.35">
      <c r="A1100" t="s">
        <v>1476</v>
      </c>
      <c r="B1100" s="3">
        <v>45415</v>
      </c>
      <c r="C1100" t="s">
        <v>18</v>
      </c>
      <c r="D1100" t="s">
        <v>25</v>
      </c>
      <c r="E1100" t="s">
        <v>620</v>
      </c>
      <c r="F1100" t="s">
        <v>35</v>
      </c>
      <c r="G1100" t="s">
        <v>134</v>
      </c>
      <c r="H1100">
        <v>6</v>
      </c>
      <c r="I1100">
        <v>34.159999999999997</v>
      </c>
      <c r="J1100">
        <v>0.1</v>
      </c>
      <c r="K1100">
        <v>184.46</v>
      </c>
      <c r="M1100" t="str">
        <f t="shared" si="68"/>
        <v>May</v>
      </c>
      <c r="N1100">
        <f t="shared" si="69"/>
        <v>5</v>
      </c>
      <c r="O1100">
        <f t="shared" si="70"/>
        <v>184.464</v>
      </c>
      <c r="P1100" t="str">
        <f t="shared" si="71"/>
        <v>OK</v>
      </c>
    </row>
    <row r="1101" spans="1:16" x14ac:dyDescent="0.35">
      <c r="A1101" t="s">
        <v>1477</v>
      </c>
      <c r="B1101" s="3">
        <v>45640</v>
      </c>
      <c r="C1101" t="s">
        <v>65</v>
      </c>
      <c r="D1101" t="s">
        <v>25</v>
      </c>
      <c r="E1101" t="s">
        <v>88</v>
      </c>
      <c r="F1101" t="s">
        <v>21</v>
      </c>
      <c r="G1101" t="s">
        <v>129</v>
      </c>
      <c r="H1101">
        <v>10</v>
      </c>
      <c r="I1101">
        <v>215.53</v>
      </c>
      <c r="J1101">
        <v>0</v>
      </c>
      <c r="K1101">
        <v>2155.3000000000002</v>
      </c>
      <c r="M1101" t="str">
        <f t="shared" si="68"/>
        <v>Dec</v>
      </c>
      <c r="N1101">
        <f t="shared" si="69"/>
        <v>12</v>
      </c>
      <c r="O1101">
        <f t="shared" si="70"/>
        <v>2155.3000000000002</v>
      </c>
      <c r="P1101" t="str">
        <f t="shared" si="71"/>
        <v>OK</v>
      </c>
    </row>
    <row r="1102" spans="1:16" x14ac:dyDescent="0.35">
      <c r="A1102" t="s">
        <v>1478</v>
      </c>
      <c r="B1102" s="3">
        <v>45322</v>
      </c>
      <c r="C1102" t="s">
        <v>33</v>
      </c>
      <c r="D1102" t="s">
        <v>19</v>
      </c>
      <c r="E1102" t="s">
        <v>221</v>
      </c>
      <c r="F1102" t="s">
        <v>35</v>
      </c>
      <c r="G1102" t="s">
        <v>67</v>
      </c>
      <c r="H1102">
        <v>11</v>
      </c>
      <c r="I1102">
        <v>65.41</v>
      </c>
      <c r="J1102">
        <v>0</v>
      </c>
      <c r="K1102">
        <v>719.51</v>
      </c>
      <c r="M1102" t="str">
        <f t="shared" si="68"/>
        <v>Jan</v>
      </c>
      <c r="N1102">
        <f t="shared" si="69"/>
        <v>1</v>
      </c>
      <c r="O1102">
        <f t="shared" si="70"/>
        <v>719.51</v>
      </c>
      <c r="P1102" t="str">
        <f t="shared" si="71"/>
        <v>OK</v>
      </c>
    </row>
    <row r="1103" spans="1:16" x14ac:dyDescent="0.35">
      <c r="A1103" t="s">
        <v>1479</v>
      </c>
      <c r="B1103" s="3">
        <v>45578</v>
      </c>
      <c r="C1103" t="s">
        <v>33</v>
      </c>
      <c r="D1103" t="s">
        <v>25</v>
      </c>
      <c r="E1103" t="s">
        <v>506</v>
      </c>
      <c r="F1103" t="s">
        <v>53</v>
      </c>
      <c r="G1103" t="s">
        <v>59</v>
      </c>
      <c r="H1103">
        <v>10</v>
      </c>
      <c r="I1103">
        <v>218.64</v>
      </c>
      <c r="J1103">
        <v>0.05</v>
      </c>
      <c r="K1103">
        <v>2077.08</v>
      </c>
      <c r="M1103" t="str">
        <f t="shared" si="68"/>
        <v>Oct</v>
      </c>
      <c r="N1103">
        <f t="shared" si="69"/>
        <v>10</v>
      </c>
      <c r="O1103">
        <f t="shared" si="70"/>
        <v>2077.0799999999995</v>
      </c>
      <c r="P1103" t="str">
        <f t="shared" si="71"/>
        <v>OK</v>
      </c>
    </row>
    <row r="1104" spans="1:16" x14ac:dyDescent="0.35">
      <c r="A1104" t="s">
        <v>1480</v>
      </c>
      <c r="B1104" s="3">
        <v>45387</v>
      </c>
      <c r="C1104" t="s">
        <v>41</v>
      </c>
      <c r="D1104" t="s">
        <v>25</v>
      </c>
      <c r="E1104" t="s">
        <v>85</v>
      </c>
      <c r="F1104" t="s">
        <v>21</v>
      </c>
      <c r="G1104" t="s">
        <v>194</v>
      </c>
      <c r="H1104">
        <v>8</v>
      </c>
      <c r="I1104">
        <v>67.680000000000007</v>
      </c>
      <c r="J1104">
        <v>0</v>
      </c>
      <c r="K1104">
        <v>541.44000000000005</v>
      </c>
      <c r="M1104" t="str">
        <f t="shared" si="68"/>
        <v>Apr</v>
      </c>
      <c r="N1104">
        <f t="shared" si="69"/>
        <v>4</v>
      </c>
      <c r="O1104">
        <f t="shared" si="70"/>
        <v>541.44000000000005</v>
      </c>
      <c r="P1104" t="str">
        <f t="shared" si="71"/>
        <v>OK</v>
      </c>
    </row>
    <row r="1105" spans="1:16" x14ac:dyDescent="0.35">
      <c r="A1105" t="s">
        <v>1481</v>
      </c>
      <c r="B1105" s="3">
        <v>45489</v>
      </c>
      <c r="C1105" t="s">
        <v>18</v>
      </c>
      <c r="D1105" t="s">
        <v>25</v>
      </c>
      <c r="E1105" t="s">
        <v>106</v>
      </c>
      <c r="F1105" t="s">
        <v>35</v>
      </c>
      <c r="G1105" t="s">
        <v>67</v>
      </c>
      <c r="H1105">
        <v>6</v>
      </c>
      <c r="I1105">
        <v>121.32</v>
      </c>
      <c r="J1105">
        <v>0.1</v>
      </c>
      <c r="K1105">
        <v>655.13</v>
      </c>
      <c r="M1105" t="str">
        <f t="shared" si="68"/>
        <v>Jul</v>
      </c>
      <c r="N1105">
        <f t="shared" si="69"/>
        <v>7</v>
      </c>
      <c r="O1105">
        <f t="shared" si="70"/>
        <v>655.12799999999993</v>
      </c>
      <c r="P1105" t="str">
        <f t="shared" si="71"/>
        <v>OK</v>
      </c>
    </row>
    <row r="1106" spans="1:16" x14ac:dyDescent="0.35">
      <c r="A1106" t="s">
        <v>1482</v>
      </c>
      <c r="B1106" s="3">
        <v>45527</v>
      </c>
      <c r="C1106" t="s">
        <v>18</v>
      </c>
      <c r="D1106" t="s">
        <v>13</v>
      </c>
      <c r="E1106" t="s">
        <v>248</v>
      </c>
      <c r="F1106" t="s">
        <v>53</v>
      </c>
      <c r="G1106" t="s">
        <v>125</v>
      </c>
      <c r="H1106">
        <v>4</v>
      </c>
      <c r="I1106">
        <v>223.51</v>
      </c>
      <c r="J1106">
        <v>0</v>
      </c>
      <c r="K1106">
        <v>894.04</v>
      </c>
      <c r="M1106" t="str">
        <f t="shared" si="68"/>
        <v>Aug</v>
      </c>
      <c r="N1106">
        <f t="shared" si="69"/>
        <v>8</v>
      </c>
      <c r="O1106">
        <f t="shared" si="70"/>
        <v>894.04</v>
      </c>
      <c r="P1106" t="str">
        <f t="shared" si="71"/>
        <v>OK</v>
      </c>
    </row>
    <row r="1107" spans="1:16" x14ac:dyDescent="0.35">
      <c r="A1107" t="s">
        <v>1483</v>
      </c>
      <c r="B1107" s="3">
        <v>45579</v>
      </c>
      <c r="C1107" t="s">
        <v>65</v>
      </c>
      <c r="D1107" t="s">
        <v>13</v>
      </c>
      <c r="E1107" t="s">
        <v>542</v>
      </c>
      <c r="F1107" t="s">
        <v>21</v>
      </c>
      <c r="G1107" t="s">
        <v>70</v>
      </c>
      <c r="H1107">
        <v>6</v>
      </c>
      <c r="I1107">
        <v>112.37</v>
      </c>
      <c r="J1107">
        <v>0.1</v>
      </c>
      <c r="K1107">
        <v>606.79999999999995</v>
      </c>
      <c r="M1107" t="str">
        <f t="shared" si="68"/>
        <v>Oct</v>
      </c>
      <c r="N1107">
        <f t="shared" si="69"/>
        <v>10</v>
      </c>
      <c r="O1107">
        <f t="shared" si="70"/>
        <v>606.798</v>
      </c>
      <c r="P1107" t="str">
        <f t="shared" si="71"/>
        <v>OK</v>
      </c>
    </row>
    <row r="1108" spans="1:16" x14ac:dyDescent="0.35">
      <c r="A1108" t="s">
        <v>1484</v>
      </c>
      <c r="B1108" s="3">
        <v>45523</v>
      </c>
      <c r="C1108" t="s">
        <v>18</v>
      </c>
      <c r="D1108" t="s">
        <v>42</v>
      </c>
      <c r="E1108" t="s">
        <v>457</v>
      </c>
      <c r="F1108" t="s">
        <v>53</v>
      </c>
      <c r="G1108" t="s">
        <v>125</v>
      </c>
      <c r="H1108">
        <v>8</v>
      </c>
      <c r="I1108">
        <v>65.39</v>
      </c>
      <c r="J1108">
        <v>0.15</v>
      </c>
      <c r="K1108">
        <v>444.65</v>
      </c>
      <c r="M1108" t="str">
        <f t="shared" si="68"/>
        <v>Aug</v>
      </c>
      <c r="N1108">
        <f t="shared" si="69"/>
        <v>8</v>
      </c>
      <c r="O1108">
        <f t="shared" si="70"/>
        <v>444.65199999999999</v>
      </c>
      <c r="P1108" t="str">
        <f t="shared" si="71"/>
        <v>OK</v>
      </c>
    </row>
    <row r="1109" spans="1:16" x14ac:dyDescent="0.35">
      <c r="A1109" t="s">
        <v>1485</v>
      </c>
      <c r="B1109" s="3">
        <v>45579</v>
      </c>
      <c r="C1109" t="s">
        <v>41</v>
      </c>
      <c r="D1109" t="s">
        <v>57</v>
      </c>
      <c r="E1109" t="s">
        <v>219</v>
      </c>
      <c r="F1109" t="s">
        <v>15</v>
      </c>
      <c r="G1109" t="s">
        <v>74</v>
      </c>
      <c r="H1109">
        <v>3</v>
      </c>
      <c r="I1109">
        <v>225.7</v>
      </c>
      <c r="J1109">
        <v>0</v>
      </c>
      <c r="K1109">
        <v>677.1</v>
      </c>
      <c r="M1109" t="str">
        <f t="shared" si="68"/>
        <v>Oct</v>
      </c>
      <c r="N1109">
        <f t="shared" si="69"/>
        <v>10</v>
      </c>
      <c r="O1109">
        <f t="shared" si="70"/>
        <v>677.09999999999991</v>
      </c>
      <c r="P1109" t="str">
        <f t="shared" si="71"/>
        <v>OK</v>
      </c>
    </row>
    <row r="1110" spans="1:16" x14ac:dyDescent="0.35">
      <c r="A1110" t="s">
        <v>1486</v>
      </c>
      <c r="B1110" s="3">
        <v>45395</v>
      </c>
      <c r="C1110" t="s">
        <v>24</v>
      </c>
      <c r="D1110" t="s">
        <v>57</v>
      </c>
      <c r="E1110" t="s">
        <v>146</v>
      </c>
      <c r="F1110" t="s">
        <v>53</v>
      </c>
      <c r="G1110" t="s">
        <v>260</v>
      </c>
      <c r="H1110">
        <v>10</v>
      </c>
      <c r="I1110">
        <v>122.7</v>
      </c>
      <c r="J1110">
        <v>0.05</v>
      </c>
      <c r="K1110">
        <v>1165.6500000000001</v>
      </c>
      <c r="M1110" t="str">
        <f t="shared" si="68"/>
        <v>Apr</v>
      </c>
      <c r="N1110">
        <f t="shared" si="69"/>
        <v>4</v>
      </c>
      <c r="O1110">
        <f t="shared" si="70"/>
        <v>1165.6499999999999</v>
      </c>
      <c r="P1110" t="str">
        <f t="shared" si="71"/>
        <v>OK</v>
      </c>
    </row>
    <row r="1111" spans="1:16" x14ac:dyDescent="0.35">
      <c r="A1111" t="s">
        <v>1487</v>
      </c>
      <c r="B1111" s="3">
        <v>45513</v>
      </c>
      <c r="C1111" t="s">
        <v>18</v>
      </c>
      <c r="D1111" t="s">
        <v>57</v>
      </c>
      <c r="E1111" t="s">
        <v>608</v>
      </c>
      <c r="F1111" t="s">
        <v>15</v>
      </c>
      <c r="G1111" t="s">
        <v>147</v>
      </c>
      <c r="H1111">
        <v>3</v>
      </c>
      <c r="I1111">
        <v>154.52000000000001</v>
      </c>
      <c r="J1111">
        <v>0.15</v>
      </c>
      <c r="K1111">
        <v>394.03</v>
      </c>
      <c r="M1111" t="str">
        <f t="shared" si="68"/>
        <v>Aug</v>
      </c>
      <c r="N1111">
        <f t="shared" si="69"/>
        <v>8</v>
      </c>
      <c r="O1111">
        <f t="shared" si="70"/>
        <v>394.02600000000007</v>
      </c>
      <c r="P1111" t="str">
        <f t="shared" si="71"/>
        <v>OK</v>
      </c>
    </row>
    <row r="1112" spans="1:16" x14ac:dyDescent="0.35">
      <c r="A1112" t="s">
        <v>1488</v>
      </c>
      <c r="B1112" s="3">
        <v>45575</v>
      </c>
      <c r="C1112" t="s">
        <v>18</v>
      </c>
      <c r="D1112" t="s">
        <v>57</v>
      </c>
      <c r="E1112" t="s">
        <v>433</v>
      </c>
      <c r="F1112" t="s">
        <v>15</v>
      </c>
      <c r="G1112" t="s">
        <v>74</v>
      </c>
      <c r="H1112">
        <v>1</v>
      </c>
      <c r="I1112">
        <v>35.19</v>
      </c>
      <c r="J1112">
        <v>0.1</v>
      </c>
      <c r="K1112">
        <v>31.67</v>
      </c>
      <c r="M1112" t="str">
        <f t="shared" si="68"/>
        <v>Oct</v>
      </c>
      <c r="N1112">
        <f t="shared" si="69"/>
        <v>10</v>
      </c>
      <c r="O1112">
        <f t="shared" si="70"/>
        <v>31.670999999999999</v>
      </c>
      <c r="P1112" t="str">
        <f t="shared" si="71"/>
        <v>OK</v>
      </c>
    </row>
    <row r="1113" spans="1:16" x14ac:dyDescent="0.35">
      <c r="A1113" t="s">
        <v>1489</v>
      </c>
      <c r="B1113" s="3">
        <v>45569</v>
      </c>
      <c r="C1113" t="s">
        <v>33</v>
      </c>
      <c r="D1113" t="s">
        <v>25</v>
      </c>
      <c r="E1113" t="s">
        <v>771</v>
      </c>
      <c r="F1113" t="s">
        <v>21</v>
      </c>
      <c r="G1113" t="s">
        <v>22</v>
      </c>
      <c r="H1113">
        <v>1</v>
      </c>
      <c r="I1113">
        <v>188.25</v>
      </c>
      <c r="J1113">
        <v>0</v>
      </c>
      <c r="K1113">
        <v>188.25</v>
      </c>
      <c r="M1113" t="str">
        <f t="shared" si="68"/>
        <v>Oct</v>
      </c>
      <c r="N1113">
        <f t="shared" si="69"/>
        <v>10</v>
      </c>
      <c r="O1113">
        <f t="shared" si="70"/>
        <v>188.25</v>
      </c>
      <c r="P1113" t="str">
        <f t="shared" si="71"/>
        <v>OK</v>
      </c>
    </row>
    <row r="1114" spans="1:16" x14ac:dyDescent="0.35">
      <c r="A1114" t="s">
        <v>1490</v>
      </c>
      <c r="B1114" s="3">
        <v>45633</v>
      </c>
      <c r="C1114" t="s">
        <v>24</v>
      </c>
      <c r="D1114" t="s">
        <v>42</v>
      </c>
      <c r="E1114" t="s">
        <v>62</v>
      </c>
      <c r="F1114" t="s">
        <v>15</v>
      </c>
      <c r="G1114" t="s">
        <v>111</v>
      </c>
      <c r="H1114">
        <v>9</v>
      </c>
      <c r="I1114">
        <v>20.91</v>
      </c>
      <c r="J1114">
        <v>0</v>
      </c>
      <c r="K1114">
        <v>188.19</v>
      </c>
      <c r="M1114" t="str">
        <f t="shared" si="68"/>
        <v>Dec</v>
      </c>
      <c r="N1114">
        <f t="shared" si="69"/>
        <v>12</v>
      </c>
      <c r="O1114">
        <f t="shared" si="70"/>
        <v>188.19</v>
      </c>
      <c r="P1114" t="str">
        <f t="shared" si="71"/>
        <v>OK</v>
      </c>
    </row>
    <row r="1115" spans="1:16" x14ac:dyDescent="0.35">
      <c r="A1115" t="s">
        <v>1491</v>
      </c>
      <c r="B1115" s="3">
        <v>45563</v>
      </c>
      <c r="C1115" t="s">
        <v>41</v>
      </c>
      <c r="D1115" t="s">
        <v>57</v>
      </c>
      <c r="E1115" t="s">
        <v>309</v>
      </c>
      <c r="F1115" t="s">
        <v>15</v>
      </c>
      <c r="G1115" t="s">
        <v>74</v>
      </c>
      <c r="H1115">
        <v>6</v>
      </c>
      <c r="I1115">
        <v>226.95</v>
      </c>
      <c r="J1115">
        <v>0</v>
      </c>
      <c r="K1115">
        <v>1361.7</v>
      </c>
      <c r="M1115" t="str">
        <f t="shared" si="68"/>
        <v>Sep</v>
      </c>
      <c r="N1115">
        <f t="shared" si="69"/>
        <v>9</v>
      </c>
      <c r="O1115">
        <f t="shared" si="70"/>
        <v>1361.6999999999998</v>
      </c>
      <c r="P1115" t="str">
        <f t="shared" si="71"/>
        <v>OK</v>
      </c>
    </row>
    <row r="1116" spans="1:16" x14ac:dyDescent="0.35">
      <c r="A1116" t="s">
        <v>1492</v>
      </c>
      <c r="B1116" s="3">
        <v>45647</v>
      </c>
      <c r="C1116" t="s">
        <v>65</v>
      </c>
      <c r="D1116" t="s">
        <v>13</v>
      </c>
      <c r="E1116" t="s">
        <v>229</v>
      </c>
      <c r="F1116" t="s">
        <v>35</v>
      </c>
      <c r="G1116" t="s">
        <v>36</v>
      </c>
      <c r="H1116">
        <v>9</v>
      </c>
      <c r="I1116">
        <v>180.47</v>
      </c>
      <c r="J1116">
        <v>0</v>
      </c>
      <c r="K1116">
        <v>1624.23</v>
      </c>
      <c r="M1116" t="str">
        <f t="shared" si="68"/>
        <v>Dec</v>
      </c>
      <c r="N1116">
        <f t="shared" si="69"/>
        <v>12</v>
      </c>
      <c r="O1116">
        <f t="shared" si="70"/>
        <v>1624.23</v>
      </c>
      <c r="P1116" t="str">
        <f t="shared" si="71"/>
        <v>OK</v>
      </c>
    </row>
    <row r="1117" spans="1:16" x14ac:dyDescent="0.35">
      <c r="A1117" t="s">
        <v>1494</v>
      </c>
      <c r="B1117" s="3">
        <v>45333</v>
      </c>
      <c r="C1117" t="s">
        <v>33</v>
      </c>
      <c r="D1117" t="s">
        <v>13</v>
      </c>
      <c r="E1117" t="s">
        <v>120</v>
      </c>
      <c r="F1117" t="s">
        <v>21</v>
      </c>
      <c r="G1117" t="s">
        <v>70</v>
      </c>
      <c r="H1117">
        <v>10</v>
      </c>
      <c r="I1117">
        <v>198.79</v>
      </c>
      <c r="J1117">
        <v>0</v>
      </c>
      <c r="K1117">
        <v>1987.9</v>
      </c>
      <c r="M1117" t="str">
        <f t="shared" si="68"/>
        <v>Feb</v>
      </c>
      <c r="N1117">
        <f t="shared" si="69"/>
        <v>2</v>
      </c>
      <c r="O1117">
        <f t="shared" si="70"/>
        <v>1987.8999999999999</v>
      </c>
      <c r="P1117" t="str">
        <f t="shared" si="71"/>
        <v>OK</v>
      </c>
    </row>
    <row r="1118" spans="1:16" x14ac:dyDescent="0.35">
      <c r="A1118" t="s">
        <v>1495</v>
      </c>
      <c r="B1118" s="3">
        <v>45537</v>
      </c>
      <c r="C1118" t="s">
        <v>24</v>
      </c>
      <c r="D1118" t="s">
        <v>13</v>
      </c>
      <c r="E1118" t="s">
        <v>858</v>
      </c>
      <c r="F1118" t="s">
        <v>35</v>
      </c>
      <c r="G1118" t="s">
        <v>134</v>
      </c>
      <c r="H1118">
        <v>8</v>
      </c>
      <c r="I1118">
        <v>34.1</v>
      </c>
      <c r="J1118">
        <v>0.1</v>
      </c>
      <c r="K1118">
        <v>245.52</v>
      </c>
      <c r="M1118" t="str">
        <f t="shared" si="68"/>
        <v>Sep</v>
      </c>
      <c r="N1118">
        <f t="shared" si="69"/>
        <v>9</v>
      </c>
      <c r="O1118">
        <f t="shared" si="70"/>
        <v>245.52</v>
      </c>
      <c r="P1118" t="str">
        <f t="shared" si="71"/>
        <v>OK</v>
      </c>
    </row>
    <row r="1119" spans="1:16" x14ac:dyDescent="0.35">
      <c r="A1119" t="s">
        <v>1496</v>
      </c>
      <c r="B1119" s="3">
        <v>45305</v>
      </c>
      <c r="C1119" t="s">
        <v>41</v>
      </c>
      <c r="D1119" t="s">
        <v>25</v>
      </c>
      <c r="E1119" t="s">
        <v>158</v>
      </c>
      <c r="F1119" t="s">
        <v>21</v>
      </c>
      <c r="G1119" t="s">
        <v>194</v>
      </c>
      <c r="H1119">
        <v>11</v>
      </c>
      <c r="I1119">
        <v>150.01</v>
      </c>
      <c r="J1119">
        <v>0</v>
      </c>
      <c r="K1119">
        <v>1650.11</v>
      </c>
      <c r="M1119" t="str">
        <f t="shared" si="68"/>
        <v>Jan</v>
      </c>
      <c r="N1119">
        <f t="shared" si="69"/>
        <v>1</v>
      </c>
      <c r="O1119">
        <f t="shared" si="70"/>
        <v>1650.11</v>
      </c>
      <c r="P1119" t="str">
        <f t="shared" si="71"/>
        <v>OK</v>
      </c>
    </row>
    <row r="1120" spans="1:16" x14ac:dyDescent="0.35">
      <c r="A1120" t="s">
        <v>1497</v>
      </c>
      <c r="B1120" s="3">
        <v>45526</v>
      </c>
      <c r="C1120" t="s">
        <v>65</v>
      </c>
      <c r="D1120" t="s">
        <v>57</v>
      </c>
      <c r="E1120" t="s">
        <v>547</v>
      </c>
      <c r="F1120" t="s">
        <v>44</v>
      </c>
      <c r="G1120" t="s">
        <v>94</v>
      </c>
      <c r="H1120">
        <v>12</v>
      </c>
      <c r="I1120">
        <v>223.63</v>
      </c>
      <c r="J1120">
        <v>0</v>
      </c>
      <c r="K1120">
        <v>2683.56</v>
      </c>
      <c r="M1120" t="str">
        <f t="shared" si="68"/>
        <v>Aug</v>
      </c>
      <c r="N1120">
        <f t="shared" si="69"/>
        <v>8</v>
      </c>
      <c r="O1120">
        <f t="shared" si="70"/>
        <v>2683.56</v>
      </c>
      <c r="P1120" t="str">
        <f t="shared" si="71"/>
        <v>OK</v>
      </c>
    </row>
    <row r="1121" spans="1:16" x14ac:dyDescent="0.35">
      <c r="A1121" t="s">
        <v>1499</v>
      </c>
      <c r="B1121" s="3">
        <v>45412</v>
      </c>
      <c r="C1121" t="s">
        <v>24</v>
      </c>
      <c r="D1121" t="s">
        <v>13</v>
      </c>
      <c r="E1121" t="s">
        <v>343</v>
      </c>
      <c r="F1121" t="s">
        <v>15</v>
      </c>
      <c r="G1121" t="s">
        <v>16</v>
      </c>
      <c r="H1121">
        <v>7</v>
      </c>
      <c r="I1121">
        <v>201.89</v>
      </c>
      <c r="J1121">
        <v>0.05</v>
      </c>
      <c r="K1121">
        <v>1342.57</v>
      </c>
      <c r="M1121" t="str">
        <f t="shared" si="68"/>
        <v>Apr</v>
      </c>
      <c r="N1121">
        <f t="shared" si="69"/>
        <v>4</v>
      </c>
      <c r="O1121">
        <f t="shared" si="70"/>
        <v>1342.5684999999999</v>
      </c>
      <c r="P1121" t="str">
        <f t="shared" si="71"/>
        <v>OK</v>
      </c>
    </row>
    <row r="1122" spans="1:16" x14ac:dyDescent="0.35">
      <c r="A1122" t="s">
        <v>1500</v>
      </c>
      <c r="B1122" s="3">
        <v>45440</v>
      </c>
      <c r="C1122" t="s">
        <v>33</v>
      </c>
      <c r="D1122" t="s">
        <v>13</v>
      </c>
      <c r="E1122" t="s">
        <v>368</v>
      </c>
      <c r="F1122" t="s">
        <v>44</v>
      </c>
      <c r="G1122" t="s">
        <v>94</v>
      </c>
      <c r="H1122">
        <v>12</v>
      </c>
      <c r="I1122">
        <v>201.69</v>
      </c>
      <c r="J1122">
        <v>0</v>
      </c>
      <c r="K1122">
        <v>2420.2800000000002</v>
      </c>
      <c r="M1122" t="str">
        <f t="shared" si="68"/>
        <v>May</v>
      </c>
      <c r="N1122">
        <f t="shared" si="69"/>
        <v>5</v>
      </c>
      <c r="O1122">
        <f t="shared" si="70"/>
        <v>2420.2799999999997</v>
      </c>
      <c r="P1122" t="str">
        <f t="shared" si="71"/>
        <v>OK</v>
      </c>
    </row>
    <row r="1123" spans="1:16" x14ac:dyDescent="0.35">
      <c r="A1123" t="s">
        <v>1501</v>
      </c>
      <c r="B1123" s="3">
        <v>45592</v>
      </c>
      <c r="C1123" t="s">
        <v>33</v>
      </c>
      <c r="D1123" t="s">
        <v>13</v>
      </c>
      <c r="E1123" t="s">
        <v>117</v>
      </c>
      <c r="F1123" t="s">
        <v>15</v>
      </c>
      <c r="G1123" t="s">
        <v>16</v>
      </c>
      <c r="H1123">
        <v>12</v>
      </c>
      <c r="I1123">
        <v>230.83</v>
      </c>
      <c r="J1123">
        <v>0.15</v>
      </c>
      <c r="K1123">
        <v>2354.4699999999998</v>
      </c>
      <c r="M1123" t="str">
        <f t="shared" si="68"/>
        <v>Oct</v>
      </c>
      <c r="N1123">
        <f t="shared" si="69"/>
        <v>10</v>
      </c>
      <c r="O1123">
        <f t="shared" si="70"/>
        <v>2354.4659999999999</v>
      </c>
      <c r="P1123" t="str">
        <f t="shared" si="71"/>
        <v>OK</v>
      </c>
    </row>
    <row r="1124" spans="1:16" x14ac:dyDescent="0.35">
      <c r="A1124" t="s">
        <v>1502</v>
      </c>
      <c r="B1124" s="3">
        <v>45337</v>
      </c>
      <c r="C1124" t="s">
        <v>41</v>
      </c>
      <c r="D1124" t="s">
        <v>25</v>
      </c>
      <c r="E1124" t="s">
        <v>73</v>
      </c>
      <c r="F1124" t="s">
        <v>53</v>
      </c>
      <c r="G1124" t="s">
        <v>59</v>
      </c>
      <c r="H1124">
        <v>7</v>
      </c>
      <c r="I1124">
        <v>169.58</v>
      </c>
      <c r="J1124">
        <v>0</v>
      </c>
      <c r="K1124">
        <v>1187.06</v>
      </c>
      <c r="M1124" t="str">
        <f t="shared" si="68"/>
        <v>Feb</v>
      </c>
      <c r="N1124">
        <f t="shared" si="69"/>
        <v>2</v>
      </c>
      <c r="O1124">
        <f t="shared" si="70"/>
        <v>1187.0600000000002</v>
      </c>
      <c r="P1124" t="str">
        <f t="shared" si="71"/>
        <v>OK</v>
      </c>
    </row>
    <row r="1125" spans="1:16" x14ac:dyDescent="0.35">
      <c r="A1125" t="s">
        <v>1503</v>
      </c>
      <c r="B1125" s="3">
        <v>45319</v>
      </c>
      <c r="C1125" t="s">
        <v>18</v>
      </c>
      <c r="D1125" t="s">
        <v>42</v>
      </c>
      <c r="E1125" t="s">
        <v>731</v>
      </c>
      <c r="F1125" t="s">
        <v>15</v>
      </c>
      <c r="G1125" t="s">
        <v>111</v>
      </c>
      <c r="H1125">
        <v>6</v>
      </c>
      <c r="I1125">
        <v>181.65</v>
      </c>
      <c r="J1125">
        <v>0</v>
      </c>
      <c r="K1125">
        <v>1089.9000000000001</v>
      </c>
      <c r="M1125" t="str">
        <f t="shared" si="68"/>
        <v>Jan</v>
      </c>
      <c r="N1125">
        <f t="shared" si="69"/>
        <v>1</v>
      </c>
      <c r="O1125">
        <f t="shared" si="70"/>
        <v>1089.9000000000001</v>
      </c>
      <c r="P1125" t="str">
        <f t="shared" si="71"/>
        <v>OK</v>
      </c>
    </row>
    <row r="1126" spans="1:16" x14ac:dyDescent="0.35">
      <c r="A1126" t="s">
        <v>1504</v>
      </c>
      <c r="B1126" s="3">
        <v>45325</v>
      </c>
      <c r="C1126" t="s">
        <v>65</v>
      </c>
      <c r="D1126" t="s">
        <v>57</v>
      </c>
      <c r="E1126" t="s">
        <v>751</v>
      </c>
      <c r="F1126" t="s">
        <v>21</v>
      </c>
      <c r="G1126" t="s">
        <v>167</v>
      </c>
      <c r="H1126">
        <v>10</v>
      </c>
      <c r="I1126">
        <v>125.48</v>
      </c>
      <c r="J1126">
        <v>0.15</v>
      </c>
      <c r="K1126">
        <v>1066.58</v>
      </c>
      <c r="M1126" t="str">
        <f t="shared" si="68"/>
        <v>Feb</v>
      </c>
      <c r="N1126">
        <f t="shared" si="69"/>
        <v>2</v>
      </c>
      <c r="O1126">
        <f t="shared" si="70"/>
        <v>1066.58</v>
      </c>
      <c r="P1126" t="str">
        <f t="shared" si="71"/>
        <v>OK</v>
      </c>
    </row>
    <row r="1127" spans="1:16" x14ac:dyDescent="0.35">
      <c r="A1127" t="s">
        <v>1505</v>
      </c>
      <c r="B1127" s="3">
        <v>45362</v>
      </c>
      <c r="C1127" t="s">
        <v>18</v>
      </c>
      <c r="D1127" t="s">
        <v>25</v>
      </c>
      <c r="E1127" t="s">
        <v>291</v>
      </c>
      <c r="F1127" t="s">
        <v>21</v>
      </c>
      <c r="G1127" t="s">
        <v>194</v>
      </c>
      <c r="H1127">
        <v>2</v>
      </c>
      <c r="I1127">
        <v>9.77</v>
      </c>
      <c r="J1127">
        <v>0.15</v>
      </c>
      <c r="K1127">
        <v>16.61</v>
      </c>
      <c r="M1127" t="str">
        <f t="shared" si="68"/>
        <v>Mar</v>
      </c>
      <c r="N1127">
        <f t="shared" si="69"/>
        <v>3</v>
      </c>
      <c r="O1127">
        <f t="shared" si="70"/>
        <v>16.608999999999998</v>
      </c>
      <c r="P1127" t="str">
        <f t="shared" si="71"/>
        <v>OK</v>
      </c>
    </row>
    <row r="1128" spans="1:16" x14ac:dyDescent="0.35">
      <c r="A1128" t="s">
        <v>1506</v>
      </c>
      <c r="B1128" s="3">
        <v>45384</v>
      </c>
      <c r="C1128" t="s">
        <v>24</v>
      </c>
      <c r="D1128" t="s">
        <v>42</v>
      </c>
      <c r="E1128" t="s">
        <v>881</v>
      </c>
      <c r="F1128" t="s">
        <v>53</v>
      </c>
      <c r="G1128" t="s">
        <v>54</v>
      </c>
      <c r="H1128">
        <v>9</v>
      </c>
      <c r="I1128">
        <v>10.89</v>
      </c>
      <c r="J1128">
        <v>0</v>
      </c>
      <c r="K1128">
        <v>98.01</v>
      </c>
      <c r="M1128" t="str">
        <f t="shared" si="68"/>
        <v>Apr</v>
      </c>
      <c r="N1128">
        <f t="shared" si="69"/>
        <v>4</v>
      </c>
      <c r="O1128">
        <f t="shared" si="70"/>
        <v>98.01</v>
      </c>
      <c r="P1128" t="str">
        <f t="shared" si="71"/>
        <v>OK</v>
      </c>
    </row>
    <row r="1129" spans="1:16" x14ac:dyDescent="0.35">
      <c r="A1129" t="s">
        <v>1507</v>
      </c>
      <c r="B1129" s="3">
        <v>45368</v>
      </c>
      <c r="C1129" t="s">
        <v>41</v>
      </c>
      <c r="D1129" t="s">
        <v>13</v>
      </c>
      <c r="E1129" t="s">
        <v>336</v>
      </c>
      <c r="F1129" t="s">
        <v>44</v>
      </c>
      <c r="G1129" t="s">
        <v>45</v>
      </c>
      <c r="H1129">
        <v>2</v>
      </c>
      <c r="I1129">
        <v>204.02</v>
      </c>
      <c r="J1129">
        <v>0</v>
      </c>
      <c r="K1129">
        <v>408.04</v>
      </c>
      <c r="M1129" t="str">
        <f t="shared" si="68"/>
        <v>Mar</v>
      </c>
      <c r="N1129">
        <f t="shared" si="69"/>
        <v>3</v>
      </c>
      <c r="O1129">
        <f t="shared" si="70"/>
        <v>408.04</v>
      </c>
      <c r="P1129" t="str">
        <f t="shared" si="71"/>
        <v>OK</v>
      </c>
    </row>
    <row r="1130" spans="1:16" x14ac:dyDescent="0.35">
      <c r="A1130" t="s">
        <v>1508</v>
      </c>
      <c r="B1130" s="3">
        <v>45294</v>
      </c>
      <c r="C1130" t="s">
        <v>18</v>
      </c>
      <c r="D1130" t="s">
        <v>25</v>
      </c>
      <c r="E1130" t="s">
        <v>460</v>
      </c>
      <c r="F1130" t="s">
        <v>35</v>
      </c>
      <c r="G1130" t="s">
        <v>134</v>
      </c>
      <c r="H1130">
        <v>4</v>
      </c>
      <c r="I1130">
        <v>194.24</v>
      </c>
      <c r="J1130">
        <v>0</v>
      </c>
      <c r="K1130">
        <v>776.96</v>
      </c>
      <c r="M1130" t="str">
        <f t="shared" si="68"/>
        <v>Jan</v>
      </c>
      <c r="N1130">
        <f t="shared" si="69"/>
        <v>1</v>
      </c>
      <c r="O1130">
        <f t="shared" si="70"/>
        <v>776.96</v>
      </c>
      <c r="P1130" t="str">
        <f t="shared" si="71"/>
        <v>OK</v>
      </c>
    </row>
    <row r="1131" spans="1:16" x14ac:dyDescent="0.35">
      <c r="A1131" t="s">
        <v>1509</v>
      </c>
      <c r="B1131" s="3">
        <v>45482</v>
      </c>
      <c r="C1131" t="s">
        <v>65</v>
      </c>
      <c r="D1131" t="s">
        <v>25</v>
      </c>
      <c r="E1131" t="s">
        <v>360</v>
      </c>
      <c r="F1131" t="s">
        <v>53</v>
      </c>
      <c r="G1131" t="s">
        <v>63</v>
      </c>
      <c r="H1131">
        <v>5</v>
      </c>
      <c r="I1131">
        <v>239.14</v>
      </c>
      <c r="J1131">
        <v>0.1</v>
      </c>
      <c r="K1131">
        <v>1076.1300000000001</v>
      </c>
      <c r="M1131" t="str">
        <f t="shared" si="68"/>
        <v>Jul</v>
      </c>
      <c r="N1131">
        <f t="shared" si="69"/>
        <v>7</v>
      </c>
      <c r="O1131">
        <f t="shared" si="70"/>
        <v>1076.1299999999999</v>
      </c>
      <c r="P1131" t="str">
        <f t="shared" si="71"/>
        <v>OK</v>
      </c>
    </row>
    <row r="1132" spans="1:16" x14ac:dyDescent="0.35">
      <c r="A1132" t="s">
        <v>1510</v>
      </c>
      <c r="B1132" s="3">
        <v>45314</v>
      </c>
      <c r="C1132" t="s">
        <v>33</v>
      </c>
      <c r="D1132" t="s">
        <v>19</v>
      </c>
      <c r="E1132" t="s">
        <v>472</v>
      </c>
      <c r="F1132" t="s">
        <v>44</v>
      </c>
      <c r="G1132" t="s">
        <v>50</v>
      </c>
      <c r="H1132">
        <v>9</v>
      </c>
      <c r="I1132">
        <v>249.05</v>
      </c>
      <c r="J1132">
        <v>0</v>
      </c>
      <c r="K1132">
        <v>2241.4499999999998</v>
      </c>
      <c r="M1132" t="str">
        <f t="shared" si="68"/>
        <v>Jan</v>
      </c>
      <c r="N1132">
        <f t="shared" si="69"/>
        <v>1</v>
      </c>
      <c r="O1132">
        <f t="shared" si="70"/>
        <v>2241.4500000000003</v>
      </c>
      <c r="P1132" t="str">
        <f t="shared" si="71"/>
        <v>OK</v>
      </c>
    </row>
    <row r="1133" spans="1:16" x14ac:dyDescent="0.35">
      <c r="A1133" t="s">
        <v>1511</v>
      </c>
      <c r="B1133" s="3">
        <v>45570</v>
      </c>
      <c r="C1133" t="s">
        <v>41</v>
      </c>
      <c r="D1133" t="s">
        <v>57</v>
      </c>
      <c r="E1133" t="s">
        <v>133</v>
      </c>
      <c r="F1133" t="s">
        <v>15</v>
      </c>
      <c r="G1133" t="s">
        <v>16</v>
      </c>
      <c r="H1133">
        <v>2</v>
      </c>
      <c r="I1133">
        <v>158.72999999999999</v>
      </c>
      <c r="J1133">
        <v>0</v>
      </c>
      <c r="K1133">
        <v>317.45999999999998</v>
      </c>
      <c r="M1133" t="str">
        <f t="shared" si="68"/>
        <v>Oct</v>
      </c>
      <c r="N1133">
        <f t="shared" si="69"/>
        <v>10</v>
      </c>
      <c r="O1133">
        <f t="shared" si="70"/>
        <v>317.45999999999998</v>
      </c>
      <c r="P1133" t="str">
        <f t="shared" si="71"/>
        <v>OK</v>
      </c>
    </row>
    <row r="1134" spans="1:16" x14ac:dyDescent="0.35">
      <c r="A1134" t="s">
        <v>1512</v>
      </c>
      <c r="B1134" s="3">
        <v>45357</v>
      </c>
      <c r="C1134" t="s">
        <v>41</v>
      </c>
      <c r="D1134" t="s">
        <v>42</v>
      </c>
      <c r="E1134" t="s">
        <v>526</v>
      </c>
      <c r="F1134" t="s">
        <v>15</v>
      </c>
      <c r="G1134" t="s">
        <v>111</v>
      </c>
      <c r="H1134">
        <v>1</v>
      </c>
      <c r="I1134">
        <v>80.52</v>
      </c>
      <c r="J1134">
        <v>0</v>
      </c>
      <c r="K1134">
        <v>80.52</v>
      </c>
      <c r="M1134" t="str">
        <f t="shared" si="68"/>
        <v>Mar</v>
      </c>
      <c r="N1134">
        <f t="shared" si="69"/>
        <v>3</v>
      </c>
      <c r="O1134">
        <f t="shared" si="70"/>
        <v>80.52</v>
      </c>
      <c r="P1134" t="str">
        <f t="shared" si="71"/>
        <v>OK</v>
      </c>
    </row>
    <row r="1135" spans="1:16" x14ac:dyDescent="0.35">
      <c r="A1135" t="s">
        <v>1513</v>
      </c>
      <c r="B1135" s="3">
        <v>45533</v>
      </c>
      <c r="C1135" t="s">
        <v>18</v>
      </c>
      <c r="D1135" t="s">
        <v>13</v>
      </c>
      <c r="E1135" t="s">
        <v>884</v>
      </c>
      <c r="F1135" t="s">
        <v>21</v>
      </c>
      <c r="G1135" t="s">
        <v>194</v>
      </c>
      <c r="H1135">
        <v>5</v>
      </c>
      <c r="I1135">
        <v>26.59</v>
      </c>
      <c r="J1135">
        <v>0</v>
      </c>
      <c r="K1135">
        <v>132.94999999999999</v>
      </c>
      <c r="M1135" t="str">
        <f t="shared" si="68"/>
        <v>Aug</v>
      </c>
      <c r="N1135">
        <f t="shared" si="69"/>
        <v>8</v>
      </c>
      <c r="O1135">
        <f t="shared" si="70"/>
        <v>132.94999999999999</v>
      </c>
      <c r="P1135" t="str">
        <f t="shared" si="71"/>
        <v>OK</v>
      </c>
    </row>
    <row r="1136" spans="1:16" x14ac:dyDescent="0.35">
      <c r="A1136" t="s">
        <v>1514</v>
      </c>
      <c r="B1136" s="3">
        <v>45359</v>
      </c>
      <c r="C1136" t="s">
        <v>18</v>
      </c>
      <c r="D1136" t="s">
        <v>42</v>
      </c>
      <c r="E1136" t="s">
        <v>131</v>
      </c>
      <c r="F1136" t="s">
        <v>21</v>
      </c>
      <c r="G1136" t="s">
        <v>22</v>
      </c>
      <c r="H1136">
        <v>1</v>
      </c>
      <c r="I1136">
        <v>239.63</v>
      </c>
      <c r="J1136">
        <v>0</v>
      </c>
      <c r="K1136">
        <v>239.63</v>
      </c>
      <c r="M1136" t="str">
        <f t="shared" si="68"/>
        <v>Mar</v>
      </c>
      <c r="N1136">
        <f t="shared" si="69"/>
        <v>3</v>
      </c>
      <c r="O1136">
        <f t="shared" si="70"/>
        <v>239.63</v>
      </c>
      <c r="P1136" t="str">
        <f t="shared" si="71"/>
        <v>OK</v>
      </c>
    </row>
    <row r="1137" spans="1:16" x14ac:dyDescent="0.35">
      <c r="A1137" t="s">
        <v>1515</v>
      </c>
      <c r="B1137" s="3">
        <v>45327</v>
      </c>
      <c r="C1137" t="s">
        <v>41</v>
      </c>
      <c r="D1137" t="s">
        <v>13</v>
      </c>
      <c r="E1137" t="s">
        <v>381</v>
      </c>
      <c r="F1137" t="s">
        <v>44</v>
      </c>
      <c r="G1137" t="s">
        <v>50</v>
      </c>
      <c r="H1137">
        <v>6</v>
      </c>
      <c r="I1137">
        <v>235.08</v>
      </c>
      <c r="J1137">
        <v>0</v>
      </c>
      <c r="K1137">
        <v>1410.48</v>
      </c>
      <c r="M1137" t="str">
        <f t="shared" si="68"/>
        <v>Feb</v>
      </c>
      <c r="N1137">
        <f t="shared" si="69"/>
        <v>2</v>
      </c>
      <c r="O1137">
        <f t="shared" si="70"/>
        <v>1410.48</v>
      </c>
      <c r="P1137" t="str">
        <f t="shared" si="71"/>
        <v>OK</v>
      </c>
    </row>
    <row r="1138" spans="1:16" x14ac:dyDescent="0.35">
      <c r="A1138" t="s">
        <v>1516</v>
      </c>
      <c r="B1138" s="3">
        <v>45551</v>
      </c>
      <c r="C1138" t="s">
        <v>24</v>
      </c>
      <c r="D1138" t="s">
        <v>57</v>
      </c>
      <c r="E1138" t="s">
        <v>58</v>
      </c>
      <c r="F1138" t="s">
        <v>15</v>
      </c>
      <c r="G1138" t="s">
        <v>16</v>
      </c>
      <c r="H1138">
        <v>9</v>
      </c>
      <c r="I1138">
        <v>122.1</v>
      </c>
      <c r="J1138">
        <v>0</v>
      </c>
      <c r="K1138">
        <v>1098.9000000000001</v>
      </c>
      <c r="M1138" t="str">
        <f t="shared" si="68"/>
        <v>Sep</v>
      </c>
      <c r="N1138">
        <f t="shared" si="69"/>
        <v>9</v>
      </c>
      <c r="O1138">
        <f t="shared" si="70"/>
        <v>1098.8999999999999</v>
      </c>
      <c r="P1138" t="str">
        <f t="shared" si="71"/>
        <v>OK</v>
      </c>
    </row>
    <row r="1139" spans="1:16" x14ac:dyDescent="0.35">
      <c r="A1139" t="s">
        <v>1517</v>
      </c>
      <c r="B1139" s="3">
        <v>45382</v>
      </c>
      <c r="C1139" t="s">
        <v>24</v>
      </c>
      <c r="D1139" t="s">
        <v>57</v>
      </c>
      <c r="E1139" t="s">
        <v>404</v>
      </c>
      <c r="F1139" t="s">
        <v>53</v>
      </c>
      <c r="G1139" t="s">
        <v>125</v>
      </c>
      <c r="H1139">
        <v>10</v>
      </c>
      <c r="I1139">
        <v>20.91</v>
      </c>
      <c r="J1139">
        <v>0</v>
      </c>
      <c r="K1139">
        <v>209.1</v>
      </c>
      <c r="M1139" t="str">
        <f t="shared" si="68"/>
        <v>Mar</v>
      </c>
      <c r="N1139">
        <f t="shared" si="69"/>
        <v>3</v>
      </c>
      <c r="O1139">
        <f t="shared" si="70"/>
        <v>209.1</v>
      </c>
      <c r="P1139" t="str">
        <f t="shared" si="71"/>
        <v>OK</v>
      </c>
    </row>
    <row r="1140" spans="1:16" x14ac:dyDescent="0.35">
      <c r="A1140" t="s">
        <v>1518</v>
      </c>
      <c r="B1140" s="3">
        <v>45383</v>
      </c>
      <c r="C1140" t="s">
        <v>65</v>
      </c>
      <c r="D1140" t="s">
        <v>19</v>
      </c>
      <c r="E1140" t="s">
        <v>334</v>
      </c>
      <c r="F1140" t="s">
        <v>53</v>
      </c>
      <c r="G1140" t="s">
        <v>125</v>
      </c>
      <c r="H1140">
        <v>9</v>
      </c>
      <c r="I1140">
        <v>8.4700000000000006</v>
      </c>
      <c r="J1140">
        <v>0</v>
      </c>
      <c r="K1140">
        <v>76.23</v>
      </c>
      <c r="M1140" t="str">
        <f t="shared" si="68"/>
        <v>Apr</v>
      </c>
      <c r="N1140">
        <f t="shared" si="69"/>
        <v>4</v>
      </c>
      <c r="O1140">
        <f t="shared" si="70"/>
        <v>76.23</v>
      </c>
      <c r="P1140" t="str">
        <f t="shared" si="71"/>
        <v>OK</v>
      </c>
    </row>
    <row r="1141" spans="1:16" x14ac:dyDescent="0.35">
      <c r="A1141" t="s">
        <v>1519</v>
      </c>
      <c r="B1141" s="3">
        <v>45548</v>
      </c>
      <c r="C1141" t="s">
        <v>65</v>
      </c>
      <c r="D1141" t="s">
        <v>57</v>
      </c>
      <c r="E1141" t="s">
        <v>360</v>
      </c>
      <c r="F1141" t="s">
        <v>21</v>
      </c>
      <c r="G1141" t="s">
        <v>167</v>
      </c>
      <c r="H1141">
        <v>8</v>
      </c>
      <c r="I1141">
        <v>130.13999999999999</v>
      </c>
      <c r="J1141">
        <v>0.15</v>
      </c>
      <c r="K1141">
        <v>884.95</v>
      </c>
      <c r="M1141" t="str">
        <f t="shared" si="68"/>
        <v>Sep</v>
      </c>
      <c r="N1141">
        <f t="shared" si="69"/>
        <v>9</v>
      </c>
      <c r="O1141">
        <f t="shared" si="70"/>
        <v>884.95199999999988</v>
      </c>
      <c r="P1141" t="str">
        <f t="shared" si="71"/>
        <v>OK</v>
      </c>
    </row>
    <row r="1142" spans="1:16" x14ac:dyDescent="0.35">
      <c r="A1142" t="s">
        <v>1520</v>
      </c>
      <c r="B1142" s="3">
        <v>45610</v>
      </c>
      <c r="C1142" t="s">
        <v>24</v>
      </c>
      <c r="D1142" t="s">
        <v>19</v>
      </c>
      <c r="E1142" t="s">
        <v>567</v>
      </c>
      <c r="F1142" t="s">
        <v>35</v>
      </c>
      <c r="G1142" t="s">
        <v>36</v>
      </c>
      <c r="H1142">
        <v>1</v>
      </c>
      <c r="I1142">
        <v>158.22999999999999</v>
      </c>
      <c r="J1142">
        <v>0</v>
      </c>
      <c r="K1142">
        <v>158.22999999999999</v>
      </c>
      <c r="M1142" t="str">
        <f t="shared" si="68"/>
        <v>Nov</v>
      </c>
      <c r="N1142">
        <f t="shared" si="69"/>
        <v>11</v>
      </c>
      <c r="O1142">
        <f t="shared" si="70"/>
        <v>158.22999999999999</v>
      </c>
      <c r="P1142" t="str">
        <f t="shared" si="71"/>
        <v>OK</v>
      </c>
    </row>
    <row r="1143" spans="1:16" x14ac:dyDescent="0.35">
      <c r="A1143" t="s">
        <v>1521</v>
      </c>
      <c r="B1143" s="3">
        <v>45612</v>
      </c>
      <c r="C1143" t="s">
        <v>18</v>
      </c>
      <c r="D1143" t="s">
        <v>57</v>
      </c>
      <c r="E1143" t="s">
        <v>659</v>
      </c>
      <c r="F1143" t="s">
        <v>15</v>
      </c>
      <c r="G1143" t="s">
        <v>74</v>
      </c>
      <c r="H1143">
        <v>1</v>
      </c>
      <c r="I1143">
        <v>220.28</v>
      </c>
      <c r="J1143">
        <v>0.1</v>
      </c>
      <c r="K1143">
        <v>198.25</v>
      </c>
      <c r="M1143" t="str">
        <f t="shared" si="68"/>
        <v>Nov</v>
      </c>
      <c r="N1143">
        <f t="shared" si="69"/>
        <v>11</v>
      </c>
      <c r="O1143">
        <f t="shared" si="70"/>
        <v>198.25200000000001</v>
      </c>
      <c r="P1143" t="str">
        <f t="shared" si="71"/>
        <v>OK</v>
      </c>
    </row>
    <row r="1144" spans="1:16" x14ac:dyDescent="0.35">
      <c r="A1144" t="s">
        <v>1514</v>
      </c>
      <c r="B1144" s="3">
        <v>45359</v>
      </c>
      <c r="C1144" t="s">
        <v>33</v>
      </c>
      <c r="D1144" t="s">
        <v>42</v>
      </c>
      <c r="E1144" t="s">
        <v>131</v>
      </c>
      <c r="F1144" t="s">
        <v>21</v>
      </c>
      <c r="G1144" t="s">
        <v>22</v>
      </c>
      <c r="H1144">
        <v>1</v>
      </c>
      <c r="I1144">
        <v>239.63</v>
      </c>
      <c r="J1144">
        <v>0</v>
      </c>
      <c r="K1144">
        <v>239.63</v>
      </c>
      <c r="M1144" t="str">
        <f t="shared" si="68"/>
        <v>Mar</v>
      </c>
      <c r="N1144">
        <f t="shared" si="69"/>
        <v>3</v>
      </c>
      <c r="O1144">
        <f t="shared" si="70"/>
        <v>239.63</v>
      </c>
      <c r="P1144" t="str">
        <f t="shared" si="71"/>
        <v>OK</v>
      </c>
    </row>
    <row r="1145" spans="1:16" x14ac:dyDescent="0.35">
      <c r="A1145" t="s">
        <v>1522</v>
      </c>
      <c r="B1145" s="3">
        <v>45344</v>
      </c>
      <c r="C1145" t="s">
        <v>18</v>
      </c>
      <c r="D1145" t="s">
        <v>13</v>
      </c>
      <c r="E1145" t="s">
        <v>468</v>
      </c>
      <c r="F1145" t="s">
        <v>53</v>
      </c>
      <c r="G1145" t="s">
        <v>54</v>
      </c>
      <c r="H1145">
        <v>7</v>
      </c>
      <c r="I1145">
        <v>68.97</v>
      </c>
      <c r="J1145">
        <v>0</v>
      </c>
      <c r="K1145">
        <v>482.79</v>
      </c>
      <c r="M1145" t="str">
        <f t="shared" si="68"/>
        <v>Feb</v>
      </c>
      <c r="N1145">
        <f t="shared" si="69"/>
        <v>2</v>
      </c>
      <c r="O1145">
        <f t="shared" si="70"/>
        <v>482.78999999999996</v>
      </c>
      <c r="P1145" t="str">
        <f t="shared" si="71"/>
        <v>OK</v>
      </c>
    </row>
    <row r="1146" spans="1:16" x14ac:dyDescent="0.35">
      <c r="A1146" t="s">
        <v>1524</v>
      </c>
      <c r="B1146" s="3">
        <v>45478</v>
      </c>
      <c r="C1146" t="s">
        <v>24</v>
      </c>
      <c r="D1146" t="s">
        <v>19</v>
      </c>
      <c r="E1146" t="s">
        <v>158</v>
      </c>
      <c r="F1146" t="s">
        <v>21</v>
      </c>
      <c r="G1146" t="s">
        <v>129</v>
      </c>
      <c r="H1146">
        <v>11</v>
      </c>
      <c r="I1146">
        <v>49.92</v>
      </c>
      <c r="J1146">
        <v>0</v>
      </c>
      <c r="K1146">
        <v>549.12</v>
      </c>
      <c r="M1146" t="str">
        <f t="shared" si="68"/>
        <v>Jul</v>
      </c>
      <c r="N1146">
        <f t="shared" si="69"/>
        <v>7</v>
      </c>
      <c r="O1146">
        <f t="shared" si="70"/>
        <v>549.12</v>
      </c>
      <c r="P1146" t="str">
        <f t="shared" si="71"/>
        <v>OK</v>
      </c>
    </row>
    <row r="1147" spans="1:16" x14ac:dyDescent="0.35">
      <c r="A1147" t="s">
        <v>1525</v>
      </c>
      <c r="B1147" s="3">
        <v>45344</v>
      </c>
      <c r="C1147" t="s">
        <v>24</v>
      </c>
      <c r="D1147" t="s">
        <v>42</v>
      </c>
      <c r="E1147" t="s">
        <v>274</v>
      </c>
      <c r="F1147" t="s">
        <v>53</v>
      </c>
      <c r="G1147" t="s">
        <v>104</v>
      </c>
      <c r="H1147">
        <v>8</v>
      </c>
      <c r="I1147">
        <v>145.65</v>
      </c>
      <c r="J1147">
        <v>0.05</v>
      </c>
      <c r="K1147">
        <v>1106.94</v>
      </c>
      <c r="M1147" t="str">
        <f t="shared" si="68"/>
        <v>Feb</v>
      </c>
      <c r="N1147">
        <f t="shared" si="69"/>
        <v>2</v>
      </c>
      <c r="O1147">
        <f t="shared" si="70"/>
        <v>1106.94</v>
      </c>
      <c r="P1147" t="str">
        <f t="shared" si="71"/>
        <v>OK</v>
      </c>
    </row>
    <row r="1148" spans="1:16" x14ac:dyDescent="0.35">
      <c r="A1148" t="s">
        <v>1526</v>
      </c>
      <c r="B1148" s="3">
        <v>45648</v>
      </c>
      <c r="C1148" t="s">
        <v>24</v>
      </c>
      <c r="D1148" t="s">
        <v>57</v>
      </c>
      <c r="E1148" t="s">
        <v>100</v>
      </c>
      <c r="F1148" t="s">
        <v>35</v>
      </c>
      <c r="G1148" t="s">
        <v>36</v>
      </c>
      <c r="H1148">
        <v>9</v>
      </c>
      <c r="I1148">
        <v>36.86</v>
      </c>
      <c r="J1148">
        <v>0.05</v>
      </c>
      <c r="K1148">
        <v>315.14999999999998</v>
      </c>
      <c r="M1148" t="str">
        <f t="shared" si="68"/>
        <v>Dec</v>
      </c>
      <c r="N1148">
        <f t="shared" si="69"/>
        <v>12</v>
      </c>
      <c r="O1148">
        <f t="shared" si="70"/>
        <v>315.15300000000002</v>
      </c>
      <c r="P1148" t="str">
        <f t="shared" si="71"/>
        <v>OK</v>
      </c>
    </row>
    <row r="1149" spans="1:16" x14ac:dyDescent="0.35">
      <c r="A1149" t="s">
        <v>1527</v>
      </c>
      <c r="B1149" s="3">
        <v>45417</v>
      </c>
      <c r="C1149" t="s">
        <v>41</v>
      </c>
      <c r="D1149" t="s">
        <v>25</v>
      </c>
      <c r="E1149" t="s">
        <v>206</v>
      </c>
      <c r="F1149" t="s">
        <v>21</v>
      </c>
      <c r="G1149" t="s">
        <v>167</v>
      </c>
      <c r="H1149">
        <v>9</v>
      </c>
      <c r="I1149">
        <v>127.23</v>
      </c>
      <c r="J1149">
        <v>0.05</v>
      </c>
      <c r="K1149">
        <v>1087.82</v>
      </c>
      <c r="M1149" t="str">
        <f t="shared" si="68"/>
        <v>May</v>
      </c>
      <c r="N1149">
        <f t="shared" si="69"/>
        <v>5</v>
      </c>
      <c r="O1149">
        <f t="shared" si="70"/>
        <v>1087.8164999999999</v>
      </c>
      <c r="P1149" t="str">
        <f t="shared" si="71"/>
        <v>OK</v>
      </c>
    </row>
    <row r="1150" spans="1:16" x14ac:dyDescent="0.35">
      <c r="A1150" t="s">
        <v>1528</v>
      </c>
      <c r="B1150" s="3">
        <v>45414</v>
      </c>
      <c r="C1150" t="s">
        <v>18</v>
      </c>
      <c r="D1150" t="s">
        <v>2216</v>
      </c>
      <c r="E1150" t="s">
        <v>656</v>
      </c>
      <c r="F1150" t="s">
        <v>35</v>
      </c>
      <c r="G1150" t="s">
        <v>67</v>
      </c>
      <c r="H1150">
        <v>11</v>
      </c>
      <c r="I1150">
        <v>8.9</v>
      </c>
      <c r="J1150">
        <v>0</v>
      </c>
      <c r="K1150">
        <v>97.9</v>
      </c>
      <c r="M1150" t="str">
        <f t="shared" si="68"/>
        <v>May</v>
      </c>
      <c r="N1150">
        <f t="shared" si="69"/>
        <v>5</v>
      </c>
      <c r="O1150">
        <f t="shared" si="70"/>
        <v>97.9</v>
      </c>
      <c r="P1150" t="str">
        <f t="shared" si="71"/>
        <v>OK</v>
      </c>
    </row>
    <row r="1151" spans="1:16" x14ac:dyDescent="0.35">
      <c r="A1151" t="s">
        <v>1529</v>
      </c>
      <c r="B1151" s="3">
        <v>45329</v>
      </c>
      <c r="C1151" t="s">
        <v>41</v>
      </c>
      <c r="D1151" t="s">
        <v>57</v>
      </c>
      <c r="E1151" t="s">
        <v>881</v>
      </c>
      <c r="F1151" t="s">
        <v>35</v>
      </c>
      <c r="G1151" t="s">
        <v>67</v>
      </c>
      <c r="H1151">
        <v>2</v>
      </c>
      <c r="I1151">
        <v>12.35</v>
      </c>
      <c r="J1151">
        <v>0</v>
      </c>
      <c r="K1151">
        <v>24.7</v>
      </c>
      <c r="M1151" t="str">
        <f t="shared" si="68"/>
        <v>Feb</v>
      </c>
      <c r="N1151">
        <f t="shared" si="69"/>
        <v>2</v>
      </c>
      <c r="O1151">
        <f t="shared" si="70"/>
        <v>24.7</v>
      </c>
      <c r="P1151" t="str">
        <f t="shared" si="71"/>
        <v>OK</v>
      </c>
    </row>
    <row r="1152" spans="1:16" x14ac:dyDescent="0.35">
      <c r="A1152" t="s">
        <v>1530</v>
      </c>
      <c r="B1152" s="3">
        <v>45578</v>
      </c>
      <c r="C1152" t="s">
        <v>24</v>
      </c>
      <c r="D1152" t="s">
        <v>13</v>
      </c>
      <c r="E1152" t="s">
        <v>508</v>
      </c>
      <c r="F1152" t="s">
        <v>21</v>
      </c>
      <c r="G1152" t="s">
        <v>194</v>
      </c>
      <c r="H1152">
        <v>2</v>
      </c>
      <c r="I1152">
        <v>230.82</v>
      </c>
      <c r="J1152">
        <v>0.1</v>
      </c>
      <c r="K1152">
        <v>415.48</v>
      </c>
      <c r="M1152" t="str">
        <f t="shared" si="68"/>
        <v>Oct</v>
      </c>
      <c r="N1152">
        <f t="shared" si="69"/>
        <v>10</v>
      </c>
      <c r="O1152">
        <f t="shared" si="70"/>
        <v>415.476</v>
      </c>
      <c r="P1152" t="str">
        <f t="shared" si="71"/>
        <v>OK</v>
      </c>
    </row>
    <row r="1153" spans="1:16" x14ac:dyDescent="0.35">
      <c r="A1153" t="s">
        <v>1531</v>
      </c>
      <c r="B1153" s="3">
        <v>45630</v>
      </c>
      <c r="C1153" t="s">
        <v>33</v>
      </c>
      <c r="D1153" t="s">
        <v>25</v>
      </c>
      <c r="E1153" t="s">
        <v>77</v>
      </c>
      <c r="F1153" t="s">
        <v>53</v>
      </c>
      <c r="G1153" t="s">
        <v>260</v>
      </c>
      <c r="H1153">
        <v>1</v>
      </c>
      <c r="I1153">
        <v>169.3</v>
      </c>
      <c r="J1153">
        <v>0</v>
      </c>
      <c r="K1153">
        <v>169.3</v>
      </c>
      <c r="M1153" t="str">
        <f t="shared" si="68"/>
        <v>Dec</v>
      </c>
      <c r="N1153">
        <f t="shared" si="69"/>
        <v>12</v>
      </c>
      <c r="O1153">
        <f t="shared" si="70"/>
        <v>169.3</v>
      </c>
      <c r="P1153" t="str">
        <f t="shared" si="71"/>
        <v>OK</v>
      </c>
    </row>
    <row r="1154" spans="1:16" x14ac:dyDescent="0.35">
      <c r="A1154" t="s">
        <v>1532</v>
      </c>
      <c r="B1154" s="3">
        <v>45447</v>
      </c>
      <c r="C1154" t="s">
        <v>65</v>
      </c>
      <c r="D1154" t="s">
        <v>19</v>
      </c>
      <c r="E1154" t="s">
        <v>711</v>
      </c>
      <c r="F1154" t="s">
        <v>35</v>
      </c>
      <c r="G1154" t="s">
        <v>83</v>
      </c>
      <c r="H1154">
        <v>9</v>
      </c>
      <c r="I1154">
        <v>213.52</v>
      </c>
      <c r="J1154">
        <v>0.1</v>
      </c>
      <c r="K1154">
        <v>1729.51</v>
      </c>
      <c r="M1154" t="str">
        <f t="shared" si="68"/>
        <v>Jun</v>
      </c>
      <c r="N1154">
        <f t="shared" si="69"/>
        <v>6</v>
      </c>
      <c r="O1154">
        <f t="shared" si="70"/>
        <v>1729.5120000000002</v>
      </c>
      <c r="P1154" t="str">
        <f t="shared" si="71"/>
        <v>OK</v>
      </c>
    </row>
    <row r="1155" spans="1:16" x14ac:dyDescent="0.35">
      <c r="A1155" t="s">
        <v>1533</v>
      </c>
      <c r="B1155" s="3">
        <v>45492</v>
      </c>
      <c r="C1155" t="s">
        <v>41</v>
      </c>
      <c r="D1155" t="s">
        <v>13</v>
      </c>
      <c r="E1155" t="s">
        <v>14</v>
      </c>
      <c r="F1155" t="s">
        <v>21</v>
      </c>
      <c r="G1155" t="s">
        <v>194</v>
      </c>
      <c r="H1155">
        <v>8</v>
      </c>
      <c r="I1155">
        <v>75.040000000000006</v>
      </c>
      <c r="J1155">
        <v>0.1</v>
      </c>
      <c r="K1155">
        <v>540.29</v>
      </c>
      <c r="M1155" t="str">
        <f t="shared" ref="M1155:M1218" si="72">TEXT(B1155,"mmm")</f>
        <v>Jul</v>
      </c>
      <c r="N1155">
        <f t="shared" ref="N1155:N1218" si="73">MONTH(B1155)</f>
        <v>7</v>
      </c>
      <c r="O1155">
        <f t="shared" ref="O1155:O1218" si="74">H1155*I1155*(1-J1155)</f>
        <v>540.28800000000001</v>
      </c>
      <c r="P1155" t="str">
        <f t="shared" ref="P1155:P1218" si="75">IF(ROUND(K1155,2)=ROUND(O1155,2),"OK","MISMATCH")</f>
        <v>OK</v>
      </c>
    </row>
    <row r="1156" spans="1:16" x14ac:dyDescent="0.35">
      <c r="A1156" t="s">
        <v>1534</v>
      </c>
      <c r="B1156" s="3">
        <v>45456</v>
      </c>
      <c r="C1156" t="s">
        <v>41</v>
      </c>
      <c r="D1156" t="s">
        <v>42</v>
      </c>
      <c r="E1156" t="s">
        <v>80</v>
      </c>
      <c r="F1156" t="s">
        <v>21</v>
      </c>
      <c r="G1156" t="s">
        <v>194</v>
      </c>
      <c r="H1156">
        <v>1</v>
      </c>
      <c r="I1156">
        <v>53.78</v>
      </c>
      <c r="J1156">
        <v>0</v>
      </c>
      <c r="K1156">
        <v>53.78</v>
      </c>
      <c r="M1156" t="str">
        <f t="shared" si="72"/>
        <v>Jun</v>
      </c>
      <c r="N1156">
        <f t="shared" si="73"/>
        <v>6</v>
      </c>
      <c r="O1156">
        <f t="shared" si="74"/>
        <v>53.78</v>
      </c>
      <c r="P1156" t="str">
        <f t="shared" si="75"/>
        <v>OK</v>
      </c>
    </row>
    <row r="1157" spans="1:16" x14ac:dyDescent="0.35">
      <c r="A1157" t="s">
        <v>1535</v>
      </c>
      <c r="B1157" s="3">
        <v>45387</v>
      </c>
      <c r="C1157" t="s">
        <v>24</v>
      </c>
      <c r="D1157" t="s">
        <v>13</v>
      </c>
      <c r="E1157" t="s">
        <v>696</v>
      </c>
      <c r="F1157" t="s">
        <v>44</v>
      </c>
      <c r="G1157" t="s">
        <v>107</v>
      </c>
      <c r="H1157">
        <v>10</v>
      </c>
      <c r="I1157">
        <v>211.29</v>
      </c>
      <c r="J1157">
        <v>0</v>
      </c>
      <c r="K1157">
        <v>2112.9</v>
      </c>
      <c r="M1157" t="str">
        <f t="shared" si="72"/>
        <v>Apr</v>
      </c>
      <c r="N1157">
        <f t="shared" si="73"/>
        <v>4</v>
      </c>
      <c r="O1157">
        <f t="shared" si="74"/>
        <v>2112.9</v>
      </c>
      <c r="P1157" t="str">
        <f t="shared" si="75"/>
        <v>OK</v>
      </c>
    </row>
    <row r="1158" spans="1:16" x14ac:dyDescent="0.35">
      <c r="A1158" t="s">
        <v>1536</v>
      </c>
      <c r="B1158" s="3">
        <v>45540</v>
      </c>
      <c r="C1158" t="s">
        <v>41</v>
      </c>
      <c r="D1158" t="s">
        <v>25</v>
      </c>
      <c r="E1158" t="s">
        <v>418</v>
      </c>
      <c r="F1158" t="s">
        <v>53</v>
      </c>
      <c r="G1158" t="s">
        <v>260</v>
      </c>
      <c r="H1158">
        <v>5</v>
      </c>
      <c r="I1158">
        <v>35.46</v>
      </c>
      <c r="J1158">
        <v>0</v>
      </c>
      <c r="K1158">
        <v>177.3</v>
      </c>
      <c r="M1158" t="str">
        <f t="shared" si="72"/>
        <v>Sep</v>
      </c>
      <c r="N1158">
        <f t="shared" si="73"/>
        <v>9</v>
      </c>
      <c r="O1158">
        <f t="shared" si="74"/>
        <v>177.3</v>
      </c>
      <c r="P1158" t="str">
        <f t="shared" si="75"/>
        <v>OK</v>
      </c>
    </row>
    <row r="1159" spans="1:16" x14ac:dyDescent="0.35">
      <c r="A1159" t="s">
        <v>1537</v>
      </c>
      <c r="B1159" s="3">
        <v>45311</v>
      </c>
      <c r="C1159" t="s">
        <v>33</v>
      </c>
      <c r="D1159" t="s">
        <v>42</v>
      </c>
      <c r="E1159" t="s">
        <v>238</v>
      </c>
      <c r="F1159" t="s">
        <v>21</v>
      </c>
      <c r="G1159" t="s">
        <v>70</v>
      </c>
      <c r="H1159">
        <v>4</v>
      </c>
      <c r="I1159">
        <v>151.07</v>
      </c>
      <c r="J1159">
        <v>0.15</v>
      </c>
      <c r="K1159">
        <v>513.64</v>
      </c>
      <c r="M1159" t="str">
        <f t="shared" si="72"/>
        <v>Jan</v>
      </c>
      <c r="N1159">
        <f t="shared" si="73"/>
        <v>1</v>
      </c>
      <c r="O1159">
        <f t="shared" si="74"/>
        <v>513.63799999999992</v>
      </c>
      <c r="P1159" t="str">
        <f t="shared" si="75"/>
        <v>OK</v>
      </c>
    </row>
    <row r="1160" spans="1:16" x14ac:dyDescent="0.35">
      <c r="A1160" t="s">
        <v>1538</v>
      </c>
      <c r="B1160" s="3">
        <v>45593</v>
      </c>
      <c r="C1160" t="s">
        <v>65</v>
      </c>
      <c r="D1160" t="s">
        <v>57</v>
      </c>
      <c r="E1160" t="s">
        <v>113</v>
      </c>
      <c r="F1160" t="s">
        <v>15</v>
      </c>
      <c r="G1160" t="s">
        <v>147</v>
      </c>
      <c r="H1160">
        <v>8</v>
      </c>
      <c r="I1160">
        <v>144.4</v>
      </c>
      <c r="J1160">
        <v>0.15</v>
      </c>
      <c r="K1160">
        <v>981.92</v>
      </c>
      <c r="M1160" t="str">
        <f t="shared" si="72"/>
        <v>Oct</v>
      </c>
      <c r="N1160">
        <f t="shared" si="73"/>
        <v>10</v>
      </c>
      <c r="O1160">
        <f t="shared" si="74"/>
        <v>981.92</v>
      </c>
      <c r="P1160" t="str">
        <f t="shared" si="75"/>
        <v>OK</v>
      </c>
    </row>
    <row r="1161" spans="1:16" x14ac:dyDescent="0.35">
      <c r="A1161" t="s">
        <v>1539</v>
      </c>
      <c r="B1161" s="3">
        <v>45634</v>
      </c>
      <c r="C1161" t="s">
        <v>33</v>
      </c>
      <c r="D1161" t="s">
        <v>42</v>
      </c>
      <c r="E1161" t="s">
        <v>243</v>
      </c>
      <c r="F1161" t="s">
        <v>15</v>
      </c>
      <c r="G1161" t="s">
        <v>74</v>
      </c>
      <c r="H1161">
        <v>4</v>
      </c>
      <c r="I1161">
        <v>132.83000000000001</v>
      </c>
      <c r="J1161">
        <v>0.1</v>
      </c>
      <c r="K1161">
        <v>478.19</v>
      </c>
      <c r="M1161" t="str">
        <f t="shared" si="72"/>
        <v>Dec</v>
      </c>
      <c r="N1161">
        <f t="shared" si="73"/>
        <v>12</v>
      </c>
      <c r="O1161">
        <f t="shared" si="74"/>
        <v>478.18800000000005</v>
      </c>
      <c r="P1161" t="str">
        <f t="shared" si="75"/>
        <v>OK</v>
      </c>
    </row>
    <row r="1162" spans="1:16" x14ac:dyDescent="0.35">
      <c r="A1162" t="s">
        <v>1540</v>
      </c>
      <c r="B1162" s="3">
        <v>45376</v>
      </c>
      <c r="C1162" t="s">
        <v>33</v>
      </c>
      <c r="D1162" t="s">
        <v>25</v>
      </c>
      <c r="E1162" t="s">
        <v>52</v>
      </c>
      <c r="F1162" t="s">
        <v>44</v>
      </c>
      <c r="G1162" t="s">
        <v>50</v>
      </c>
      <c r="H1162">
        <v>12</v>
      </c>
      <c r="I1162">
        <v>103.99</v>
      </c>
      <c r="J1162">
        <v>0</v>
      </c>
      <c r="K1162">
        <v>1247.8800000000001</v>
      </c>
      <c r="M1162" t="str">
        <f t="shared" si="72"/>
        <v>Mar</v>
      </c>
      <c r="N1162">
        <f t="shared" si="73"/>
        <v>3</v>
      </c>
      <c r="O1162">
        <f t="shared" si="74"/>
        <v>1247.8799999999999</v>
      </c>
      <c r="P1162" t="str">
        <f t="shared" si="75"/>
        <v>OK</v>
      </c>
    </row>
    <row r="1163" spans="1:16" x14ac:dyDescent="0.35">
      <c r="A1163" t="s">
        <v>1541</v>
      </c>
      <c r="B1163" s="3">
        <v>45298</v>
      </c>
      <c r="C1163" t="s">
        <v>18</v>
      </c>
      <c r="D1163" t="s">
        <v>19</v>
      </c>
      <c r="E1163" t="s">
        <v>881</v>
      </c>
      <c r="F1163" t="s">
        <v>44</v>
      </c>
      <c r="G1163" t="s">
        <v>86</v>
      </c>
      <c r="H1163">
        <v>9</v>
      </c>
      <c r="I1163">
        <v>47.81</v>
      </c>
      <c r="J1163">
        <v>0</v>
      </c>
      <c r="K1163">
        <v>430.29</v>
      </c>
      <c r="M1163" t="str">
        <f t="shared" si="72"/>
        <v>Jan</v>
      </c>
      <c r="N1163">
        <f t="shared" si="73"/>
        <v>1</v>
      </c>
      <c r="O1163">
        <f t="shared" si="74"/>
        <v>430.29</v>
      </c>
      <c r="P1163" t="str">
        <f t="shared" si="75"/>
        <v>OK</v>
      </c>
    </row>
    <row r="1164" spans="1:16" x14ac:dyDescent="0.35">
      <c r="A1164" t="s">
        <v>1542</v>
      </c>
      <c r="B1164" s="3">
        <v>45437</v>
      </c>
      <c r="C1164" t="s">
        <v>41</v>
      </c>
      <c r="D1164" t="s">
        <v>57</v>
      </c>
      <c r="E1164" t="s">
        <v>221</v>
      </c>
      <c r="F1164" t="s">
        <v>44</v>
      </c>
      <c r="G1164" t="s">
        <v>86</v>
      </c>
      <c r="H1164">
        <v>10</v>
      </c>
      <c r="I1164">
        <v>198.35</v>
      </c>
      <c r="J1164">
        <v>0</v>
      </c>
      <c r="K1164">
        <v>1983.5</v>
      </c>
      <c r="M1164" t="str">
        <f t="shared" si="72"/>
        <v>May</v>
      </c>
      <c r="N1164">
        <f t="shared" si="73"/>
        <v>5</v>
      </c>
      <c r="O1164">
        <f t="shared" si="74"/>
        <v>1983.5</v>
      </c>
      <c r="P1164" t="str">
        <f t="shared" si="75"/>
        <v>OK</v>
      </c>
    </row>
    <row r="1165" spans="1:16" x14ac:dyDescent="0.35">
      <c r="A1165" t="s">
        <v>1543</v>
      </c>
      <c r="B1165" s="3">
        <v>45300</v>
      </c>
      <c r="C1165" t="s">
        <v>41</v>
      </c>
      <c r="D1165" t="s">
        <v>57</v>
      </c>
      <c r="E1165" t="s">
        <v>608</v>
      </c>
      <c r="F1165" t="s">
        <v>15</v>
      </c>
      <c r="G1165" t="s">
        <v>111</v>
      </c>
      <c r="H1165">
        <v>4</v>
      </c>
      <c r="I1165">
        <v>8.3800000000000008</v>
      </c>
      <c r="J1165">
        <v>0</v>
      </c>
      <c r="K1165">
        <v>33.520000000000003</v>
      </c>
      <c r="M1165" t="str">
        <f t="shared" si="72"/>
        <v>Jan</v>
      </c>
      <c r="N1165">
        <f t="shared" si="73"/>
        <v>1</v>
      </c>
      <c r="O1165">
        <f t="shared" si="74"/>
        <v>33.520000000000003</v>
      </c>
      <c r="P1165" t="str">
        <f t="shared" si="75"/>
        <v>OK</v>
      </c>
    </row>
    <row r="1166" spans="1:16" x14ac:dyDescent="0.35">
      <c r="A1166" t="s">
        <v>1544</v>
      </c>
      <c r="B1166" s="3">
        <v>45589</v>
      </c>
      <c r="C1166" t="s">
        <v>65</v>
      </c>
      <c r="D1166" t="s">
        <v>19</v>
      </c>
      <c r="E1166" t="s">
        <v>567</v>
      </c>
      <c r="F1166" t="s">
        <v>21</v>
      </c>
      <c r="G1166" t="s">
        <v>167</v>
      </c>
      <c r="H1166">
        <v>1</v>
      </c>
      <c r="I1166">
        <v>70.94</v>
      </c>
      <c r="J1166">
        <v>0</v>
      </c>
      <c r="K1166">
        <v>70.94</v>
      </c>
      <c r="M1166" t="str">
        <f t="shared" si="72"/>
        <v>Oct</v>
      </c>
      <c r="N1166">
        <f t="shared" si="73"/>
        <v>10</v>
      </c>
      <c r="O1166">
        <f t="shared" si="74"/>
        <v>70.94</v>
      </c>
      <c r="P1166" t="str">
        <f t="shared" si="75"/>
        <v>OK</v>
      </c>
    </row>
    <row r="1167" spans="1:16" x14ac:dyDescent="0.35">
      <c r="A1167" t="s">
        <v>1546</v>
      </c>
      <c r="B1167" s="3">
        <v>45562</v>
      </c>
      <c r="C1167" t="s">
        <v>18</v>
      </c>
      <c r="D1167" t="s">
        <v>25</v>
      </c>
      <c r="E1167" t="s">
        <v>66</v>
      </c>
      <c r="F1167" t="s">
        <v>35</v>
      </c>
      <c r="G1167" t="s">
        <v>134</v>
      </c>
      <c r="H1167">
        <v>12</v>
      </c>
      <c r="I1167">
        <v>69.09</v>
      </c>
      <c r="J1167">
        <v>0</v>
      </c>
      <c r="K1167">
        <v>829.08</v>
      </c>
      <c r="M1167" t="str">
        <f t="shared" si="72"/>
        <v>Sep</v>
      </c>
      <c r="N1167">
        <f t="shared" si="73"/>
        <v>9</v>
      </c>
      <c r="O1167">
        <f t="shared" si="74"/>
        <v>829.08</v>
      </c>
      <c r="P1167" t="str">
        <f t="shared" si="75"/>
        <v>OK</v>
      </c>
    </row>
    <row r="1168" spans="1:16" x14ac:dyDescent="0.35">
      <c r="A1168" t="s">
        <v>1547</v>
      </c>
      <c r="B1168" s="3">
        <v>45616</v>
      </c>
      <c r="C1168" t="s">
        <v>18</v>
      </c>
      <c r="D1168" t="s">
        <v>19</v>
      </c>
      <c r="E1168" t="s">
        <v>448</v>
      </c>
      <c r="F1168" t="s">
        <v>53</v>
      </c>
      <c r="G1168" t="s">
        <v>125</v>
      </c>
      <c r="H1168">
        <v>3</v>
      </c>
      <c r="I1168">
        <v>203.09</v>
      </c>
      <c r="J1168">
        <v>0</v>
      </c>
      <c r="K1168">
        <v>609.27</v>
      </c>
      <c r="M1168" t="str">
        <f t="shared" si="72"/>
        <v>Nov</v>
      </c>
      <c r="N1168">
        <f t="shared" si="73"/>
        <v>11</v>
      </c>
      <c r="O1168">
        <f t="shared" si="74"/>
        <v>609.27</v>
      </c>
      <c r="P1168" t="str">
        <f t="shared" si="75"/>
        <v>OK</v>
      </c>
    </row>
    <row r="1169" spans="1:16" x14ac:dyDescent="0.35">
      <c r="A1169" t="s">
        <v>1548</v>
      </c>
      <c r="B1169" s="3">
        <v>45355</v>
      </c>
      <c r="C1169" t="s">
        <v>41</v>
      </c>
      <c r="D1169" t="s">
        <v>42</v>
      </c>
      <c r="E1169" t="s">
        <v>590</v>
      </c>
      <c r="F1169" t="s">
        <v>53</v>
      </c>
      <c r="G1169" t="s">
        <v>104</v>
      </c>
      <c r="H1169">
        <v>11</v>
      </c>
      <c r="I1169">
        <v>6.69</v>
      </c>
      <c r="J1169">
        <v>0</v>
      </c>
      <c r="K1169">
        <v>73.59</v>
      </c>
      <c r="M1169" t="str">
        <f t="shared" si="72"/>
        <v>Mar</v>
      </c>
      <c r="N1169">
        <f t="shared" si="73"/>
        <v>3</v>
      </c>
      <c r="O1169">
        <f t="shared" si="74"/>
        <v>73.59</v>
      </c>
      <c r="P1169" t="str">
        <f t="shared" si="75"/>
        <v>OK</v>
      </c>
    </row>
    <row r="1170" spans="1:16" x14ac:dyDescent="0.35">
      <c r="A1170" t="s">
        <v>1549</v>
      </c>
      <c r="B1170" s="3">
        <v>45567</v>
      </c>
      <c r="C1170" t="s">
        <v>33</v>
      </c>
      <c r="D1170" t="s">
        <v>57</v>
      </c>
      <c r="E1170" t="s">
        <v>346</v>
      </c>
      <c r="F1170" t="s">
        <v>21</v>
      </c>
      <c r="G1170" t="s">
        <v>167</v>
      </c>
      <c r="H1170">
        <v>9</v>
      </c>
      <c r="I1170">
        <v>232.31</v>
      </c>
      <c r="J1170">
        <v>0</v>
      </c>
      <c r="K1170">
        <v>2090.79</v>
      </c>
      <c r="M1170" t="str">
        <f t="shared" si="72"/>
        <v>Oct</v>
      </c>
      <c r="N1170">
        <f t="shared" si="73"/>
        <v>10</v>
      </c>
      <c r="O1170">
        <f t="shared" si="74"/>
        <v>2090.79</v>
      </c>
      <c r="P1170" t="str">
        <f t="shared" si="75"/>
        <v>OK</v>
      </c>
    </row>
    <row r="1171" spans="1:16" x14ac:dyDescent="0.35">
      <c r="A1171" t="s">
        <v>1550</v>
      </c>
      <c r="B1171" s="3">
        <v>45433</v>
      </c>
      <c r="C1171" t="s">
        <v>41</v>
      </c>
      <c r="D1171" t="s">
        <v>25</v>
      </c>
      <c r="E1171" t="s">
        <v>433</v>
      </c>
      <c r="F1171" t="s">
        <v>53</v>
      </c>
      <c r="G1171" t="s">
        <v>260</v>
      </c>
      <c r="H1171">
        <v>7</v>
      </c>
      <c r="I1171">
        <v>78.56</v>
      </c>
      <c r="J1171">
        <v>0</v>
      </c>
      <c r="K1171">
        <v>549.91999999999996</v>
      </c>
      <c r="M1171" t="str">
        <f t="shared" si="72"/>
        <v>May</v>
      </c>
      <c r="N1171">
        <f t="shared" si="73"/>
        <v>5</v>
      </c>
      <c r="O1171">
        <f t="shared" si="74"/>
        <v>549.92000000000007</v>
      </c>
      <c r="P1171" t="str">
        <f t="shared" si="75"/>
        <v>OK</v>
      </c>
    </row>
    <row r="1172" spans="1:16" x14ac:dyDescent="0.35">
      <c r="A1172" t="s">
        <v>1551</v>
      </c>
      <c r="B1172" s="3">
        <v>45648</v>
      </c>
      <c r="C1172" t="s">
        <v>33</v>
      </c>
      <c r="D1172" t="s">
        <v>25</v>
      </c>
      <c r="E1172" t="s">
        <v>103</v>
      </c>
      <c r="F1172" t="s">
        <v>21</v>
      </c>
      <c r="G1172" t="s">
        <v>194</v>
      </c>
      <c r="H1172">
        <v>5</v>
      </c>
      <c r="I1172">
        <v>109.24</v>
      </c>
      <c r="J1172">
        <v>0.05</v>
      </c>
      <c r="K1172">
        <v>518.89</v>
      </c>
      <c r="M1172" t="str">
        <f t="shared" si="72"/>
        <v>Dec</v>
      </c>
      <c r="N1172">
        <f t="shared" si="73"/>
        <v>12</v>
      </c>
      <c r="O1172">
        <f t="shared" si="74"/>
        <v>518.88999999999987</v>
      </c>
      <c r="P1172" t="str">
        <f t="shared" si="75"/>
        <v>OK</v>
      </c>
    </row>
    <row r="1173" spans="1:16" x14ac:dyDescent="0.35">
      <c r="A1173" t="s">
        <v>1552</v>
      </c>
      <c r="B1173" s="3">
        <v>45523</v>
      </c>
      <c r="C1173" t="s">
        <v>18</v>
      </c>
      <c r="D1173" t="s">
        <v>19</v>
      </c>
      <c r="E1173" t="s">
        <v>769</v>
      </c>
      <c r="F1173" t="s">
        <v>44</v>
      </c>
      <c r="G1173" t="s">
        <v>107</v>
      </c>
      <c r="H1173">
        <v>3</v>
      </c>
      <c r="I1173">
        <v>219.01</v>
      </c>
      <c r="J1173">
        <v>0</v>
      </c>
      <c r="K1173">
        <v>657.03</v>
      </c>
      <c r="M1173" t="str">
        <f t="shared" si="72"/>
        <v>Aug</v>
      </c>
      <c r="N1173">
        <f t="shared" si="73"/>
        <v>8</v>
      </c>
      <c r="O1173">
        <f t="shared" si="74"/>
        <v>657.03</v>
      </c>
      <c r="P1173" t="str">
        <f t="shared" si="75"/>
        <v>OK</v>
      </c>
    </row>
    <row r="1174" spans="1:16" x14ac:dyDescent="0.35">
      <c r="A1174" t="s">
        <v>1553</v>
      </c>
      <c r="B1174" s="3">
        <v>45453</v>
      </c>
      <c r="C1174" t="s">
        <v>33</v>
      </c>
      <c r="D1174" t="s">
        <v>57</v>
      </c>
      <c r="E1174" t="s">
        <v>547</v>
      </c>
      <c r="F1174" t="s">
        <v>15</v>
      </c>
      <c r="G1174" t="s">
        <v>74</v>
      </c>
      <c r="H1174">
        <v>9</v>
      </c>
      <c r="I1174">
        <v>131.27000000000001</v>
      </c>
      <c r="J1174">
        <v>0.05</v>
      </c>
      <c r="K1174">
        <v>1122.3599999999999</v>
      </c>
      <c r="M1174" t="str">
        <f t="shared" si="72"/>
        <v>Jun</v>
      </c>
      <c r="N1174">
        <f t="shared" si="73"/>
        <v>6</v>
      </c>
      <c r="O1174">
        <f t="shared" si="74"/>
        <v>1122.3585</v>
      </c>
      <c r="P1174" t="str">
        <f t="shared" si="75"/>
        <v>OK</v>
      </c>
    </row>
    <row r="1175" spans="1:16" x14ac:dyDescent="0.35">
      <c r="A1175" t="s">
        <v>1554</v>
      </c>
      <c r="B1175" s="3">
        <v>45350</v>
      </c>
      <c r="C1175" t="s">
        <v>33</v>
      </c>
      <c r="D1175" t="s">
        <v>19</v>
      </c>
      <c r="E1175" t="s">
        <v>847</v>
      </c>
      <c r="F1175" t="s">
        <v>15</v>
      </c>
      <c r="G1175" t="s">
        <v>111</v>
      </c>
      <c r="H1175">
        <v>9</v>
      </c>
      <c r="I1175">
        <v>46.6</v>
      </c>
      <c r="J1175">
        <v>0</v>
      </c>
      <c r="K1175">
        <v>419.4</v>
      </c>
      <c r="M1175" t="str">
        <f t="shared" si="72"/>
        <v>Feb</v>
      </c>
      <c r="N1175">
        <f t="shared" si="73"/>
        <v>2</v>
      </c>
      <c r="O1175">
        <f t="shared" si="74"/>
        <v>419.40000000000003</v>
      </c>
      <c r="P1175" t="str">
        <f t="shared" si="75"/>
        <v>OK</v>
      </c>
    </row>
    <row r="1176" spans="1:16" x14ac:dyDescent="0.35">
      <c r="A1176" t="s">
        <v>1555</v>
      </c>
      <c r="B1176" s="3">
        <v>45374</v>
      </c>
      <c r="C1176" t="s">
        <v>33</v>
      </c>
      <c r="D1176" t="s">
        <v>42</v>
      </c>
      <c r="E1176" t="s">
        <v>219</v>
      </c>
      <c r="F1176" t="s">
        <v>15</v>
      </c>
      <c r="G1176" t="s">
        <v>74</v>
      </c>
      <c r="H1176">
        <v>3</v>
      </c>
      <c r="I1176">
        <v>55</v>
      </c>
      <c r="J1176">
        <v>0</v>
      </c>
      <c r="K1176">
        <v>165</v>
      </c>
      <c r="M1176" t="str">
        <f t="shared" si="72"/>
        <v>Mar</v>
      </c>
      <c r="N1176">
        <f t="shared" si="73"/>
        <v>3</v>
      </c>
      <c r="O1176">
        <f t="shared" si="74"/>
        <v>165</v>
      </c>
      <c r="P1176" t="str">
        <f t="shared" si="75"/>
        <v>OK</v>
      </c>
    </row>
    <row r="1177" spans="1:16" x14ac:dyDescent="0.35">
      <c r="A1177" t="s">
        <v>1556</v>
      </c>
      <c r="B1177" s="3">
        <v>45608</v>
      </c>
      <c r="C1177" t="s">
        <v>18</v>
      </c>
      <c r="D1177" t="s">
        <v>57</v>
      </c>
      <c r="E1177" t="s">
        <v>360</v>
      </c>
      <c r="F1177" t="s">
        <v>21</v>
      </c>
      <c r="G1177" t="s">
        <v>70</v>
      </c>
      <c r="H1177">
        <v>1</v>
      </c>
      <c r="I1177">
        <v>166.52</v>
      </c>
      <c r="J1177">
        <v>0</v>
      </c>
      <c r="K1177">
        <v>166.52</v>
      </c>
      <c r="M1177" t="str">
        <f t="shared" si="72"/>
        <v>Nov</v>
      </c>
      <c r="N1177">
        <f t="shared" si="73"/>
        <v>11</v>
      </c>
      <c r="O1177">
        <f t="shared" si="74"/>
        <v>166.52</v>
      </c>
      <c r="P1177" t="str">
        <f t="shared" si="75"/>
        <v>OK</v>
      </c>
    </row>
    <row r="1178" spans="1:16" x14ac:dyDescent="0.35">
      <c r="A1178" t="s">
        <v>1557</v>
      </c>
      <c r="B1178" s="3">
        <v>45497</v>
      </c>
      <c r="C1178" t="s">
        <v>65</v>
      </c>
      <c r="D1178" t="s">
        <v>25</v>
      </c>
      <c r="E1178" t="s">
        <v>189</v>
      </c>
      <c r="F1178" t="s">
        <v>53</v>
      </c>
      <c r="G1178" t="s">
        <v>54</v>
      </c>
      <c r="H1178">
        <v>6</v>
      </c>
      <c r="I1178">
        <v>138.19</v>
      </c>
      <c r="J1178">
        <v>0.15</v>
      </c>
      <c r="K1178">
        <v>704.77</v>
      </c>
      <c r="M1178" t="str">
        <f t="shared" si="72"/>
        <v>Jul</v>
      </c>
      <c r="N1178">
        <f t="shared" si="73"/>
        <v>7</v>
      </c>
      <c r="O1178">
        <f t="shared" si="74"/>
        <v>704.76900000000001</v>
      </c>
      <c r="P1178" t="str">
        <f t="shared" si="75"/>
        <v>OK</v>
      </c>
    </row>
    <row r="1179" spans="1:16" x14ac:dyDescent="0.35">
      <c r="A1179" t="s">
        <v>1558</v>
      </c>
      <c r="B1179" s="3">
        <v>45464</v>
      </c>
      <c r="C1179" t="s">
        <v>18</v>
      </c>
      <c r="D1179" t="s">
        <v>19</v>
      </c>
      <c r="E1179" t="s">
        <v>1155</v>
      </c>
      <c r="F1179" t="s">
        <v>53</v>
      </c>
      <c r="G1179" t="s">
        <v>125</v>
      </c>
      <c r="H1179">
        <v>6</v>
      </c>
      <c r="I1179">
        <v>50.84</v>
      </c>
      <c r="J1179">
        <v>0</v>
      </c>
      <c r="K1179">
        <v>305.04000000000002</v>
      </c>
      <c r="M1179" t="str">
        <f t="shared" si="72"/>
        <v>Jun</v>
      </c>
      <c r="N1179">
        <f t="shared" si="73"/>
        <v>6</v>
      </c>
      <c r="O1179">
        <f t="shared" si="74"/>
        <v>305.04000000000002</v>
      </c>
      <c r="P1179" t="str">
        <f t="shared" si="75"/>
        <v>OK</v>
      </c>
    </row>
    <row r="1180" spans="1:16" x14ac:dyDescent="0.35">
      <c r="A1180" t="s">
        <v>1559</v>
      </c>
      <c r="B1180" s="3">
        <v>45583</v>
      </c>
      <c r="C1180" t="s">
        <v>24</v>
      </c>
      <c r="D1180" t="s">
        <v>19</v>
      </c>
      <c r="E1180" t="s">
        <v>117</v>
      </c>
      <c r="F1180" t="s">
        <v>35</v>
      </c>
      <c r="G1180" t="s">
        <v>83</v>
      </c>
      <c r="H1180">
        <v>10</v>
      </c>
      <c r="I1180">
        <v>117.75</v>
      </c>
      <c r="J1180">
        <v>0</v>
      </c>
      <c r="K1180">
        <v>1177.5</v>
      </c>
      <c r="M1180" t="str">
        <f t="shared" si="72"/>
        <v>Oct</v>
      </c>
      <c r="N1180">
        <f t="shared" si="73"/>
        <v>10</v>
      </c>
      <c r="O1180">
        <f t="shared" si="74"/>
        <v>1177.5</v>
      </c>
      <c r="P1180" t="str">
        <f t="shared" si="75"/>
        <v>OK</v>
      </c>
    </row>
    <row r="1181" spans="1:16" x14ac:dyDescent="0.35">
      <c r="A1181" t="s">
        <v>1560</v>
      </c>
      <c r="B1181" s="3">
        <v>45608</v>
      </c>
      <c r="C1181" t="s">
        <v>41</v>
      </c>
      <c r="D1181" t="s">
        <v>25</v>
      </c>
      <c r="E1181" t="s">
        <v>14</v>
      </c>
      <c r="F1181" t="s">
        <v>53</v>
      </c>
      <c r="G1181" t="s">
        <v>63</v>
      </c>
      <c r="H1181">
        <v>11</v>
      </c>
      <c r="I1181">
        <v>48</v>
      </c>
      <c r="J1181">
        <v>0.05</v>
      </c>
      <c r="K1181">
        <v>501.6</v>
      </c>
      <c r="M1181" t="str">
        <f t="shared" si="72"/>
        <v>Nov</v>
      </c>
      <c r="N1181">
        <f t="shared" si="73"/>
        <v>11</v>
      </c>
      <c r="O1181">
        <f t="shared" si="74"/>
        <v>501.59999999999997</v>
      </c>
      <c r="P1181" t="str">
        <f t="shared" si="75"/>
        <v>OK</v>
      </c>
    </row>
    <row r="1182" spans="1:16" x14ac:dyDescent="0.35">
      <c r="A1182" t="s">
        <v>1561</v>
      </c>
      <c r="B1182" s="3">
        <v>45603</v>
      </c>
      <c r="C1182" t="s">
        <v>41</v>
      </c>
      <c r="D1182" t="s">
        <v>25</v>
      </c>
      <c r="E1182" t="s">
        <v>1159</v>
      </c>
      <c r="F1182" t="s">
        <v>53</v>
      </c>
      <c r="G1182" t="s">
        <v>104</v>
      </c>
      <c r="H1182">
        <v>2</v>
      </c>
      <c r="I1182">
        <v>78.13</v>
      </c>
      <c r="J1182">
        <v>0.05</v>
      </c>
      <c r="K1182">
        <v>148.44999999999999</v>
      </c>
      <c r="M1182" t="str">
        <f t="shared" si="72"/>
        <v>Nov</v>
      </c>
      <c r="N1182">
        <f t="shared" si="73"/>
        <v>11</v>
      </c>
      <c r="O1182">
        <f t="shared" si="74"/>
        <v>148.44699999999997</v>
      </c>
      <c r="P1182" t="str">
        <f t="shared" si="75"/>
        <v>OK</v>
      </c>
    </row>
    <row r="1183" spans="1:16" x14ac:dyDescent="0.35">
      <c r="A1183" t="s">
        <v>1562</v>
      </c>
      <c r="B1183" s="3">
        <v>45411</v>
      </c>
      <c r="C1183" t="s">
        <v>33</v>
      </c>
      <c r="D1183" t="s">
        <v>42</v>
      </c>
      <c r="E1183" t="s">
        <v>460</v>
      </c>
      <c r="F1183" t="s">
        <v>35</v>
      </c>
      <c r="G1183" t="s">
        <v>177</v>
      </c>
      <c r="H1183">
        <v>2</v>
      </c>
      <c r="I1183">
        <v>232.82</v>
      </c>
      <c r="J1183">
        <v>0.1</v>
      </c>
      <c r="K1183">
        <v>419.08</v>
      </c>
      <c r="M1183" t="str">
        <f t="shared" si="72"/>
        <v>Apr</v>
      </c>
      <c r="N1183">
        <f t="shared" si="73"/>
        <v>4</v>
      </c>
      <c r="O1183">
        <f t="shared" si="74"/>
        <v>419.07600000000002</v>
      </c>
      <c r="P1183" t="str">
        <f t="shared" si="75"/>
        <v>OK</v>
      </c>
    </row>
    <row r="1184" spans="1:16" x14ac:dyDescent="0.35">
      <c r="A1184" t="s">
        <v>1563</v>
      </c>
      <c r="B1184" s="3">
        <v>45343</v>
      </c>
      <c r="C1184" t="s">
        <v>33</v>
      </c>
      <c r="D1184" t="s">
        <v>42</v>
      </c>
      <c r="E1184" t="s">
        <v>96</v>
      </c>
      <c r="F1184" t="s">
        <v>53</v>
      </c>
      <c r="G1184" t="s">
        <v>54</v>
      </c>
      <c r="H1184">
        <v>7</v>
      </c>
      <c r="I1184">
        <v>199.88</v>
      </c>
      <c r="J1184">
        <v>0</v>
      </c>
      <c r="K1184">
        <v>1399.16</v>
      </c>
      <c r="M1184" t="str">
        <f t="shared" si="72"/>
        <v>Feb</v>
      </c>
      <c r="N1184">
        <f t="shared" si="73"/>
        <v>2</v>
      </c>
      <c r="O1184">
        <f t="shared" si="74"/>
        <v>1399.1599999999999</v>
      </c>
      <c r="P1184" t="str">
        <f t="shared" si="75"/>
        <v>OK</v>
      </c>
    </row>
    <row r="1185" spans="1:16" x14ac:dyDescent="0.35">
      <c r="A1185" t="s">
        <v>1564</v>
      </c>
      <c r="B1185" s="3">
        <v>45362</v>
      </c>
      <c r="C1185" t="s">
        <v>41</v>
      </c>
      <c r="D1185" t="s">
        <v>57</v>
      </c>
      <c r="E1185" t="s">
        <v>124</v>
      </c>
      <c r="F1185" t="s">
        <v>15</v>
      </c>
      <c r="G1185" t="s">
        <v>74</v>
      </c>
      <c r="H1185">
        <v>7</v>
      </c>
      <c r="I1185">
        <v>35.159999999999997</v>
      </c>
      <c r="J1185">
        <v>0</v>
      </c>
      <c r="K1185">
        <v>246.12</v>
      </c>
      <c r="M1185" t="str">
        <f t="shared" si="72"/>
        <v>Mar</v>
      </c>
      <c r="N1185">
        <f t="shared" si="73"/>
        <v>3</v>
      </c>
      <c r="O1185">
        <f t="shared" si="74"/>
        <v>246.11999999999998</v>
      </c>
      <c r="P1185" t="str">
        <f t="shared" si="75"/>
        <v>OK</v>
      </c>
    </row>
    <row r="1186" spans="1:16" x14ac:dyDescent="0.35">
      <c r="A1186" t="s">
        <v>1565</v>
      </c>
      <c r="B1186" s="3">
        <v>45576</v>
      </c>
      <c r="C1186" t="s">
        <v>18</v>
      </c>
      <c r="D1186" t="s">
        <v>25</v>
      </c>
      <c r="E1186" t="s">
        <v>360</v>
      </c>
      <c r="F1186" t="s">
        <v>15</v>
      </c>
      <c r="G1186" t="s">
        <v>147</v>
      </c>
      <c r="H1186">
        <v>10</v>
      </c>
      <c r="I1186">
        <v>84.2</v>
      </c>
      <c r="J1186">
        <v>0</v>
      </c>
      <c r="K1186">
        <v>842</v>
      </c>
      <c r="M1186" t="str">
        <f t="shared" si="72"/>
        <v>Oct</v>
      </c>
      <c r="N1186">
        <f t="shared" si="73"/>
        <v>10</v>
      </c>
      <c r="O1186">
        <f t="shared" si="74"/>
        <v>842</v>
      </c>
      <c r="P1186" t="str">
        <f t="shared" si="75"/>
        <v>OK</v>
      </c>
    </row>
    <row r="1187" spans="1:16" x14ac:dyDescent="0.35">
      <c r="A1187" t="s">
        <v>1566</v>
      </c>
      <c r="B1187" s="3">
        <v>45504</v>
      </c>
      <c r="C1187" t="s">
        <v>65</v>
      </c>
      <c r="D1187" t="s">
        <v>13</v>
      </c>
      <c r="E1187" t="s">
        <v>351</v>
      </c>
      <c r="F1187" t="s">
        <v>53</v>
      </c>
      <c r="G1187" t="s">
        <v>125</v>
      </c>
      <c r="H1187">
        <v>12</v>
      </c>
      <c r="I1187">
        <v>111.48</v>
      </c>
      <c r="J1187">
        <v>0</v>
      </c>
      <c r="K1187">
        <v>1337.76</v>
      </c>
      <c r="M1187" t="str">
        <f t="shared" si="72"/>
        <v>Jul</v>
      </c>
      <c r="N1187">
        <f t="shared" si="73"/>
        <v>7</v>
      </c>
      <c r="O1187">
        <f t="shared" si="74"/>
        <v>1337.76</v>
      </c>
      <c r="P1187" t="str">
        <f t="shared" si="75"/>
        <v>OK</v>
      </c>
    </row>
    <row r="1188" spans="1:16" x14ac:dyDescent="0.35">
      <c r="A1188" t="s">
        <v>1567</v>
      </c>
      <c r="B1188" s="3">
        <v>45640</v>
      </c>
      <c r="C1188" t="s">
        <v>24</v>
      </c>
      <c r="D1188" t="s">
        <v>13</v>
      </c>
      <c r="E1188" t="s">
        <v>299</v>
      </c>
      <c r="F1188" t="s">
        <v>44</v>
      </c>
      <c r="G1188" t="s">
        <v>86</v>
      </c>
      <c r="H1188">
        <v>6</v>
      </c>
      <c r="I1188">
        <v>248.22</v>
      </c>
      <c r="J1188">
        <v>0</v>
      </c>
      <c r="K1188">
        <v>1489.32</v>
      </c>
      <c r="M1188" t="str">
        <f t="shared" si="72"/>
        <v>Dec</v>
      </c>
      <c r="N1188">
        <f t="shared" si="73"/>
        <v>12</v>
      </c>
      <c r="O1188">
        <f t="shared" si="74"/>
        <v>1489.32</v>
      </c>
      <c r="P1188" t="str">
        <f t="shared" si="75"/>
        <v>OK</v>
      </c>
    </row>
    <row r="1189" spans="1:16" x14ac:dyDescent="0.35">
      <c r="A1189" t="s">
        <v>1568</v>
      </c>
      <c r="B1189" s="3">
        <v>45372</v>
      </c>
      <c r="C1189" t="s">
        <v>18</v>
      </c>
      <c r="D1189" t="s">
        <v>13</v>
      </c>
      <c r="E1189" t="s">
        <v>489</v>
      </c>
      <c r="F1189" t="s">
        <v>53</v>
      </c>
      <c r="G1189" t="s">
        <v>260</v>
      </c>
      <c r="H1189">
        <v>2</v>
      </c>
      <c r="I1189">
        <v>123.84</v>
      </c>
      <c r="J1189">
        <v>0</v>
      </c>
      <c r="K1189">
        <v>247.68</v>
      </c>
      <c r="M1189" t="str">
        <f t="shared" si="72"/>
        <v>Mar</v>
      </c>
      <c r="N1189">
        <f t="shared" si="73"/>
        <v>3</v>
      </c>
      <c r="O1189">
        <f t="shared" si="74"/>
        <v>247.68</v>
      </c>
      <c r="P1189" t="str">
        <f t="shared" si="75"/>
        <v>OK</v>
      </c>
    </row>
    <row r="1190" spans="1:16" x14ac:dyDescent="0.35">
      <c r="A1190" t="s">
        <v>1569</v>
      </c>
      <c r="B1190" s="3">
        <v>45489</v>
      </c>
      <c r="C1190" t="s">
        <v>65</v>
      </c>
      <c r="D1190" t="s">
        <v>19</v>
      </c>
      <c r="E1190" t="s">
        <v>241</v>
      </c>
      <c r="F1190" t="s">
        <v>15</v>
      </c>
      <c r="G1190" t="s">
        <v>27</v>
      </c>
      <c r="H1190">
        <v>2</v>
      </c>
      <c r="I1190">
        <v>197.09</v>
      </c>
      <c r="J1190">
        <v>0.1</v>
      </c>
      <c r="K1190">
        <v>354.76</v>
      </c>
      <c r="M1190" t="str">
        <f t="shared" si="72"/>
        <v>Jul</v>
      </c>
      <c r="N1190">
        <f t="shared" si="73"/>
        <v>7</v>
      </c>
      <c r="O1190">
        <f t="shared" si="74"/>
        <v>354.762</v>
      </c>
      <c r="P1190" t="str">
        <f t="shared" si="75"/>
        <v>OK</v>
      </c>
    </row>
    <row r="1191" spans="1:16" x14ac:dyDescent="0.35">
      <c r="A1191" t="s">
        <v>1570</v>
      </c>
      <c r="B1191" s="3">
        <v>45585</v>
      </c>
      <c r="C1191" t="s">
        <v>65</v>
      </c>
      <c r="D1191" t="s">
        <v>57</v>
      </c>
      <c r="E1191" t="s">
        <v>158</v>
      </c>
      <c r="F1191" t="s">
        <v>44</v>
      </c>
      <c r="G1191" t="s">
        <v>86</v>
      </c>
      <c r="H1191">
        <v>4</v>
      </c>
      <c r="I1191">
        <v>79.16</v>
      </c>
      <c r="J1191">
        <v>0.05</v>
      </c>
      <c r="K1191">
        <v>300.81</v>
      </c>
      <c r="M1191" t="str">
        <f t="shared" si="72"/>
        <v>Oct</v>
      </c>
      <c r="N1191">
        <f t="shared" si="73"/>
        <v>10</v>
      </c>
      <c r="O1191">
        <f t="shared" si="74"/>
        <v>300.80799999999999</v>
      </c>
      <c r="P1191" t="str">
        <f t="shared" si="75"/>
        <v>OK</v>
      </c>
    </row>
    <row r="1192" spans="1:16" x14ac:dyDescent="0.35">
      <c r="A1192" t="s">
        <v>1571</v>
      </c>
      <c r="B1192" s="3">
        <v>45586</v>
      </c>
      <c r="C1192" t="s">
        <v>33</v>
      </c>
      <c r="D1192" t="s">
        <v>13</v>
      </c>
      <c r="E1192" t="s">
        <v>282</v>
      </c>
      <c r="F1192" t="s">
        <v>44</v>
      </c>
      <c r="G1192" t="s">
        <v>50</v>
      </c>
      <c r="H1192">
        <v>7</v>
      </c>
      <c r="I1192">
        <v>162.78</v>
      </c>
      <c r="J1192">
        <v>0.15</v>
      </c>
      <c r="K1192">
        <v>968.54</v>
      </c>
      <c r="M1192" t="str">
        <f t="shared" si="72"/>
        <v>Oct</v>
      </c>
      <c r="N1192">
        <f t="shared" si="73"/>
        <v>10</v>
      </c>
      <c r="O1192">
        <f t="shared" si="74"/>
        <v>968.54100000000005</v>
      </c>
      <c r="P1192" t="str">
        <f t="shared" si="75"/>
        <v>OK</v>
      </c>
    </row>
    <row r="1193" spans="1:16" x14ac:dyDescent="0.35">
      <c r="A1193" t="s">
        <v>1572</v>
      </c>
      <c r="B1193" s="3">
        <v>45548</v>
      </c>
      <c r="C1193" t="s">
        <v>41</v>
      </c>
      <c r="D1193" t="s">
        <v>13</v>
      </c>
      <c r="E1193" t="s">
        <v>85</v>
      </c>
      <c r="F1193" t="s">
        <v>15</v>
      </c>
      <c r="G1193" t="s">
        <v>111</v>
      </c>
      <c r="H1193">
        <v>2</v>
      </c>
      <c r="I1193">
        <v>128.69999999999999</v>
      </c>
      <c r="J1193">
        <v>0</v>
      </c>
      <c r="K1193">
        <v>257.39999999999998</v>
      </c>
      <c r="M1193" t="str">
        <f t="shared" si="72"/>
        <v>Sep</v>
      </c>
      <c r="N1193">
        <f t="shared" si="73"/>
        <v>9</v>
      </c>
      <c r="O1193">
        <f t="shared" si="74"/>
        <v>257.39999999999998</v>
      </c>
      <c r="P1193" t="str">
        <f t="shared" si="75"/>
        <v>OK</v>
      </c>
    </row>
    <row r="1194" spans="1:16" x14ac:dyDescent="0.35">
      <c r="A1194" t="s">
        <v>1574</v>
      </c>
      <c r="B1194" s="3">
        <v>45608</v>
      </c>
      <c r="C1194" t="s">
        <v>65</v>
      </c>
      <c r="D1194" t="s">
        <v>13</v>
      </c>
      <c r="E1194" t="s">
        <v>217</v>
      </c>
      <c r="F1194" t="s">
        <v>53</v>
      </c>
      <c r="G1194" t="s">
        <v>125</v>
      </c>
      <c r="H1194">
        <v>6</v>
      </c>
      <c r="I1194">
        <v>14.5</v>
      </c>
      <c r="J1194">
        <v>0.15</v>
      </c>
      <c r="K1194">
        <v>73.95</v>
      </c>
      <c r="M1194" t="str">
        <f t="shared" si="72"/>
        <v>Nov</v>
      </c>
      <c r="N1194">
        <f t="shared" si="73"/>
        <v>11</v>
      </c>
      <c r="O1194">
        <f t="shared" si="74"/>
        <v>73.95</v>
      </c>
      <c r="P1194" t="str">
        <f t="shared" si="75"/>
        <v>OK</v>
      </c>
    </row>
    <row r="1195" spans="1:16" x14ac:dyDescent="0.35">
      <c r="A1195" t="s">
        <v>1575</v>
      </c>
      <c r="B1195" s="3">
        <v>45314</v>
      </c>
      <c r="C1195" t="s">
        <v>18</v>
      </c>
      <c r="D1195" t="s">
        <v>42</v>
      </c>
      <c r="E1195" t="s">
        <v>133</v>
      </c>
      <c r="F1195" t="s">
        <v>53</v>
      </c>
      <c r="G1195" t="s">
        <v>104</v>
      </c>
      <c r="H1195">
        <v>9</v>
      </c>
      <c r="I1195">
        <v>119.44</v>
      </c>
      <c r="J1195">
        <v>0.15</v>
      </c>
      <c r="K1195">
        <v>913.72</v>
      </c>
      <c r="M1195" t="str">
        <f t="shared" si="72"/>
        <v>Jan</v>
      </c>
      <c r="N1195">
        <f t="shared" si="73"/>
        <v>1</v>
      </c>
      <c r="O1195">
        <f t="shared" si="74"/>
        <v>913.71600000000001</v>
      </c>
      <c r="P1195" t="str">
        <f t="shared" si="75"/>
        <v>OK</v>
      </c>
    </row>
    <row r="1196" spans="1:16" x14ac:dyDescent="0.35">
      <c r="A1196" t="s">
        <v>1576</v>
      </c>
      <c r="B1196" s="3">
        <v>45472</v>
      </c>
      <c r="C1196" t="s">
        <v>18</v>
      </c>
      <c r="D1196" t="s">
        <v>25</v>
      </c>
      <c r="E1196" t="s">
        <v>368</v>
      </c>
      <c r="F1196" t="s">
        <v>21</v>
      </c>
      <c r="G1196" t="s">
        <v>70</v>
      </c>
      <c r="H1196">
        <v>1</v>
      </c>
      <c r="I1196">
        <v>106.77</v>
      </c>
      <c r="J1196">
        <v>0</v>
      </c>
      <c r="K1196">
        <v>106.77</v>
      </c>
      <c r="M1196" t="str">
        <f t="shared" si="72"/>
        <v>Jun</v>
      </c>
      <c r="N1196">
        <f t="shared" si="73"/>
        <v>6</v>
      </c>
      <c r="O1196">
        <f t="shared" si="74"/>
        <v>106.77</v>
      </c>
      <c r="P1196" t="str">
        <f t="shared" si="75"/>
        <v>OK</v>
      </c>
    </row>
    <row r="1197" spans="1:16" x14ac:dyDescent="0.35">
      <c r="A1197" t="s">
        <v>1577</v>
      </c>
      <c r="B1197" s="3">
        <v>45431</v>
      </c>
      <c r="C1197" t="s">
        <v>33</v>
      </c>
      <c r="D1197" t="s">
        <v>19</v>
      </c>
      <c r="E1197" t="s">
        <v>30</v>
      </c>
      <c r="F1197" t="s">
        <v>35</v>
      </c>
      <c r="G1197" t="s">
        <v>177</v>
      </c>
      <c r="H1197">
        <v>8</v>
      </c>
      <c r="I1197">
        <v>11.06</v>
      </c>
      <c r="J1197">
        <v>0</v>
      </c>
      <c r="K1197">
        <v>88.48</v>
      </c>
      <c r="M1197" t="str">
        <f t="shared" si="72"/>
        <v>May</v>
      </c>
      <c r="N1197">
        <f t="shared" si="73"/>
        <v>5</v>
      </c>
      <c r="O1197">
        <f t="shared" si="74"/>
        <v>88.48</v>
      </c>
      <c r="P1197" t="str">
        <f t="shared" si="75"/>
        <v>OK</v>
      </c>
    </row>
    <row r="1198" spans="1:16" x14ac:dyDescent="0.35">
      <c r="A1198" t="s">
        <v>1578</v>
      </c>
      <c r="B1198" s="3">
        <v>45598</v>
      </c>
      <c r="C1198" t="s">
        <v>18</v>
      </c>
      <c r="D1198" t="s">
        <v>57</v>
      </c>
      <c r="E1198" t="s">
        <v>590</v>
      </c>
      <c r="F1198" t="s">
        <v>21</v>
      </c>
      <c r="G1198" t="s">
        <v>70</v>
      </c>
      <c r="H1198">
        <v>9</v>
      </c>
      <c r="I1198">
        <v>240.16</v>
      </c>
      <c r="J1198">
        <v>0.1</v>
      </c>
      <c r="K1198">
        <v>1945.3</v>
      </c>
      <c r="M1198" t="str">
        <f t="shared" si="72"/>
        <v>Nov</v>
      </c>
      <c r="N1198">
        <f t="shared" si="73"/>
        <v>11</v>
      </c>
      <c r="O1198">
        <f t="shared" si="74"/>
        <v>1945.296</v>
      </c>
      <c r="P1198" t="str">
        <f t="shared" si="75"/>
        <v>OK</v>
      </c>
    </row>
    <row r="1199" spans="1:16" x14ac:dyDescent="0.35">
      <c r="A1199" t="s">
        <v>1579</v>
      </c>
      <c r="B1199" s="3">
        <v>45467</v>
      </c>
      <c r="C1199" t="s">
        <v>33</v>
      </c>
      <c r="D1199" t="s">
        <v>19</v>
      </c>
      <c r="E1199" t="s">
        <v>193</v>
      </c>
      <c r="F1199" t="s">
        <v>21</v>
      </c>
      <c r="G1199" t="s">
        <v>194</v>
      </c>
      <c r="H1199">
        <v>12</v>
      </c>
      <c r="I1199">
        <v>57.1</v>
      </c>
      <c r="J1199">
        <v>0.05</v>
      </c>
      <c r="K1199">
        <v>650.94000000000005</v>
      </c>
      <c r="M1199" t="str">
        <f t="shared" si="72"/>
        <v>Jun</v>
      </c>
      <c r="N1199">
        <f t="shared" si="73"/>
        <v>6</v>
      </c>
      <c r="O1199">
        <f t="shared" si="74"/>
        <v>650.94000000000005</v>
      </c>
      <c r="P1199" t="str">
        <f t="shared" si="75"/>
        <v>OK</v>
      </c>
    </row>
    <row r="1200" spans="1:16" x14ac:dyDescent="0.35">
      <c r="A1200" t="s">
        <v>1580</v>
      </c>
      <c r="B1200" s="3">
        <v>45476</v>
      </c>
      <c r="C1200" t="s">
        <v>41</v>
      </c>
      <c r="D1200" t="s">
        <v>19</v>
      </c>
      <c r="E1200" t="s">
        <v>360</v>
      </c>
      <c r="F1200" t="s">
        <v>35</v>
      </c>
      <c r="G1200" t="s">
        <v>36</v>
      </c>
      <c r="H1200">
        <v>5</v>
      </c>
      <c r="I1200">
        <v>142.29</v>
      </c>
      <c r="J1200">
        <v>0</v>
      </c>
      <c r="K1200">
        <v>711.45</v>
      </c>
      <c r="M1200" t="str">
        <f t="shared" si="72"/>
        <v>Jul</v>
      </c>
      <c r="N1200">
        <f t="shared" si="73"/>
        <v>7</v>
      </c>
      <c r="O1200">
        <f t="shared" si="74"/>
        <v>711.44999999999993</v>
      </c>
      <c r="P1200" t="str">
        <f t="shared" si="75"/>
        <v>OK</v>
      </c>
    </row>
    <row r="1201" spans="1:16" x14ac:dyDescent="0.35">
      <c r="A1201" t="s">
        <v>1581</v>
      </c>
      <c r="B1201" s="3">
        <v>45598</v>
      </c>
      <c r="C1201" t="s">
        <v>65</v>
      </c>
      <c r="D1201" t="s">
        <v>42</v>
      </c>
      <c r="E1201" t="s">
        <v>547</v>
      </c>
      <c r="F1201" t="s">
        <v>44</v>
      </c>
      <c r="G1201" t="s">
        <v>94</v>
      </c>
      <c r="H1201">
        <v>5</v>
      </c>
      <c r="I1201">
        <v>6.88</v>
      </c>
      <c r="J1201">
        <v>0</v>
      </c>
      <c r="K1201">
        <v>34.4</v>
      </c>
      <c r="M1201" t="str">
        <f t="shared" si="72"/>
        <v>Nov</v>
      </c>
      <c r="N1201">
        <f t="shared" si="73"/>
        <v>11</v>
      </c>
      <c r="O1201">
        <f t="shared" si="74"/>
        <v>34.4</v>
      </c>
      <c r="P1201" t="str">
        <f t="shared" si="75"/>
        <v>OK</v>
      </c>
    </row>
    <row r="1202" spans="1:16" x14ac:dyDescent="0.35">
      <c r="A1202" t="s">
        <v>1582</v>
      </c>
      <c r="B1202" s="3">
        <v>45507</v>
      </c>
      <c r="C1202" t="s">
        <v>33</v>
      </c>
      <c r="D1202" t="s">
        <v>25</v>
      </c>
      <c r="E1202" t="s">
        <v>810</v>
      </c>
      <c r="F1202" t="s">
        <v>53</v>
      </c>
      <c r="G1202" t="s">
        <v>125</v>
      </c>
      <c r="H1202">
        <v>1</v>
      </c>
      <c r="I1202">
        <v>180.98</v>
      </c>
      <c r="J1202">
        <v>0</v>
      </c>
      <c r="K1202">
        <v>180.98</v>
      </c>
      <c r="M1202" t="str">
        <f t="shared" si="72"/>
        <v>Aug</v>
      </c>
      <c r="N1202">
        <f t="shared" si="73"/>
        <v>8</v>
      </c>
      <c r="O1202">
        <f t="shared" si="74"/>
        <v>180.98</v>
      </c>
      <c r="P1202" t="str">
        <f t="shared" si="75"/>
        <v>OK</v>
      </c>
    </row>
    <row r="1203" spans="1:16" x14ac:dyDescent="0.35">
      <c r="A1203" t="s">
        <v>1583</v>
      </c>
      <c r="B1203" s="3">
        <v>45599</v>
      </c>
      <c r="C1203" t="s">
        <v>65</v>
      </c>
      <c r="D1203" t="s">
        <v>57</v>
      </c>
      <c r="E1203" t="s">
        <v>547</v>
      </c>
      <c r="F1203" t="s">
        <v>35</v>
      </c>
      <c r="G1203" t="s">
        <v>67</v>
      </c>
      <c r="H1203">
        <v>2</v>
      </c>
      <c r="I1203">
        <v>211.28</v>
      </c>
      <c r="J1203">
        <v>0.1</v>
      </c>
      <c r="K1203">
        <v>380.3</v>
      </c>
      <c r="M1203" t="str">
        <f t="shared" si="72"/>
        <v>Nov</v>
      </c>
      <c r="N1203">
        <f t="shared" si="73"/>
        <v>11</v>
      </c>
      <c r="O1203">
        <f t="shared" si="74"/>
        <v>380.30400000000003</v>
      </c>
      <c r="P1203" t="str">
        <f t="shared" si="75"/>
        <v>OK</v>
      </c>
    </row>
    <row r="1204" spans="1:16" x14ac:dyDescent="0.35">
      <c r="A1204" t="s">
        <v>1584</v>
      </c>
      <c r="B1204" s="3">
        <v>45420</v>
      </c>
      <c r="C1204" t="s">
        <v>41</v>
      </c>
      <c r="D1204" t="s">
        <v>25</v>
      </c>
      <c r="E1204" t="s">
        <v>595</v>
      </c>
      <c r="F1204" t="s">
        <v>35</v>
      </c>
      <c r="G1204" t="s">
        <v>177</v>
      </c>
      <c r="H1204">
        <v>12</v>
      </c>
      <c r="I1204">
        <v>14.17</v>
      </c>
      <c r="J1204">
        <v>0</v>
      </c>
      <c r="K1204">
        <v>170.04</v>
      </c>
      <c r="M1204" t="str">
        <f t="shared" si="72"/>
        <v>May</v>
      </c>
      <c r="N1204">
        <f t="shared" si="73"/>
        <v>5</v>
      </c>
      <c r="O1204">
        <f t="shared" si="74"/>
        <v>170.04</v>
      </c>
      <c r="P1204" t="str">
        <f t="shared" si="75"/>
        <v>OK</v>
      </c>
    </row>
    <row r="1205" spans="1:16" x14ac:dyDescent="0.35">
      <c r="A1205" t="s">
        <v>1585</v>
      </c>
      <c r="B1205" s="3">
        <v>45353</v>
      </c>
      <c r="C1205" t="s">
        <v>18</v>
      </c>
      <c r="D1205" t="s">
        <v>25</v>
      </c>
      <c r="E1205" t="s">
        <v>385</v>
      </c>
      <c r="F1205" t="s">
        <v>53</v>
      </c>
      <c r="G1205" t="s">
        <v>104</v>
      </c>
      <c r="H1205">
        <v>9</v>
      </c>
      <c r="I1205">
        <v>155.38999999999999</v>
      </c>
      <c r="J1205">
        <v>0.05</v>
      </c>
      <c r="K1205">
        <v>1328.58</v>
      </c>
      <c r="M1205" t="str">
        <f t="shared" si="72"/>
        <v>Mar</v>
      </c>
      <c r="N1205">
        <f t="shared" si="73"/>
        <v>3</v>
      </c>
      <c r="O1205">
        <f t="shared" si="74"/>
        <v>1328.5844999999997</v>
      </c>
      <c r="P1205" t="str">
        <f t="shared" si="75"/>
        <v>OK</v>
      </c>
    </row>
    <row r="1206" spans="1:16" x14ac:dyDescent="0.35">
      <c r="A1206" t="s">
        <v>1586</v>
      </c>
      <c r="B1206" s="3">
        <v>45457</v>
      </c>
      <c r="C1206" t="s">
        <v>41</v>
      </c>
      <c r="D1206" t="s">
        <v>19</v>
      </c>
      <c r="E1206" t="s">
        <v>282</v>
      </c>
      <c r="F1206" t="s">
        <v>53</v>
      </c>
      <c r="G1206" t="s">
        <v>54</v>
      </c>
      <c r="H1206">
        <v>7</v>
      </c>
      <c r="I1206">
        <v>242.7</v>
      </c>
      <c r="J1206">
        <v>0.1</v>
      </c>
      <c r="K1206">
        <v>1529.01</v>
      </c>
      <c r="M1206" t="str">
        <f t="shared" si="72"/>
        <v>Jun</v>
      </c>
      <c r="N1206">
        <f t="shared" si="73"/>
        <v>6</v>
      </c>
      <c r="O1206">
        <f t="shared" si="74"/>
        <v>1529.01</v>
      </c>
      <c r="P1206" t="str">
        <f t="shared" si="75"/>
        <v>OK</v>
      </c>
    </row>
    <row r="1207" spans="1:16" x14ac:dyDescent="0.35">
      <c r="A1207" t="s">
        <v>1587</v>
      </c>
      <c r="B1207" s="3">
        <v>45383</v>
      </c>
      <c r="C1207" t="s">
        <v>24</v>
      </c>
      <c r="D1207" t="s">
        <v>19</v>
      </c>
      <c r="E1207" t="s">
        <v>693</v>
      </c>
      <c r="F1207" t="s">
        <v>53</v>
      </c>
      <c r="G1207" t="s">
        <v>59</v>
      </c>
      <c r="H1207">
        <v>8</v>
      </c>
      <c r="I1207">
        <v>118.37</v>
      </c>
      <c r="J1207">
        <v>0</v>
      </c>
      <c r="K1207">
        <v>946.96</v>
      </c>
      <c r="M1207" t="str">
        <f t="shared" si="72"/>
        <v>Apr</v>
      </c>
      <c r="N1207">
        <f t="shared" si="73"/>
        <v>4</v>
      </c>
      <c r="O1207">
        <f t="shared" si="74"/>
        <v>946.96</v>
      </c>
      <c r="P1207" t="str">
        <f t="shared" si="75"/>
        <v>OK</v>
      </c>
    </row>
    <row r="1208" spans="1:16" x14ac:dyDescent="0.35">
      <c r="A1208" t="s">
        <v>1588</v>
      </c>
      <c r="B1208" s="3">
        <v>45644</v>
      </c>
      <c r="C1208" t="s">
        <v>18</v>
      </c>
      <c r="D1208" t="s">
        <v>57</v>
      </c>
      <c r="E1208" t="s">
        <v>272</v>
      </c>
      <c r="F1208" t="s">
        <v>15</v>
      </c>
      <c r="G1208" t="s">
        <v>27</v>
      </c>
      <c r="H1208">
        <v>5</v>
      </c>
      <c r="I1208">
        <v>236.69</v>
      </c>
      <c r="J1208">
        <v>0.15</v>
      </c>
      <c r="K1208">
        <v>1005.93</v>
      </c>
      <c r="M1208" t="str">
        <f t="shared" si="72"/>
        <v>Dec</v>
      </c>
      <c r="N1208">
        <f t="shared" si="73"/>
        <v>12</v>
      </c>
      <c r="O1208">
        <f t="shared" si="74"/>
        <v>1005.9325</v>
      </c>
      <c r="P1208" t="str">
        <f t="shared" si="75"/>
        <v>OK</v>
      </c>
    </row>
    <row r="1209" spans="1:16" x14ac:dyDescent="0.35">
      <c r="A1209" t="s">
        <v>1589</v>
      </c>
      <c r="B1209" s="3">
        <v>45319</v>
      </c>
      <c r="C1209" t="s">
        <v>33</v>
      </c>
      <c r="D1209" t="s">
        <v>13</v>
      </c>
      <c r="E1209" t="s">
        <v>62</v>
      </c>
      <c r="F1209" t="s">
        <v>44</v>
      </c>
      <c r="G1209" t="s">
        <v>86</v>
      </c>
      <c r="H1209">
        <v>3</v>
      </c>
      <c r="I1209">
        <v>53.98</v>
      </c>
      <c r="J1209">
        <v>0</v>
      </c>
      <c r="K1209">
        <v>161.94</v>
      </c>
      <c r="M1209" t="str">
        <f t="shared" si="72"/>
        <v>Jan</v>
      </c>
      <c r="N1209">
        <f t="shared" si="73"/>
        <v>1</v>
      </c>
      <c r="O1209">
        <f t="shared" si="74"/>
        <v>161.94</v>
      </c>
      <c r="P1209" t="str">
        <f t="shared" si="75"/>
        <v>OK</v>
      </c>
    </row>
    <row r="1210" spans="1:16" x14ac:dyDescent="0.35">
      <c r="A1210" t="s">
        <v>1590</v>
      </c>
      <c r="B1210" s="3">
        <v>45416</v>
      </c>
      <c r="C1210" t="s">
        <v>24</v>
      </c>
      <c r="D1210" t="s">
        <v>13</v>
      </c>
      <c r="E1210" t="s">
        <v>62</v>
      </c>
      <c r="F1210" t="s">
        <v>44</v>
      </c>
      <c r="G1210" t="s">
        <v>45</v>
      </c>
      <c r="H1210">
        <v>7</v>
      </c>
      <c r="I1210">
        <v>68.23</v>
      </c>
      <c r="J1210">
        <v>0.05</v>
      </c>
      <c r="K1210">
        <v>453.73</v>
      </c>
      <c r="M1210" t="str">
        <f t="shared" si="72"/>
        <v>May</v>
      </c>
      <c r="N1210">
        <f t="shared" si="73"/>
        <v>5</v>
      </c>
      <c r="O1210">
        <f t="shared" si="74"/>
        <v>453.72949999999997</v>
      </c>
      <c r="P1210" t="str">
        <f t="shared" si="75"/>
        <v>OK</v>
      </c>
    </row>
    <row r="1211" spans="1:16" x14ac:dyDescent="0.35">
      <c r="A1211" t="s">
        <v>1591</v>
      </c>
      <c r="B1211" s="3">
        <v>45598</v>
      </c>
      <c r="C1211" t="s">
        <v>41</v>
      </c>
      <c r="D1211" t="s">
        <v>13</v>
      </c>
      <c r="E1211" t="s">
        <v>858</v>
      </c>
      <c r="F1211" t="s">
        <v>44</v>
      </c>
      <c r="G1211" t="s">
        <v>86</v>
      </c>
      <c r="H1211">
        <v>2</v>
      </c>
      <c r="I1211">
        <v>27.47</v>
      </c>
      <c r="J1211">
        <v>0</v>
      </c>
      <c r="K1211">
        <v>54.94</v>
      </c>
      <c r="M1211" t="str">
        <f t="shared" si="72"/>
        <v>Nov</v>
      </c>
      <c r="N1211">
        <f t="shared" si="73"/>
        <v>11</v>
      </c>
      <c r="O1211">
        <f t="shared" si="74"/>
        <v>54.94</v>
      </c>
      <c r="P1211" t="str">
        <f t="shared" si="75"/>
        <v>OK</v>
      </c>
    </row>
    <row r="1212" spans="1:16" x14ac:dyDescent="0.35">
      <c r="A1212" t="s">
        <v>1593</v>
      </c>
      <c r="B1212" s="3">
        <v>45400</v>
      </c>
      <c r="C1212" t="s">
        <v>18</v>
      </c>
      <c r="D1212" t="s">
        <v>57</v>
      </c>
      <c r="E1212" t="s">
        <v>638</v>
      </c>
      <c r="F1212" t="s">
        <v>15</v>
      </c>
      <c r="G1212" t="s">
        <v>16</v>
      </c>
      <c r="H1212">
        <v>11</v>
      </c>
      <c r="I1212">
        <v>238.4</v>
      </c>
      <c r="J1212">
        <v>0.05</v>
      </c>
      <c r="K1212">
        <v>2491.2800000000002</v>
      </c>
      <c r="M1212" t="str">
        <f t="shared" si="72"/>
        <v>Apr</v>
      </c>
      <c r="N1212">
        <f t="shared" si="73"/>
        <v>4</v>
      </c>
      <c r="O1212">
        <f t="shared" si="74"/>
        <v>2491.2799999999997</v>
      </c>
      <c r="P1212" t="str">
        <f t="shared" si="75"/>
        <v>OK</v>
      </c>
    </row>
    <row r="1213" spans="1:16" x14ac:dyDescent="0.35">
      <c r="A1213" t="s">
        <v>1594</v>
      </c>
      <c r="B1213" s="3">
        <v>45383</v>
      </c>
      <c r="C1213" t="s">
        <v>18</v>
      </c>
      <c r="D1213" t="s">
        <v>57</v>
      </c>
      <c r="E1213" t="s">
        <v>595</v>
      </c>
      <c r="F1213" t="s">
        <v>53</v>
      </c>
      <c r="G1213" t="s">
        <v>54</v>
      </c>
      <c r="H1213">
        <v>10</v>
      </c>
      <c r="I1213">
        <v>178.15</v>
      </c>
      <c r="J1213">
        <v>0</v>
      </c>
      <c r="K1213">
        <v>1781.5</v>
      </c>
      <c r="M1213" t="str">
        <f t="shared" si="72"/>
        <v>Apr</v>
      </c>
      <c r="N1213">
        <f t="shared" si="73"/>
        <v>4</v>
      </c>
      <c r="O1213">
        <f t="shared" si="74"/>
        <v>1781.5</v>
      </c>
      <c r="P1213" t="str">
        <f t="shared" si="75"/>
        <v>OK</v>
      </c>
    </row>
    <row r="1214" spans="1:16" x14ac:dyDescent="0.35">
      <c r="A1214" t="s">
        <v>1595</v>
      </c>
      <c r="B1214" s="3">
        <v>45483</v>
      </c>
      <c r="C1214" t="s">
        <v>18</v>
      </c>
      <c r="D1214" t="s">
        <v>25</v>
      </c>
      <c r="E1214" t="s">
        <v>720</v>
      </c>
      <c r="F1214" t="s">
        <v>21</v>
      </c>
      <c r="G1214" t="s">
        <v>129</v>
      </c>
      <c r="H1214">
        <v>7</v>
      </c>
      <c r="I1214">
        <v>104.12</v>
      </c>
      <c r="J1214">
        <v>0.05</v>
      </c>
      <c r="K1214">
        <v>692.4</v>
      </c>
      <c r="M1214" t="str">
        <f t="shared" si="72"/>
        <v>Jul</v>
      </c>
      <c r="N1214">
        <f t="shared" si="73"/>
        <v>7</v>
      </c>
      <c r="O1214">
        <f t="shared" si="74"/>
        <v>692.39800000000002</v>
      </c>
      <c r="P1214" t="str">
        <f t="shared" si="75"/>
        <v>OK</v>
      </c>
    </row>
    <row r="1215" spans="1:16" x14ac:dyDescent="0.35">
      <c r="A1215" t="s">
        <v>1596</v>
      </c>
      <c r="B1215" s="3">
        <v>45338</v>
      </c>
      <c r="C1215" t="s">
        <v>18</v>
      </c>
      <c r="D1215" t="s">
        <v>19</v>
      </c>
      <c r="E1215" t="s">
        <v>437</v>
      </c>
      <c r="F1215" t="s">
        <v>21</v>
      </c>
      <c r="G1215" t="s">
        <v>167</v>
      </c>
      <c r="H1215">
        <v>9</v>
      </c>
      <c r="I1215">
        <v>44.66</v>
      </c>
      <c r="J1215">
        <v>0</v>
      </c>
      <c r="K1215">
        <v>401.94</v>
      </c>
      <c r="M1215" t="str">
        <f t="shared" si="72"/>
        <v>Feb</v>
      </c>
      <c r="N1215">
        <f t="shared" si="73"/>
        <v>2</v>
      </c>
      <c r="O1215">
        <f t="shared" si="74"/>
        <v>401.93999999999994</v>
      </c>
      <c r="P1215" t="str">
        <f t="shared" si="75"/>
        <v>OK</v>
      </c>
    </row>
    <row r="1216" spans="1:16" x14ac:dyDescent="0.35">
      <c r="A1216" t="s">
        <v>1597</v>
      </c>
      <c r="B1216" s="3">
        <v>45331</v>
      </c>
      <c r="C1216" t="s">
        <v>41</v>
      </c>
      <c r="D1216" t="s">
        <v>19</v>
      </c>
      <c r="E1216" t="s">
        <v>370</v>
      </c>
      <c r="F1216" t="s">
        <v>15</v>
      </c>
      <c r="G1216" t="s">
        <v>74</v>
      </c>
      <c r="H1216">
        <v>10</v>
      </c>
      <c r="I1216">
        <v>46.29</v>
      </c>
      <c r="J1216">
        <v>0.15</v>
      </c>
      <c r="K1216">
        <v>393.46</v>
      </c>
      <c r="M1216" t="str">
        <f t="shared" si="72"/>
        <v>Feb</v>
      </c>
      <c r="N1216">
        <f t="shared" si="73"/>
        <v>2</v>
      </c>
      <c r="O1216">
        <f t="shared" si="74"/>
        <v>393.46499999999997</v>
      </c>
      <c r="P1216" t="str">
        <f t="shared" si="75"/>
        <v>MISMATCH</v>
      </c>
    </row>
    <row r="1217" spans="1:16" x14ac:dyDescent="0.35">
      <c r="A1217" t="s">
        <v>1598</v>
      </c>
      <c r="B1217" s="3">
        <v>45410</v>
      </c>
      <c r="C1217" t="s">
        <v>33</v>
      </c>
      <c r="D1217" t="s">
        <v>42</v>
      </c>
      <c r="E1217" t="s">
        <v>313</v>
      </c>
      <c r="F1217" t="s">
        <v>35</v>
      </c>
      <c r="G1217" t="s">
        <v>83</v>
      </c>
      <c r="H1217">
        <v>9</v>
      </c>
      <c r="I1217">
        <v>219.78</v>
      </c>
      <c r="J1217">
        <v>0</v>
      </c>
      <c r="K1217">
        <v>1978.02</v>
      </c>
      <c r="M1217" t="str">
        <f t="shared" si="72"/>
        <v>Apr</v>
      </c>
      <c r="N1217">
        <f t="shared" si="73"/>
        <v>4</v>
      </c>
      <c r="O1217">
        <f t="shared" si="74"/>
        <v>1978.02</v>
      </c>
      <c r="P1217" t="str">
        <f t="shared" si="75"/>
        <v>OK</v>
      </c>
    </row>
    <row r="1218" spans="1:16" x14ac:dyDescent="0.35">
      <c r="A1218" t="s">
        <v>1599</v>
      </c>
      <c r="B1218" s="3">
        <v>45307</v>
      </c>
      <c r="C1218" t="s">
        <v>65</v>
      </c>
      <c r="D1218" t="s">
        <v>13</v>
      </c>
      <c r="E1218" t="s">
        <v>679</v>
      </c>
      <c r="F1218" t="s">
        <v>21</v>
      </c>
      <c r="G1218" t="s">
        <v>129</v>
      </c>
      <c r="H1218">
        <v>6</v>
      </c>
      <c r="I1218">
        <v>183.52</v>
      </c>
      <c r="J1218">
        <v>0</v>
      </c>
      <c r="K1218">
        <v>1101.1199999999999</v>
      </c>
      <c r="M1218" t="str">
        <f t="shared" si="72"/>
        <v>Jan</v>
      </c>
      <c r="N1218">
        <f t="shared" si="73"/>
        <v>1</v>
      </c>
      <c r="O1218">
        <f t="shared" si="74"/>
        <v>1101.1200000000001</v>
      </c>
      <c r="P1218" t="str">
        <f t="shared" si="75"/>
        <v>OK</v>
      </c>
    </row>
    <row r="1219" spans="1:16" x14ac:dyDescent="0.35">
      <c r="A1219" t="s">
        <v>1600</v>
      </c>
      <c r="B1219" s="3">
        <v>45405</v>
      </c>
      <c r="C1219" t="s">
        <v>33</v>
      </c>
      <c r="D1219" t="s">
        <v>13</v>
      </c>
      <c r="E1219" t="s">
        <v>659</v>
      </c>
      <c r="F1219" t="s">
        <v>35</v>
      </c>
      <c r="G1219" t="s">
        <v>177</v>
      </c>
      <c r="H1219">
        <v>1</v>
      </c>
      <c r="I1219">
        <v>109.39</v>
      </c>
      <c r="J1219">
        <v>0.1</v>
      </c>
      <c r="K1219">
        <v>98.45</v>
      </c>
      <c r="M1219" t="str">
        <f t="shared" ref="M1219:M1282" si="76">TEXT(B1219,"mmm")</f>
        <v>Apr</v>
      </c>
      <c r="N1219">
        <f t="shared" ref="N1219:N1282" si="77">MONTH(B1219)</f>
        <v>4</v>
      </c>
      <c r="O1219">
        <f t="shared" ref="O1219:O1282" si="78">H1219*I1219*(1-J1219)</f>
        <v>98.451000000000008</v>
      </c>
      <c r="P1219" t="str">
        <f t="shared" ref="P1219:P1282" si="79">IF(ROUND(K1219,2)=ROUND(O1219,2),"OK","MISMATCH")</f>
        <v>OK</v>
      </c>
    </row>
    <row r="1220" spans="1:16" x14ac:dyDescent="0.35">
      <c r="A1220" t="s">
        <v>1601</v>
      </c>
      <c r="B1220" s="3">
        <v>45510</v>
      </c>
      <c r="C1220" t="s">
        <v>18</v>
      </c>
      <c r="D1220" t="s">
        <v>25</v>
      </c>
      <c r="E1220" t="s">
        <v>484</v>
      </c>
      <c r="F1220" t="s">
        <v>15</v>
      </c>
      <c r="G1220" t="s">
        <v>16</v>
      </c>
      <c r="H1220">
        <v>12</v>
      </c>
      <c r="I1220">
        <v>199.55</v>
      </c>
      <c r="J1220">
        <v>0.05</v>
      </c>
      <c r="K1220">
        <v>2274.87</v>
      </c>
      <c r="M1220" t="str">
        <f t="shared" si="76"/>
        <v>Aug</v>
      </c>
      <c r="N1220">
        <f t="shared" si="77"/>
        <v>8</v>
      </c>
      <c r="O1220">
        <f t="shared" si="78"/>
        <v>2274.8700000000003</v>
      </c>
      <c r="P1220" t="str">
        <f t="shared" si="79"/>
        <v>OK</v>
      </c>
    </row>
    <row r="1221" spans="1:16" x14ac:dyDescent="0.35">
      <c r="A1221" t="s">
        <v>1603</v>
      </c>
      <c r="B1221" s="3">
        <v>45325</v>
      </c>
      <c r="C1221" t="s">
        <v>41</v>
      </c>
      <c r="D1221" t="s">
        <v>19</v>
      </c>
      <c r="E1221" t="s">
        <v>448</v>
      </c>
      <c r="F1221" t="s">
        <v>53</v>
      </c>
      <c r="G1221" t="s">
        <v>54</v>
      </c>
      <c r="H1221">
        <v>6</v>
      </c>
      <c r="I1221">
        <v>49.37</v>
      </c>
      <c r="J1221">
        <v>0</v>
      </c>
      <c r="K1221">
        <v>296.22000000000003</v>
      </c>
      <c r="M1221" t="str">
        <f t="shared" si="76"/>
        <v>Feb</v>
      </c>
      <c r="N1221">
        <f t="shared" si="77"/>
        <v>2</v>
      </c>
      <c r="O1221">
        <f t="shared" si="78"/>
        <v>296.21999999999997</v>
      </c>
      <c r="P1221" t="str">
        <f t="shared" si="79"/>
        <v>OK</v>
      </c>
    </row>
    <row r="1222" spans="1:16" x14ac:dyDescent="0.35">
      <c r="A1222" t="s">
        <v>1604</v>
      </c>
      <c r="B1222" s="3">
        <v>45490</v>
      </c>
      <c r="C1222" t="s">
        <v>24</v>
      </c>
      <c r="D1222" t="s">
        <v>13</v>
      </c>
      <c r="E1222" t="s">
        <v>282</v>
      </c>
      <c r="F1222" t="s">
        <v>53</v>
      </c>
      <c r="G1222" t="s">
        <v>59</v>
      </c>
      <c r="H1222">
        <v>5</v>
      </c>
      <c r="I1222">
        <v>138.6</v>
      </c>
      <c r="J1222">
        <v>0.15</v>
      </c>
      <c r="K1222">
        <v>589.04999999999995</v>
      </c>
      <c r="M1222" t="str">
        <f t="shared" si="76"/>
        <v>Jul</v>
      </c>
      <c r="N1222">
        <f t="shared" si="77"/>
        <v>7</v>
      </c>
      <c r="O1222">
        <f t="shared" si="78"/>
        <v>589.04999999999995</v>
      </c>
      <c r="P1222" t="str">
        <f t="shared" si="79"/>
        <v>OK</v>
      </c>
    </row>
    <row r="1223" spans="1:16" x14ac:dyDescent="0.35">
      <c r="A1223" t="s">
        <v>1605</v>
      </c>
      <c r="B1223" s="3">
        <v>45388</v>
      </c>
      <c r="C1223" t="s">
        <v>65</v>
      </c>
      <c r="D1223" t="s">
        <v>25</v>
      </c>
      <c r="E1223" t="s">
        <v>368</v>
      </c>
      <c r="F1223" t="s">
        <v>15</v>
      </c>
      <c r="G1223" t="s">
        <v>111</v>
      </c>
      <c r="H1223">
        <v>3</v>
      </c>
      <c r="I1223">
        <v>137.82</v>
      </c>
      <c r="J1223">
        <v>0.05</v>
      </c>
      <c r="K1223">
        <v>392.79</v>
      </c>
      <c r="M1223" t="str">
        <f t="shared" si="76"/>
        <v>Apr</v>
      </c>
      <c r="N1223">
        <f t="shared" si="77"/>
        <v>4</v>
      </c>
      <c r="O1223">
        <f t="shared" si="78"/>
        <v>392.78699999999998</v>
      </c>
      <c r="P1223" t="str">
        <f t="shared" si="79"/>
        <v>OK</v>
      </c>
    </row>
    <row r="1224" spans="1:16" x14ac:dyDescent="0.35">
      <c r="A1224" t="s">
        <v>1606</v>
      </c>
      <c r="B1224" s="3">
        <v>45339</v>
      </c>
      <c r="C1224" t="s">
        <v>33</v>
      </c>
      <c r="D1224" t="s">
        <v>42</v>
      </c>
      <c r="E1224" t="s">
        <v>454</v>
      </c>
      <c r="F1224" t="s">
        <v>15</v>
      </c>
      <c r="G1224" t="s">
        <v>111</v>
      </c>
      <c r="H1224">
        <v>8</v>
      </c>
      <c r="I1224">
        <v>130.77000000000001</v>
      </c>
      <c r="J1224">
        <v>0.15</v>
      </c>
      <c r="K1224">
        <v>889.24</v>
      </c>
      <c r="M1224" t="str">
        <f t="shared" si="76"/>
        <v>Feb</v>
      </c>
      <c r="N1224">
        <f t="shared" si="77"/>
        <v>2</v>
      </c>
      <c r="O1224">
        <f t="shared" si="78"/>
        <v>889.23599999999999</v>
      </c>
      <c r="P1224" t="str">
        <f t="shared" si="79"/>
        <v>OK</v>
      </c>
    </row>
    <row r="1225" spans="1:16" x14ac:dyDescent="0.35">
      <c r="A1225" t="s">
        <v>1607</v>
      </c>
      <c r="B1225" s="3">
        <v>45319</v>
      </c>
      <c r="C1225" t="s">
        <v>41</v>
      </c>
      <c r="D1225" t="s">
        <v>25</v>
      </c>
      <c r="E1225" t="s">
        <v>288</v>
      </c>
      <c r="F1225" t="s">
        <v>15</v>
      </c>
      <c r="G1225" t="s">
        <v>147</v>
      </c>
      <c r="H1225">
        <v>12</v>
      </c>
      <c r="I1225">
        <v>201.36</v>
      </c>
      <c r="J1225">
        <v>0.15</v>
      </c>
      <c r="K1225">
        <v>2053.87</v>
      </c>
      <c r="M1225" t="str">
        <f t="shared" si="76"/>
        <v>Jan</v>
      </c>
      <c r="N1225">
        <f t="shared" si="77"/>
        <v>1</v>
      </c>
      <c r="O1225">
        <f t="shared" si="78"/>
        <v>2053.8720000000003</v>
      </c>
      <c r="P1225" t="str">
        <f t="shared" si="79"/>
        <v>OK</v>
      </c>
    </row>
    <row r="1226" spans="1:16" x14ac:dyDescent="0.35">
      <c r="A1226" t="s">
        <v>1608</v>
      </c>
      <c r="B1226" s="3">
        <v>45402</v>
      </c>
      <c r="C1226" t="s">
        <v>18</v>
      </c>
      <c r="D1226" t="s">
        <v>2216</v>
      </c>
      <c r="E1226" t="s">
        <v>470</v>
      </c>
      <c r="F1226" t="s">
        <v>15</v>
      </c>
      <c r="G1226" t="s">
        <v>111</v>
      </c>
      <c r="H1226">
        <v>1</v>
      </c>
      <c r="I1226">
        <v>208.53</v>
      </c>
      <c r="J1226">
        <v>0.15</v>
      </c>
      <c r="K1226">
        <v>177.25</v>
      </c>
      <c r="M1226" t="str">
        <f t="shared" si="76"/>
        <v>Apr</v>
      </c>
      <c r="N1226">
        <f t="shared" si="77"/>
        <v>4</v>
      </c>
      <c r="O1226">
        <f t="shared" si="78"/>
        <v>177.25049999999999</v>
      </c>
      <c r="P1226" t="str">
        <f t="shared" si="79"/>
        <v>OK</v>
      </c>
    </row>
    <row r="1227" spans="1:16" x14ac:dyDescent="0.35">
      <c r="A1227" t="s">
        <v>1609</v>
      </c>
      <c r="B1227" s="3">
        <v>45586</v>
      </c>
      <c r="C1227" t="s">
        <v>24</v>
      </c>
      <c r="D1227" t="s">
        <v>42</v>
      </c>
      <c r="E1227" t="s">
        <v>14</v>
      </c>
      <c r="F1227" t="s">
        <v>21</v>
      </c>
      <c r="G1227" t="s">
        <v>194</v>
      </c>
      <c r="H1227">
        <v>5</v>
      </c>
      <c r="I1227">
        <v>84.84</v>
      </c>
      <c r="J1227">
        <v>0.05</v>
      </c>
      <c r="K1227">
        <v>402.99</v>
      </c>
      <c r="M1227" t="str">
        <f t="shared" si="76"/>
        <v>Oct</v>
      </c>
      <c r="N1227">
        <f t="shared" si="77"/>
        <v>10</v>
      </c>
      <c r="O1227">
        <f t="shared" si="78"/>
        <v>402.99</v>
      </c>
      <c r="P1227" t="str">
        <f t="shared" si="79"/>
        <v>OK</v>
      </c>
    </row>
    <row r="1228" spans="1:16" x14ac:dyDescent="0.35">
      <c r="A1228" t="s">
        <v>1610</v>
      </c>
      <c r="B1228" s="3">
        <v>45401</v>
      </c>
      <c r="C1228" t="s">
        <v>18</v>
      </c>
      <c r="D1228" t="s">
        <v>42</v>
      </c>
      <c r="E1228" t="s">
        <v>360</v>
      </c>
      <c r="F1228" t="s">
        <v>53</v>
      </c>
      <c r="G1228" t="s">
        <v>59</v>
      </c>
      <c r="H1228">
        <v>3</v>
      </c>
      <c r="I1228">
        <v>98.7</v>
      </c>
      <c r="J1228">
        <v>0.15</v>
      </c>
      <c r="K1228">
        <v>251.69</v>
      </c>
      <c r="M1228" t="str">
        <f t="shared" si="76"/>
        <v>Apr</v>
      </c>
      <c r="N1228">
        <f t="shared" si="77"/>
        <v>4</v>
      </c>
      <c r="O1228">
        <f t="shared" si="78"/>
        <v>251.685</v>
      </c>
      <c r="P1228" t="str">
        <f t="shared" si="79"/>
        <v>OK</v>
      </c>
    </row>
    <row r="1229" spans="1:16" x14ac:dyDescent="0.35">
      <c r="A1229" t="s">
        <v>1612</v>
      </c>
      <c r="B1229" s="3">
        <v>45420</v>
      </c>
      <c r="C1229" t="s">
        <v>18</v>
      </c>
      <c r="D1229" t="s">
        <v>19</v>
      </c>
      <c r="E1229" t="s">
        <v>842</v>
      </c>
      <c r="F1229" t="s">
        <v>53</v>
      </c>
      <c r="G1229" t="s">
        <v>63</v>
      </c>
      <c r="H1229">
        <v>5</v>
      </c>
      <c r="I1229">
        <v>107.81</v>
      </c>
      <c r="J1229">
        <v>0</v>
      </c>
      <c r="K1229">
        <v>539.04999999999995</v>
      </c>
      <c r="M1229" t="str">
        <f t="shared" si="76"/>
        <v>May</v>
      </c>
      <c r="N1229">
        <f t="shared" si="77"/>
        <v>5</v>
      </c>
      <c r="O1229">
        <f t="shared" si="78"/>
        <v>539.04999999999995</v>
      </c>
      <c r="P1229" t="str">
        <f t="shared" si="79"/>
        <v>OK</v>
      </c>
    </row>
    <row r="1230" spans="1:16" x14ac:dyDescent="0.35">
      <c r="A1230" t="s">
        <v>1613</v>
      </c>
      <c r="B1230" s="3">
        <v>45607</v>
      </c>
      <c r="C1230" t="s">
        <v>65</v>
      </c>
      <c r="D1230" t="s">
        <v>42</v>
      </c>
      <c r="E1230" t="s">
        <v>388</v>
      </c>
      <c r="F1230" t="s">
        <v>21</v>
      </c>
      <c r="G1230" t="s">
        <v>129</v>
      </c>
      <c r="H1230">
        <v>8</v>
      </c>
      <c r="I1230">
        <v>173.53</v>
      </c>
      <c r="J1230">
        <v>0</v>
      </c>
      <c r="K1230">
        <v>1388.24</v>
      </c>
      <c r="M1230" t="str">
        <f t="shared" si="76"/>
        <v>Nov</v>
      </c>
      <c r="N1230">
        <f t="shared" si="77"/>
        <v>11</v>
      </c>
      <c r="O1230">
        <f t="shared" si="78"/>
        <v>1388.24</v>
      </c>
      <c r="P1230" t="str">
        <f t="shared" si="79"/>
        <v>OK</v>
      </c>
    </row>
    <row r="1231" spans="1:16" x14ac:dyDescent="0.35">
      <c r="A1231" t="s">
        <v>1614</v>
      </c>
      <c r="B1231" s="3">
        <v>45567</v>
      </c>
      <c r="C1231" t="s">
        <v>65</v>
      </c>
      <c r="D1231" t="s">
        <v>25</v>
      </c>
      <c r="E1231" t="s">
        <v>282</v>
      </c>
      <c r="F1231" t="s">
        <v>44</v>
      </c>
      <c r="G1231" t="s">
        <v>45</v>
      </c>
      <c r="H1231">
        <v>6</v>
      </c>
      <c r="I1231">
        <v>68.62</v>
      </c>
      <c r="J1231">
        <v>0.1</v>
      </c>
      <c r="K1231">
        <v>370.55</v>
      </c>
      <c r="M1231" t="str">
        <f t="shared" si="76"/>
        <v>Oct</v>
      </c>
      <c r="N1231">
        <f t="shared" si="77"/>
        <v>10</v>
      </c>
      <c r="O1231">
        <f t="shared" si="78"/>
        <v>370.54800000000006</v>
      </c>
      <c r="P1231" t="str">
        <f t="shared" si="79"/>
        <v>OK</v>
      </c>
    </row>
    <row r="1232" spans="1:16" x14ac:dyDescent="0.35">
      <c r="A1232" t="s">
        <v>1615</v>
      </c>
      <c r="B1232" s="3">
        <v>45372</v>
      </c>
      <c r="C1232" t="s">
        <v>18</v>
      </c>
      <c r="D1232" t="s">
        <v>19</v>
      </c>
      <c r="E1232" t="s">
        <v>332</v>
      </c>
      <c r="F1232" t="s">
        <v>53</v>
      </c>
      <c r="G1232" t="s">
        <v>63</v>
      </c>
      <c r="H1232">
        <v>11</v>
      </c>
      <c r="I1232">
        <v>72.650000000000006</v>
      </c>
      <c r="J1232">
        <v>0.15</v>
      </c>
      <c r="K1232">
        <v>679.28</v>
      </c>
      <c r="M1232" t="str">
        <f t="shared" si="76"/>
        <v>Mar</v>
      </c>
      <c r="N1232">
        <f t="shared" si="77"/>
        <v>3</v>
      </c>
      <c r="O1232">
        <f t="shared" si="78"/>
        <v>679.27750000000003</v>
      </c>
      <c r="P1232" t="str">
        <f t="shared" si="79"/>
        <v>OK</v>
      </c>
    </row>
    <row r="1233" spans="1:16" x14ac:dyDescent="0.35">
      <c r="A1233" t="s">
        <v>1616</v>
      </c>
      <c r="B1233" s="3">
        <v>45649</v>
      </c>
      <c r="C1233" t="s">
        <v>33</v>
      </c>
      <c r="D1233" t="s">
        <v>42</v>
      </c>
      <c r="E1233" t="s">
        <v>731</v>
      </c>
      <c r="F1233" t="s">
        <v>35</v>
      </c>
      <c r="G1233" t="s">
        <v>67</v>
      </c>
      <c r="H1233">
        <v>3</v>
      </c>
      <c r="I1233">
        <v>63.73</v>
      </c>
      <c r="J1233">
        <v>0</v>
      </c>
      <c r="K1233">
        <v>191.19</v>
      </c>
      <c r="M1233" t="str">
        <f t="shared" si="76"/>
        <v>Dec</v>
      </c>
      <c r="N1233">
        <f t="shared" si="77"/>
        <v>12</v>
      </c>
      <c r="O1233">
        <f t="shared" si="78"/>
        <v>191.19</v>
      </c>
      <c r="P1233" t="str">
        <f t="shared" si="79"/>
        <v>OK</v>
      </c>
    </row>
    <row r="1234" spans="1:16" x14ac:dyDescent="0.35">
      <c r="A1234" t="s">
        <v>1617</v>
      </c>
      <c r="B1234" s="3">
        <v>45529</v>
      </c>
      <c r="C1234" t="s">
        <v>24</v>
      </c>
      <c r="D1234" t="s">
        <v>19</v>
      </c>
      <c r="E1234" t="s">
        <v>217</v>
      </c>
      <c r="F1234" t="s">
        <v>53</v>
      </c>
      <c r="G1234" t="s">
        <v>59</v>
      </c>
      <c r="H1234">
        <v>9</v>
      </c>
      <c r="I1234">
        <v>79.36</v>
      </c>
      <c r="J1234">
        <v>0.1</v>
      </c>
      <c r="K1234">
        <v>642.82000000000005</v>
      </c>
      <c r="M1234" t="str">
        <f t="shared" si="76"/>
        <v>Aug</v>
      </c>
      <c r="N1234">
        <f t="shared" si="77"/>
        <v>8</v>
      </c>
      <c r="O1234">
        <f t="shared" si="78"/>
        <v>642.81600000000003</v>
      </c>
      <c r="P1234" t="str">
        <f t="shared" si="79"/>
        <v>OK</v>
      </c>
    </row>
    <row r="1235" spans="1:16" x14ac:dyDescent="0.35">
      <c r="A1235" t="s">
        <v>1618</v>
      </c>
      <c r="B1235" s="3">
        <v>45343</v>
      </c>
      <c r="C1235" t="s">
        <v>18</v>
      </c>
      <c r="D1235" t="s">
        <v>57</v>
      </c>
      <c r="E1235" t="s">
        <v>332</v>
      </c>
      <c r="F1235" t="s">
        <v>44</v>
      </c>
      <c r="G1235" t="s">
        <v>86</v>
      </c>
      <c r="H1235">
        <v>7</v>
      </c>
      <c r="I1235">
        <v>195.83</v>
      </c>
      <c r="J1235">
        <v>0</v>
      </c>
      <c r="K1235">
        <v>1370.81</v>
      </c>
      <c r="M1235" t="str">
        <f t="shared" si="76"/>
        <v>Feb</v>
      </c>
      <c r="N1235">
        <f t="shared" si="77"/>
        <v>2</v>
      </c>
      <c r="O1235">
        <f t="shared" si="78"/>
        <v>1370.8100000000002</v>
      </c>
      <c r="P1235" t="str">
        <f t="shared" si="79"/>
        <v>OK</v>
      </c>
    </row>
    <row r="1236" spans="1:16" x14ac:dyDescent="0.35">
      <c r="A1236" t="s">
        <v>1619</v>
      </c>
      <c r="B1236" s="3">
        <v>45342</v>
      </c>
      <c r="C1236" t="s">
        <v>41</v>
      </c>
      <c r="D1236" t="s">
        <v>19</v>
      </c>
      <c r="E1236" t="s">
        <v>293</v>
      </c>
      <c r="F1236" t="s">
        <v>15</v>
      </c>
      <c r="G1236" t="s">
        <v>27</v>
      </c>
      <c r="H1236">
        <v>12</v>
      </c>
      <c r="I1236">
        <v>163.91</v>
      </c>
      <c r="J1236">
        <v>0.05</v>
      </c>
      <c r="K1236">
        <v>1868.57</v>
      </c>
      <c r="M1236" t="str">
        <f t="shared" si="76"/>
        <v>Feb</v>
      </c>
      <c r="N1236">
        <f t="shared" si="77"/>
        <v>2</v>
      </c>
      <c r="O1236">
        <f t="shared" si="78"/>
        <v>1868.5740000000001</v>
      </c>
      <c r="P1236" t="str">
        <f t="shared" si="79"/>
        <v>OK</v>
      </c>
    </row>
    <row r="1237" spans="1:16" x14ac:dyDescent="0.35">
      <c r="A1237" t="s">
        <v>1620</v>
      </c>
      <c r="B1237" s="3">
        <v>45642</v>
      </c>
      <c r="C1237" t="s">
        <v>24</v>
      </c>
      <c r="D1237" t="s">
        <v>57</v>
      </c>
      <c r="E1237" t="s">
        <v>223</v>
      </c>
      <c r="F1237" t="s">
        <v>15</v>
      </c>
      <c r="G1237" t="s">
        <v>16</v>
      </c>
      <c r="H1237">
        <v>6</v>
      </c>
      <c r="I1237">
        <v>50.72</v>
      </c>
      <c r="J1237">
        <v>0.15</v>
      </c>
      <c r="K1237">
        <v>258.67</v>
      </c>
      <c r="M1237" t="str">
        <f t="shared" si="76"/>
        <v>Dec</v>
      </c>
      <c r="N1237">
        <f t="shared" si="77"/>
        <v>12</v>
      </c>
      <c r="O1237">
        <f t="shared" si="78"/>
        <v>258.67199999999997</v>
      </c>
      <c r="P1237" t="str">
        <f t="shared" si="79"/>
        <v>OK</v>
      </c>
    </row>
    <row r="1238" spans="1:16" x14ac:dyDescent="0.35">
      <c r="A1238" t="s">
        <v>1621</v>
      </c>
      <c r="B1238" s="3">
        <v>45423</v>
      </c>
      <c r="C1238" t="s">
        <v>41</v>
      </c>
      <c r="D1238" t="s">
        <v>42</v>
      </c>
      <c r="E1238" t="s">
        <v>293</v>
      </c>
      <c r="F1238" t="s">
        <v>53</v>
      </c>
      <c r="G1238" t="s">
        <v>125</v>
      </c>
      <c r="H1238">
        <v>3</v>
      </c>
      <c r="I1238">
        <v>164.32</v>
      </c>
      <c r="J1238">
        <v>0</v>
      </c>
      <c r="K1238">
        <v>492.96</v>
      </c>
      <c r="M1238" t="str">
        <f t="shared" si="76"/>
        <v>May</v>
      </c>
      <c r="N1238">
        <f t="shared" si="77"/>
        <v>5</v>
      </c>
      <c r="O1238">
        <f t="shared" si="78"/>
        <v>492.96</v>
      </c>
      <c r="P1238" t="str">
        <f t="shared" si="79"/>
        <v>OK</v>
      </c>
    </row>
    <row r="1239" spans="1:16" x14ac:dyDescent="0.35">
      <c r="A1239" t="s">
        <v>1622</v>
      </c>
      <c r="B1239" s="3">
        <v>45534</v>
      </c>
      <c r="C1239" t="s">
        <v>33</v>
      </c>
      <c r="D1239" t="s">
        <v>57</v>
      </c>
      <c r="E1239" t="s">
        <v>166</v>
      </c>
      <c r="F1239" t="s">
        <v>15</v>
      </c>
      <c r="G1239" t="s">
        <v>16</v>
      </c>
      <c r="H1239">
        <v>3</v>
      </c>
      <c r="I1239">
        <v>135.69999999999999</v>
      </c>
      <c r="J1239">
        <v>0.15</v>
      </c>
      <c r="K1239">
        <v>346.03</v>
      </c>
      <c r="M1239" t="str">
        <f t="shared" si="76"/>
        <v>Aug</v>
      </c>
      <c r="N1239">
        <f t="shared" si="77"/>
        <v>8</v>
      </c>
      <c r="O1239">
        <f t="shared" si="78"/>
        <v>346.03499999999997</v>
      </c>
      <c r="P1239" t="str">
        <f t="shared" si="79"/>
        <v>MISMATCH</v>
      </c>
    </row>
    <row r="1240" spans="1:16" x14ac:dyDescent="0.35">
      <c r="A1240" t="s">
        <v>1624</v>
      </c>
      <c r="B1240" s="3">
        <v>45350</v>
      </c>
      <c r="C1240" t="s">
        <v>24</v>
      </c>
      <c r="D1240" t="s">
        <v>13</v>
      </c>
      <c r="E1240" t="s">
        <v>343</v>
      </c>
      <c r="F1240" t="s">
        <v>21</v>
      </c>
      <c r="G1240" t="s">
        <v>129</v>
      </c>
      <c r="H1240">
        <v>10</v>
      </c>
      <c r="I1240">
        <v>169.39</v>
      </c>
      <c r="J1240">
        <v>0</v>
      </c>
      <c r="K1240">
        <v>1693.9</v>
      </c>
      <c r="M1240" t="str">
        <f t="shared" si="76"/>
        <v>Feb</v>
      </c>
      <c r="N1240">
        <f t="shared" si="77"/>
        <v>2</v>
      </c>
      <c r="O1240">
        <f t="shared" si="78"/>
        <v>1693.8999999999999</v>
      </c>
      <c r="P1240" t="str">
        <f t="shared" si="79"/>
        <v>OK</v>
      </c>
    </row>
    <row r="1241" spans="1:16" x14ac:dyDescent="0.35">
      <c r="A1241" t="s">
        <v>1626</v>
      </c>
      <c r="B1241" s="3">
        <v>45617</v>
      </c>
      <c r="C1241" t="s">
        <v>18</v>
      </c>
      <c r="D1241" t="s">
        <v>19</v>
      </c>
      <c r="E1241" t="s">
        <v>379</v>
      </c>
      <c r="F1241" t="s">
        <v>21</v>
      </c>
      <c r="G1241" t="s">
        <v>70</v>
      </c>
      <c r="H1241">
        <v>12</v>
      </c>
      <c r="I1241">
        <v>245.01</v>
      </c>
      <c r="J1241">
        <v>0.05</v>
      </c>
      <c r="K1241">
        <v>2793.11</v>
      </c>
      <c r="M1241" t="str">
        <f t="shared" si="76"/>
        <v>Nov</v>
      </c>
      <c r="N1241">
        <f t="shared" si="77"/>
        <v>11</v>
      </c>
      <c r="O1241">
        <f t="shared" si="78"/>
        <v>2793.1139999999996</v>
      </c>
      <c r="P1241" t="str">
        <f t="shared" si="79"/>
        <v>OK</v>
      </c>
    </row>
    <row r="1242" spans="1:16" x14ac:dyDescent="0.35">
      <c r="A1242" t="s">
        <v>1627</v>
      </c>
      <c r="B1242" s="3">
        <v>45312</v>
      </c>
      <c r="C1242" t="s">
        <v>24</v>
      </c>
      <c r="D1242" t="s">
        <v>13</v>
      </c>
      <c r="E1242" t="s">
        <v>128</v>
      </c>
      <c r="F1242" t="s">
        <v>15</v>
      </c>
      <c r="G1242" t="s">
        <v>16</v>
      </c>
      <c r="H1242">
        <v>11</v>
      </c>
      <c r="I1242">
        <v>93.25</v>
      </c>
      <c r="J1242">
        <v>0</v>
      </c>
      <c r="K1242">
        <v>1025.75</v>
      </c>
      <c r="M1242" t="str">
        <f t="shared" si="76"/>
        <v>Jan</v>
      </c>
      <c r="N1242">
        <f t="shared" si="77"/>
        <v>1</v>
      </c>
      <c r="O1242">
        <f t="shared" si="78"/>
        <v>1025.75</v>
      </c>
      <c r="P1242" t="str">
        <f t="shared" si="79"/>
        <v>OK</v>
      </c>
    </row>
    <row r="1243" spans="1:16" x14ac:dyDescent="0.35">
      <c r="A1243" t="s">
        <v>1628</v>
      </c>
      <c r="B1243" s="3">
        <v>45381</v>
      </c>
      <c r="C1243" t="s">
        <v>18</v>
      </c>
      <c r="D1243" t="s">
        <v>13</v>
      </c>
      <c r="E1243" t="s">
        <v>454</v>
      </c>
      <c r="F1243" t="s">
        <v>44</v>
      </c>
      <c r="G1243" t="s">
        <v>50</v>
      </c>
      <c r="H1243">
        <v>11</v>
      </c>
      <c r="I1243">
        <v>186.78</v>
      </c>
      <c r="J1243">
        <v>0</v>
      </c>
      <c r="K1243">
        <v>2054.58</v>
      </c>
      <c r="M1243" t="str">
        <f t="shared" si="76"/>
        <v>Mar</v>
      </c>
      <c r="N1243">
        <f t="shared" si="77"/>
        <v>3</v>
      </c>
      <c r="O1243">
        <f t="shared" si="78"/>
        <v>2054.58</v>
      </c>
      <c r="P1243" t="str">
        <f t="shared" si="79"/>
        <v>OK</v>
      </c>
    </row>
    <row r="1244" spans="1:16" x14ac:dyDescent="0.35">
      <c r="A1244" t="s">
        <v>1630</v>
      </c>
      <c r="B1244" s="3">
        <v>45445</v>
      </c>
      <c r="C1244" t="s">
        <v>41</v>
      </c>
      <c r="D1244" t="s">
        <v>13</v>
      </c>
      <c r="E1244" t="s">
        <v>315</v>
      </c>
      <c r="F1244" t="s">
        <v>35</v>
      </c>
      <c r="G1244" t="s">
        <v>134</v>
      </c>
      <c r="H1244">
        <v>12</v>
      </c>
      <c r="I1244">
        <v>152.79</v>
      </c>
      <c r="J1244">
        <v>0</v>
      </c>
      <c r="K1244">
        <v>1833.48</v>
      </c>
      <c r="M1244" t="str">
        <f t="shared" si="76"/>
        <v>Jun</v>
      </c>
      <c r="N1244">
        <f t="shared" si="77"/>
        <v>6</v>
      </c>
      <c r="O1244">
        <f t="shared" si="78"/>
        <v>1833.48</v>
      </c>
      <c r="P1244" t="str">
        <f t="shared" si="79"/>
        <v>OK</v>
      </c>
    </row>
    <row r="1245" spans="1:16" x14ac:dyDescent="0.35">
      <c r="A1245" t="s">
        <v>1631</v>
      </c>
      <c r="B1245" s="3">
        <v>45307</v>
      </c>
      <c r="C1245" t="s">
        <v>33</v>
      </c>
      <c r="D1245" t="s">
        <v>42</v>
      </c>
      <c r="E1245" t="s">
        <v>825</v>
      </c>
      <c r="F1245" t="s">
        <v>21</v>
      </c>
      <c r="G1245" t="s">
        <v>194</v>
      </c>
      <c r="H1245">
        <v>4</v>
      </c>
      <c r="I1245">
        <v>47.61</v>
      </c>
      <c r="J1245">
        <v>0</v>
      </c>
      <c r="K1245">
        <v>190.44</v>
      </c>
      <c r="M1245" t="str">
        <f t="shared" si="76"/>
        <v>Jan</v>
      </c>
      <c r="N1245">
        <f t="shared" si="77"/>
        <v>1</v>
      </c>
      <c r="O1245">
        <f t="shared" si="78"/>
        <v>190.44</v>
      </c>
      <c r="P1245" t="str">
        <f t="shared" si="79"/>
        <v>OK</v>
      </c>
    </row>
    <row r="1246" spans="1:16" x14ac:dyDescent="0.35">
      <c r="A1246" t="s">
        <v>1632</v>
      </c>
      <c r="B1246" s="3">
        <v>45496</v>
      </c>
      <c r="C1246" t="s">
        <v>65</v>
      </c>
      <c r="D1246" t="s">
        <v>25</v>
      </c>
      <c r="E1246" t="s">
        <v>142</v>
      </c>
      <c r="F1246" t="s">
        <v>53</v>
      </c>
      <c r="G1246" t="s">
        <v>54</v>
      </c>
      <c r="H1246">
        <v>9</v>
      </c>
      <c r="I1246">
        <v>25.84</v>
      </c>
      <c r="J1246">
        <v>0.05</v>
      </c>
      <c r="K1246">
        <v>220.93</v>
      </c>
      <c r="M1246" t="str">
        <f t="shared" si="76"/>
        <v>Jul</v>
      </c>
      <c r="N1246">
        <f t="shared" si="77"/>
        <v>7</v>
      </c>
      <c r="O1246">
        <f t="shared" si="78"/>
        <v>220.93199999999999</v>
      </c>
      <c r="P1246" t="str">
        <f t="shared" si="79"/>
        <v>OK</v>
      </c>
    </row>
    <row r="1247" spans="1:16" x14ac:dyDescent="0.35">
      <c r="A1247" t="s">
        <v>1633</v>
      </c>
      <c r="B1247" s="3">
        <v>45566</v>
      </c>
      <c r="C1247" t="s">
        <v>41</v>
      </c>
      <c r="D1247" t="s">
        <v>25</v>
      </c>
      <c r="E1247" t="s">
        <v>122</v>
      </c>
      <c r="F1247" t="s">
        <v>53</v>
      </c>
      <c r="G1247" t="s">
        <v>54</v>
      </c>
      <c r="H1247">
        <v>5</v>
      </c>
      <c r="I1247">
        <v>86.69</v>
      </c>
      <c r="J1247">
        <v>0.05</v>
      </c>
      <c r="K1247">
        <v>411.78</v>
      </c>
      <c r="M1247" t="str">
        <f t="shared" si="76"/>
        <v>Oct</v>
      </c>
      <c r="N1247">
        <f t="shared" si="77"/>
        <v>10</v>
      </c>
      <c r="O1247">
        <f t="shared" si="78"/>
        <v>411.77749999999997</v>
      </c>
      <c r="P1247" t="str">
        <f t="shared" si="79"/>
        <v>OK</v>
      </c>
    </row>
    <row r="1248" spans="1:16" x14ac:dyDescent="0.35">
      <c r="A1248" t="s">
        <v>1634</v>
      </c>
      <c r="B1248" s="3">
        <v>45477</v>
      </c>
      <c r="C1248" t="s">
        <v>41</v>
      </c>
      <c r="D1248" t="s">
        <v>19</v>
      </c>
      <c r="E1248" t="s">
        <v>185</v>
      </c>
      <c r="F1248" t="s">
        <v>21</v>
      </c>
      <c r="G1248" t="s">
        <v>70</v>
      </c>
      <c r="H1248">
        <v>1</v>
      </c>
      <c r="I1248">
        <v>127.86</v>
      </c>
      <c r="J1248">
        <v>0.1</v>
      </c>
      <c r="K1248">
        <v>115.07</v>
      </c>
      <c r="M1248" t="str">
        <f t="shared" si="76"/>
        <v>Jul</v>
      </c>
      <c r="N1248">
        <f t="shared" si="77"/>
        <v>7</v>
      </c>
      <c r="O1248">
        <f t="shared" si="78"/>
        <v>115.074</v>
      </c>
      <c r="P1248" t="str">
        <f t="shared" si="79"/>
        <v>OK</v>
      </c>
    </row>
    <row r="1249" spans="1:16" x14ac:dyDescent="0.35">
      <c r="A1249" t="s">
        <v>1635</v>
      </c>
      <c r="B1249" s="3">
        <v>45636</v>
      </c>
      <c r="C1249" t="s">
        <v>33</v>
      </c>
      <c r="D1249" t="s">
        <v>13</v>
      </c>
      <c r="E1249" t="s">
        <v>221</v>
      </c>
      <c r="F1249" t="s">
        <v>15</v>
      </c>
      <c r="G1249" t="s">
        <v>74</v>
      </c>
      <c r="H1249">
        <v>3</v>
      </c>
      <c r="I1249">
        <v>150.13999999999999</v>
      </c>
      <c r="J1249">
        <v>0.1</v>
      </c>
      <c r="K1249">
        <v>405.38</v>
      </c>
      <c r="M1249" t="str">
        <f t="shared" si="76"/>
        <v>Dec</v>
      </c>
      <c r="N1249">
        <f t="shared" si="77"/>
        <v>12</v>
      </c>
      <c r="O1249">
        <f t="shared" si="78"/>
        <v>405.37799999999999</v>
      </c>
      <c r="P1249" t="str">
        <f t="shared" si="79"/>
        <v>OK</v>
      </c>
    </row>
    <row r="1250" spans="1:16" x14ac:dyDescent="0.35">
      <c r="A1250" t="s">
        <v>1636</v>
      </c>
      <c r="B1250" s="3">
        <v>45347</v>
      </c>
      <c r="C1250" t="s">
        <v>18</v>
      </c>
      <c r="D1250" t="s">
        <v>57</v>
      </c>
      <c r="E1250" t="s">
        <v>14</v>
      </c>
      <c r="F1250" t="s">
        <v>21</v>
      </c>
      <c r="G1250" t="s">
        <v>194</v>
      </c>
      <c r="H1250">
        <v>10</v>
      </c>
      <c r="I1250">
        <v>159.99</v>
      </c>
      <c r="J1250">
        <v>0.1</v>
      </c>
      <c r="K1250">
        <v>1439.91</v>
      </c>
      <c r="M1250" t="str">
        <f t="shared" si="76"/>
        <v>Feb</v>
      </c>
      <c r="N1250">
        <f t="shared" si="77"/>
        <v>2</v>
      </c>
      <c r="O1250">
        <f t="shared" si="78"/>
        <v>1439.91</v>
      </c>
      <c r="P1250" t="str">
        <f t="shared" si="79"/>
        <v>OK</v>
      </c>
    </row>
    <row r="1251" spans="1:16" x14ac:dyDescent="0.35">
      <c r="A1251" t="s">
        <v>1637</v>
      </c>
      <c r="B1251" s="3">
        <v>45358</v>
      </c>
      <c r="C1251" t="s">
        <v>33</v>
      </c>
      <c r="D1251" t="s">
        <v>42</v>
      </c>
      <c r="E1251" t="s">
        <v>96</v>
      </c>
      <c r="F1251" t="s">
        <v>35</v>
      </c>
      <c r="G1251" t="s">
        <v>177</v>
      </c>
      <c r="H1251">
        <v>4</v>
      </c>
      <c r="I1251">
        <v>240.11</v>
      </c>
      <c r="J1251">
        <v>0</v>
      </c>
      <c r="K1251">
        <v>960.44</v>
      </c>
      <c r="M1251" t="str">
        <f t="shared" si="76"/>
        <v>Mar</v>
      </c>
      <c r="N1251">
        <f t="shared" si="77"/>
        <v>3</v>
      </c>
      <c r="O1251">
        <f t="shared" si="78"/>
        <v>960.44</v>
      </c>
      <c r="P1251" t="str">
        <f t="shared" si="79"/>
        <v>OK</v>
      </c>
    </row>
    <row r="1252" spans="1:16" x14ac:dyDescent="0.35">
      <c r="A1252" t="s">
        <v>1638</v>
      </c>
      <c r="B1252" s="3">
        <v>45512</v>
      </c>
      <c r="C1252" t="s">
        <v>41</v>
      </c>
      <c r="D1252" t="s">
        <v>42</v>
      </c>
      <c r="E1252" t="s">
        <v>2217</v>
      </c>
      <c r="F1252" t="s">
        <v>15</v>
      </c>
      <c r="G1252" t="s">
        <v>147</v>
      </c>
      <c r="H1252">
        <v>9</v>
      </c>
      <c r="I1252">
        <v>36.65</v>
      </c>
      <c r="J1252">
        <v>0.15</v>
      </c>
      <c r="K1252">
        <v>280.37</v>
      </c>
      <c r="M1252" t="str">
        <f t="shared" si="76"/>
        <v>Aug</v>
      </c>
      <c r="N1252">
        <f t="shared" si="77"/>
        <v>8</v>
      </c>
      <c r="O1252">
        <f t="shared" si="78"/>
        <v>280.37249999999995</v>
      </c>
      <c r="P1252" t="str">
        <f t="shared" si="79"/>
        <v>OK</v>
      </c>
    </row>
    <row r="1253" spans="1:16" x14ac:dyDescent="0.35">
      <c r="A1253" t="s">
        <v>1639</v>
      </c>
      <c r="B1253" s="3">
        <v>45522</v>
      </c>
      <c r="C1253" t="s">
        <v>41</v>
      </c>
      <c r="D1253" t="s">
        <v>25</v>
      </c>
      <c r="E1253" t="s">
        <v>400</v>
      </c>
      <c r="F1253" t="s">
        <v>35</v>
      </c>
      <c r="G1253" t="s">
        <v>36</v>
      </c>
      <c r="H1253">
        <v>12</v>
      </c>
      <c r="I1253">
        <v>125.74</v>
      </c>
      <c r="J1253">
        <v>0.1</v>
      </c>
      <c r="K1253">
        <v>1357.99</v>
      </c>
      <c r="M1253" t="str">
        <f t="shared" si="76"/>
        <v>Aug</v>
      </c>
      <c r="N1253">
        <f t="shared" si="77"/>
        <v>8</v>
      </c>
      <c r="O1253">
        <f t="shared" si="78"/>
        <v>1357.992</v>
      </c>
      <c r="P1253" t="str">
        <f t="shared" si="79"/>
        <v>OK</v>
      </c>
    </row>
    <row r="1254" spans="1:16" x14ac:dyDescent="0.35">
      <c r="A1254" t="s">
        <v>1640</v>
      </c>
      <c r="B1254" s="3">
        <v>45591</v>
      </c>
      <c r="C1254" t="s">
        <v>65</v>
      </c>
      <c r="D1254" t="s">
        <v>19</v>
      </c>
      <c r="E1254" t="s">
        <v>197</v>
      </c>
      <c r="F1254" t="s">
        <v>21</v>
      </c>
      <c r="G1254" t="s">
        <v>22</v>
      </c>
      <c r="H1254">
        <v>1</v>
      </c>
      <c r="I1254">
        <v>21.55</v>
      </c>
      <c r="J1254">
        <v>0.15</v>
      </c>
      <c r="K1254">
        <v>18.32</v>
      </c>
      <c r="M1254" t="str">
        <f t="shared" si="76"/>
        <v>Oct</v>
      </c>
      <c r="N1254">
        <f t="shared" si="77"/>
        <v>10</v>
      </c>
      <c r="O1254">
        <f t="shared" si="78"/>
        <v>18.317499999999999</v>
      </c>
      <c r="P1254" t="str">
        <f t="shared" si="79"/>
        <v>OK</v>
      </c>
    </row>
    <row r="1255" spans="1:16" x14ac:dyDescent="0.35">
      <c r="A1255" t="s">
        <v>1641</v>
      </c>
      <c r="B1255" s="3">
        <v>45502</v>
      </c>
      <c r="C1255" t="s">
        <v>65</v>
      </c>
      <c r="D1255" t="s">
        <v>25</v>
      </c>
      <c r="E1255" t="s">
        <v>20</v>
      </c>
      <c r="F1255" t="s">
        <v>35</v>
      </c>
      <c r="G1255" t="s">
        <v>67</v>
      </c>
      <c r="H1255">
        <v>5</v>
      </c>
      <c r="I1255">
        <v>12.1</v>
      </c>
      <c r="J1255">
        <v>0.1</v>
      </c>
      <c r="K1255">
        <v>54.45</v>
      </c>
      <c r="M1255" t="str">
        <f t="shared" si="76"/>
        <v>Jul</v>
      </c>
      <c r="N1255">
        <f t="shared" si="77"/>
        <v>7</v>
      </c>
      <c r="O1255">
        <f t="shared" si="78"/>
        <v>54.45</v>
      </c>
      <c r="P1255" t="str">
        <f t="shared" si="79"/>
        <v>OK</v>
      </c>
    </row>
    <row r="1256" spans="1:16" x14ac:dyDescent="0.35">
      <c r="A1256" t="s">
        <v>1642</v>
      </c>
      <c r="B1256" s="3">
        <v>45545</v>
      </c>
      <c r="C1256" t="s">
        <v>18</v>
      </c>
      <c r="D1256" t="s">
        <v>13</v>
      </c>
      <c r="E1256" t="s">
        <v>412</v>
      </c>
      <c r="F1256" t="s">
        <v>21</v>
      </c>
      <c r="G1256" t="s">
        <v>70</v>
      </c>
      <c r="H1256">
        <v>1</v>
      </c>
      <c r="I1256">
        <v>161.41</v>
      </c>
      <c r="J1256">
        <v>0</v>
      </c>
      <c r="K1256">
        <v>161.41</v>
      </c>
      <c r="M1256" t="str">
        <f t="shared" si="76"/>
        <v>Sep</v>
      </c>
      <c r="N1256">
        <f t="shared" si="77"/>
        <v>9</v>
      </c>
      <c r="O1256">
        <f t="shared" si="78"/>
        <v>161.41</v>
      </c>
      <c r="P1256" t="str">
        <f t="shared" si="79"/>
        <v>OK</v>
      </c>
    </row>
    <row r="1257" spans="1:16" x14ac:dyDescent="0.35">
      <c r="A1257" t="s">
        <v>1643</v>
      </c>
      <c r="B1257" s="3">
        <v>45654</v>
      </c>
      <c r="C1257" t="s">
        <v>18</v>
      </c>
      <c r="D1257" t="s">
        <v>13</v>
      </c>
      <c r="E1257" t="s">
        <v>39</v>
      </c>
      <c r="F1257" t="s">
        <v>35</v>
      </c>
      <c r="G1257" t="s">
        <v>177</v>
      </c>
      <c r="H1257">
        <v>1</v>
      </c>
      <c r="I1257">
        <v>244.92</v>
      </c>
      <c r="J1257">
        <v>0</v>
      </c>
      <c r="K1257">
        <v>244.92</v>
      </c>
      <c r="M1257" t="str">
        <f t="shared" si="76"/>
        <v>Dec</v>
      </c>
      <c r="N1257">
        <f t="shared" si="77"/>
        <v>12</v>
      </c>
      <c r="O1257">
        <f t="shared" si="78"/>
        <v>244.92</v>
      </c>
      <c r="P1257" t="str">
        <f t="shared" si="79"/>
        <v>OK</v>
      </c>
    </row>
    <row r="1258" spans="1:16" x14ac:dyDescent="0.35">
      <c r="A1258" t="s">
        <v>1644</v>
      </c>
      <c r="B1258" s="3">
        <v>45409</v>
      </c>
      <c r="C1258" t="s">
        <v>33</v>
      </c>
      <c r="D1258" t="s">
        <v>57</v>
      </c>
      <c r="E1258" t="s">
        <v>865</v>
      </c>
      <c r="F1258" t="s">
        <v>15</v>
      </c>
      <c r="G1258" t="s">
        <v>111</v>
      </c>
      <c r="H1258">
        <v>12</v>
      </c>
      <c r="I1258">
        <v>225.81</v>
      </c>
      <c r="J1258">
        <v>0.1</v>
      </c>
      <c r="K1258">
        <v>2438.75</v>
      </c>
      <c r="M1258" t="str">
        <f t="shared" si="76"/>
        <v>Apr</v>
      </c>
      <c r="N1258">
        <f t="shared" si="77"/>
        <v>4</v>
      </c>
      <c r="O1258">
        <f t="shared" si="78"/>
        <v>2438.7480000000005</v>
      </c>
      <c r="P1258" t="str">
        <f t="shared" si="79"/>
        <v>OK</v>
      </c>
    </row>
    <row r="1259" spans="1:16" x14ac:dyDescent="0.35">
      <c r="A1259" t="s">
        <v>1646</v>
      </c>
      <c r="B1259" s="3">
        <v>45553</v>
      </c>
      <c r="C1259" t="s">
        <v>65</v>
      </c>
      <c r="D1259" t="s">
        <v>57</v>
      </c>
      <c r="E1259" t="s">
        <v>166</v>
      </c>
      <c r="F1259" t="s">
        <v>15</v>
      </c>
      <c r="G1259" t="s">
        <v>147</v>
      </c>
      <c r="H1259">
        <v>11</v>
      </c>
      <c r="I1259">
        <v>125.6</v>
      </c>
      <c r="J1259">
        <v>0.15</v>
      </c>
      <c r="K1259">
        <v>1174.3599999999999</v>
      </c>
      <c r="M1259" t="str">
        <f t="shared" si="76"/>
        <v>Sep</v>
      </c>
      <c r="N1259">
        <f t="shared" si="77"/>
        <v>9</v>
      </c>
      <c r="O1259">
        <f t="shared" si="78"/>
        <v>1174.3599999999999</v>
      </c>
      <c r="P1259" t="str">
        <f t="shared" si="79"/>
        <v>OK</v>
      </c>
    </row>
    <row r="1260" spans="1:16" x14ac:dyDescent="0.35">
      <c r="A1260" t="s">
        <v>1647</v>
      </c>
      <c r="B1260" s="3">
        <v>45381</v>
      </c>
      <c r="C1260" t="s">
        <v>18</v>
      </c>
      <c r="D1260" t="s">
        <v>42</v>
      </c>
      <c r="E1260" t="s">
        <v>586</v>
      </c>
      <c r="F1260" t="s">
        <v>53</v>
      </c>
      <c r="G1260" t="s">
        <v>260</v>
      </c>
      <c r="H1260">
        <v>3</v>
      </c>
      <c r="I1260">
        <v>179.01</v>
      </c>
      <c r="J1260">
        <v>0</v>
      </c>
      <c r="K1260">
        <v>537.03</v>
      </c>
      <c r="M1260" t="str">
        <f t="shared" si="76"/>
        <v>Mar</v>
      </c>
      <c r="N1260">
        <f t="shared" si="77"/>
        <v>3</v>
      </c>
      <c r="O1260">
        <f t="shared" si="78"/>
        <v>537.03</v>
      </c>
      <c r="P1260" t="str">
        <f t="shared" si="79"/>
        <v>OK</v>
      </c>
    </row>
    <row r="1261" spans="1:16" x14ac:dyDescent="0.35">
      <c r="A1261" t="s">
        <v>1648</v>
      </c>
      <c r="B1261" s="3">
        <v>45367</v>
      </c>
      <c r="C1261" t="s">
        <v>18</v>
      </c>
      <c r="D1261" t="s">
        <v>42</v>
      </c>
      <c r="E1261" t="s">
        <v>229</v>
      </c>
      <c r="F1261" t="s">
        <v>21</v>
      </c>
      <c r="G1261" t="s">
        <v>22</v>
      </c>
      <c r="H1261">
        <v>11</v>
      </c>
      <c r="I1261">
        <v>40.74</v>
      </c>
      <c r="J1261">
        <v>0.15</v>
      </c>
      <c r="K1261">
        <v>380.92</v>
      </c>
      <c r="M1261" t="str">
        <f t="shared" si="76"/>
        <v>Mar</v>
      </c>
      <c r="N1261">
        <f t="shared" si="77"/>
        <v>3</v>
      </c>
      <c r="O1261">
        <f t="shared" si="78"/>
        <v>380.91900000000004</v>
      </c>
      <c r="P1261" t="str">
        <f t="shared" si="79"/>
        <v>OK</v>
      </c>
    </row>
    <row r="1262" spans="1:16" x14ac:dyDescent="0.35">
      <c r="A1262" t="s">
        <v>1649</v>
      </c>
      <c r="B1262" s="3">
        <v>45634</v>
      </c>
      <c r="C1262" t="s">
        <v>18</v>
      </c>
      <c r="D1262" t="s">
        <v>42</v>
      </c>
      <c r="E1262" t="s">
        <v>150</v>
      </c>
      <c r="F1262" t="s">
        <v>44</v>
      </c>
      <c r="G1262" t="s">
        <v>45</v>
      </c>
      <c r="H1262">
        <v>3</v>
      </c>
      <c r="I1262">
        <v>57.93</v>
      </c>
      <c r="J1262">
        <v>0</v>
      </c>
      <c r="K1262">
        <v>173.79</v>
      </c>
      <c r="M1262" t="str">
        <f t="shared" si="76"/>
        <v>Dec</v>
      </c>
      <c r="N1262">
        <f t="shared" si="77"/>
        <v>12</v>
      </c>
      <c r="O1262">
        <f t="shared" si="78"/>
        <v>173.79</v>
      </c>
      <c r="P1262" t="str">
        <f t="shared" si="79"/>
        <v>OK</v>
      </c>
    </row>
    <row r="1263" spans="1:16" x14ac:dyDescent="0.35">
      <c r="A1263" t="s">
        <v>1650</v>
      </c>
      <c r="B1263" s="3">
        <v>45568</v>
      </c>
      <c r="C1263" t="s">
        <v>41</v>
      </c>
      <c r="D1263" t="s">
        <v>57</v>
      </c>
      <c r="E1263" t="s">
        <v>346</v>
      </c>
      <c r="F1263" t="s">
        <v>35</v>
      </c>
      <c r="G1263" t="s">
        <v>134</v>
      </c>
      <c r="H1263">
        <v>6</v>
      </c>
      <c r="I1263">
        <v>249.98</v>
      </c>
      <c r="J1263">
        <v>0</v>
      </c>
      <c r="K1263">
        <v>1499.88</v>
      </c>
      <c r="M1263" t="str">
        <f t="shared" si="76"/>
        <v>Oct</v>
      </c>
      <c r="N1263">
        <f t="shared" si="77"/>
        <v>10</v>
      </c>
      <c r="O1263">
        <f t="shared" si="78"/>
        <v>1499.8799999999999</v>
      </c>
      <c r="P1263" t="str">
        <f t="shared" si="79"/>
        <v>OK</v>
      </c>
    </row>
    <row r="1264" spans="1:16" x14ac:dyDescent="0.35">
      <c r="A1264" t="s">
        <v>1651</v>
      </c>
      <c r="B1264" s="3">
        <v>45369</v>
      </c>
      <c r="C1264" t="s">
        <v>33</v>
      </c>
      <c r="D1264" t="s">
        <v>42</v>
      </c>
      <c r="E1264" t="s">
        <v>217</v>
      </c>
      <c r="F1264" t="s">
        <v>35</v>
      </c>
      <c r="G1264" t="s">
        <v>67</v>
      </c>
      <c r="H1264">
        <v>2</v>
      </c>
      <c r="I1264">
        <v>152.47999999999999</v>
      </c>
      <c r="J1264">
        <v>0.05</v>
      </c>
      <c r="K1264">
        <v>289.70999999999998</v>
      </c>
      <c r="M1264" t="str">
        <f t="shared" si="76"/>
        <v>Mar</v>
      </c>
      <c r="N1264">
        <f t="shared" si="77"/>
        <v>3</v>
      </c>
      <c r="O1264">
        <f t="shared" si="78"/>
        <v>289.71199999999999</v>
      </c>
      <c r="P1264" t="str">
        <f t="shared" si="79"/>
        <v>OK</v>
      </c>
    </row>
    <row r="1265" spans="1:16" x14ac:dyDescent="0.35">
      <c r="A1265" t="s">
        <v>1652</v>
      </c>
      <c r="B1265" s="3">
        <v>45533</v>
      </c>
      <c r="C1265" t="s">
        <v>41</v>
      </c>
      <c r="D1265" t="s">
        <v>42</v>
      </c>
      <c r="E1265" t="s">
        <v>842</v>
      </c>
      <c r="F1265" t="s">
        <v>53</v>
      </c>
      <c r="G1265" t="s">
        <v>59</v>
      </c>
      <c r="H1265">
        <v>12</v>
      </c>
      <c r="I1265">
        <v>86.31</v>
      </c>
      <c r="J1265">
        <v>0.1</v>
      </c>
      <c r="K1265">
        <v>932.15</v>
      </c>
      <c r="M1265" t="str">
        <f t="shared" si="76"/>
        <v>Aug</v>
      </c>
      <c r="N1265">
        <f t="shared" si="77"/>
        <v>8</v>
      </c>
      <c r="O1265">
        <f t="shared" si="78"/>
        <v>932.14800000000002</v>
      </c>
      <c r="P1265" t="str">
        <f t="shared" si="79"/>
        <v>OK</v>
      </c>
    </row>
    <row r="1266" spans="1:16" x14ac:dyDescent="0.35">
      <c r="A1266" t="s">
        <v>1653</v>
      </c>
      <c r="B1266" s="3">
        <v>45321</v>
      </c>
      <c r="C1266" t="s">
        <v>18</v>
      </c>
      <c r="D1266" t="s">
        <v>57</v>
      </c>
      <c r="E1266" t="s">
        <v>14</v>
      </c>
      <c r="F1266" t="s">
        <v>44</v>
      </c>
      <c r="G1266" t="s">
        <v>45</v>
      </c>
      <c r="H1266">
        <v>11</v>
      </c>
      <c r="I1266">
        <v>123.94</v>
      </c>
      <c r="J1266">
        <v>0.1</v>
      </c>
      <c r="K1266">
        <v>1227.01</v>
      </c>
      <c r="M1266" t="str">
        <f t="shared" si="76"/>
        <v>Jan</v>
      </c>
      <c r="N1266">
        <f t="shared" si="77"/>
        <v>1</v>
      </c>
      <c r="O1266">
        <f t="shared" si="78"/>
        <v>1227.0059999999999</v>
      </c>
      <c r="P1266" t="str">
        <f t="shared" si="79"/>
        <v>OK</v>
      </c>
    </row>
    <row r="1267" spans="1:16" x14ac:dyDescent="0.35">
      <c r="A1267" t="s">
        <v>1654</v>
      </c>
      <c r="B1267" s="3">
        <v>45602</v>
      </c>
      <c r="C1267" t="s">
        <v>24</v>
      </c>
      <c r="D1267" t="s">
        <v>25</v>
      </c>
      <c r="E1267" t="s">
        <v>381</v>
      </c>
      <c r="F1267" t="s">
        <v>15</v>
      </c>
      <c r="G1267" t="s">
        <v>16</v>
      </c>
      <c r="H1267">
        <v>3</v>
      </c>
      <c r="I1267">
        <v>22.63</v>
      </c>
      <c r="J1267">
        <v>0.15</v>
      </c>
      <c r="K1267">
        <v>57.71</v>
      </c>
      <c r="M1267" t="str">
        <f t="shared" si="76"/>
        <v>Nov</v>
      </c>
      <c r="N1267">
        <f t="shared" si="77"/>
        <v>11</v>
      </c>
      <c r="O1267">
        <f t="shared" si="78"/>
        <v>57.706499999999998</v>
      </c>
      <c r="P1267" t="str">
        <f t="shared" si="79"/>
        <v>OK</v>
      </c>
    </row>
    <row r="1268" spans="1:16" x14ac:dyDescent="0.35">
      <c r="A1268" t="s">
        <v>1655</v>
      </c>
      <c r="B1268" s="3">
        <v>45639</v>
      </c>
      <c r="C1268" t="s">
        <v>24</v>
      </c>
      <c r="D1268" t="s">
        <v>13</v>
      </c>
      <c r="E1268" t="s">
        <v>250</v>
      </c>
      <c r="F1268" t="s">
        <v>35</v>
      </c>
      <c r="G1268" t="s">
        <v>83</v>
      </c>
      <c r="H1268">
        <v>6</v>
      </c>
      <c r="I1268">
        <v>237.46</v>
      </c>
      <c r="J1268">
        <v>0.05</v>
      </c>
      <c r="K1268">
        <v>1353.52</v>
      </c>
      <c r="M1268" t="str">
        <f t="shared" si="76"/>
        <v>Dec</v>
      </c>
      <c r="N1268">
        <f t="shared" si="77"/>
        <v>12</v>
      </c>
      <c r="O1268">
        <f t="shared" si="78"/>
        <v>1353.5219999999999</v>
      </c>
      <c r="P1268" t="str">
        <f t="shared" si="79"/>
        <v>OK</v>
      </c>
    </row>
    <row r="1269" spans="1:16" x14ac:dyDescent="0.35">
      <c r="A1269" t="s">
        <v>1656</v>
      </c>
      <c r="B1269" s="3">
        <v>45519</v>
      </c>
      <c r="C1269" t="s">
        <v>24</v>
      </c>
      <c r="D1269" t="s">
        <v>42</v>
      </c>
      <c r="E1269" t="s">
        <v>492</v>
      </c>
      <c r="F1269" t="s">
        <v>44</v>
      </c>
      <c r="G1269" t="s">
        <v>107</v>
      </c>
      <c r="H1269">
        <v>2</v>
      </c>
      <c r="I1269">
        <v>76.42</v>
      </c>
      <c r="J1269">
        <v>0</v>
      </c>
      <c r="K1269">
        <v>152.84</v>
      </c>
      <c r="M1269" t="str">
        <f t="shared" si="76"/>
        <v>Aug</v>
      </c>
      <c r="N1269">
        <f t="shared" si="77"/>
        <v>8</v>
      </c>
      <c r="O1269">
        <f t="shared" si="78"/>
        <v>152.84</v>
      </c>
      <c r="P1269" t="str">
        <f t="shared" si="79"/>
        <v>OK</v>
      </c>
    </row>
    <row r="1270" spans="1:16" x14ac:dyDescent="0.35">
      <c r="A1270" t="s">
        <v>1657</v>
      </c>
      <c r="B1270" s="3">
        <v>45439</v>
      </c>
      <c r="C1270" t="s">
        <v>18</v>
      </c>
      <c r="D1270" t="s">
        <v>25</v>
      </c>
      <c r="E1270" t="s">
        <v>567</v>
      </c>
      <c r="F1270" t="s">
        <v>35</v>
      </c>
      <c r="G1270" t="s">
        <v>83</v>
      </c>
      <c r="H1270">
        <v>7</v>
      </c>
      <c r="I1270">
        <v>214.53</v>
      </c>
      <c r="J1270">
        <v>0.1</v>
      </c>
      <c r="K1270">
        <v>1351.54</v>
      </c>
      <c r="M1270" t="str">
        <f t="shared" si="76"/>
        <v>May</v>
      </c>
      <c r="N1270">
        <f t="shared" si="77"/>
        <v>5</v>
      </c>
      <c r="O1270">
        <f t="shared" si="78"/>
        <v>1351.539</v>
      </c>
      <c r="P1270" t="str">
        <f t="shared" si="79"/>
        <v>OK</v>
      </c>
    </row>
    <row r="1271" spans="1:16" x14ac:dyDescent="0.35">
      <c r="A1271" t="s">
        <v>1658</v>
      </c>
      <c r="B1271" s="3">
        <v>45592</v>
      </c>
      <c r="C1271" t="s">
        <v>33</v>
      </c>
      <c r="D1271" t="s">
        <v>42</v>
      </c>
      <c r="E1271" t="s">
        <v>535</v>
      </c>
      <c r="F1271" t="s">
        <v>15</v>
      </c>
      <c r="G1271" t="s">
        <v>111</v>
      </c>
      <c r="H1271">
        <v>8</v>
      </c>
      <c r="I1271">
        <v>90.24</v>
      </c>
      <c r="J1271">
        <v>0.1</v>
      </c>
      <c r="K1271">
        <v>649.73</v>
      </c>
      <c r="M1271" t="str">
        <f t="shared" si="76"/>
        <v>Oct</v>
      </c>
      <c r="N1271">
        <f t="shared" si="77"/>
        <v>10</v>
      </c>
      <c r="O1271">
        <f t="shared" si="78"/>
        <v>649.72799999999995</v>
      </c>
      <c r="P1271" t="str">
        <f t="shared" si="79"/>
        <v>OK</v>
      </c>
    </row>
    <row r="1272" spans="1:16" x14ac:dyDescent="0.35">
      <c r="A1272" t="s">
        <v>1659</v>
      </c>
      <c r="B1272" s="3">
        <v>45609</v>
      </c>
      <c r="C1272" t="s">
        <v>65</v>
      </c>
      <c r="D1272" t="s">
        <v>42</v>
      </c>
      <c r="E1272" t="s">
        <v>152</v>
      </c>
      <c r="F1272" t="s">
        <v>44</v>
      </c>
      <c r="G1272" t="s">
        <v>94</v>
      </c>
      <c r="H1272">
        <v>3</v>
      </c>
      <c r="I1272">
        <v>50.55</v>
      </c>
      <c r="J1272">
        <v>0</v>
      </c>
      <c r="K1272">
        <v>151.65</v>
      </c>
      <c r="M1272" t="str">
        <f t="shared" si="76"/>
        <v>Nov</v>
      </c>
      <c r="N1272">
        <f t="shared" si="77"/>
        <v>11</v>
      </c>
      <c r="O1272">
        <f t="shared" si="78"/>
        <v>151.64999999999998</v>
      </c>
      <c r="P1272" t="str">
        <f t="shared" si="79"/>
        <v>OK</v>
      </c>
    </row>
    <row r="1273" spans="1:16" x14ac:dyDescent="0.35">
      <c r="A1273" t="s">
        <v>1660</v>
      </c>
      <c r="B1273" s="3">
        <v>45531</v>
      </c>
      <c r="C1273" t="s">
        <v>65</v>
      </c>
      <c r="D1273" t="s">
        <v>13</v>
      </c>
      <c r="E1273" t="s">
        <v>357</v>
      </c>
      <c r="F1273" t="s">
        <v>21</v>
      </c>
      <c r="G1273" t="s">
        <v>194</v>
      </c>
      <c r="H1273">
        <v>9</v>
      </c>
      <c r="I1273">
        <v>131.31</v>
      </c>
      <c r="J1273">
        <v>0</v>
      </c>
      <c r="K1273">
        <v>1181.79</v>
      </c>
      <c r="M1273" t="str">
        <f t="shared" si="76"/>
        <v>Aug</v>
      </c>
      <c r="N1273">
        <f t="shared" si="77"/>
        <v>8</v>
      </c>
      <c r="O1273">
        <f t="shared" si="78"/>
        <v>1181.79</v>
      </c>
      <c r="P1273" t="str">
        <f t="shared" si="79"/>
        <v>OK</v>
      </c>
    </row>
    <row r="1274" spans="1:16" x14ac:dyDescent="0.35">
      <c r="A1274" t="s">
        <v>1661</v>
      </c>
      <c r="B1274" s="3">
        <v>45482</v>
      </c>
      <c r="C1274" t="s">
        <v>18</v>
      </c>
      <c r="D1274" t="s">
        <v>19</v>
      </c>
      <c r="E1274" t="s">
        <v>171</v>
      </c>
      <c r="F1274" t="s">
        <v>35</v>
      </c>
      <c r="G1274" t="s">
        <v>67</v>
      </c>
      <c r="H1274">
        <v>1</v>
      </c>
      <c r="I1274">
        <v>166.28</v>
      </c>
      <c r="J1274">
        <v>0</v>
      </c>
      <c r="K1274">
        <v>166.28</v>
      </c>
      <c r="M1274" t="str">
        <f t="shared" si="76"/>
        <v>Jul</v>
      </c>
      <c r="N1274">
        <f t="shared" si="77"/>
        <v>7</v>
      </c>
      <c r="O1274">
        <f t="shared" si="78"/>
        <v>166.28</v>
      </c>
      <c r="P1274" t="str">
        <f t="shared" si="79"/>
        <v>OK</v>
      </c>
    </row>
    <row r="1275" spans="1:16" x14ac:dyDescent="0.35">
      <c r="A1275" t="s">
        <v>1662</v>
      </c>
      <c r="B1275" s="3">
        <v>45453</v>
      </c>
      <c r="C1275" t="s">
        <v>65</v>
      </c>
      <c r="D1275" t="s">
        <v>42</v>
      </c>
      <c r="E1275" t="s">
        <v>166</v>
      </c>
      <c r="F1275" t="s">
        <v>15</v>
      </c>
      <c r="G1275" t="s">
        <v>16</v>
      </c>
      <c r="H1275">
        <v>8</v>
      </c>
      <c r="I1275">
        <v>167.31</v>
      </c>
      <c r="J1275">
        <v>0</v>
      </c>
      <c r="K1275">
        <v>1338.48</v>
      </c>
      <c r="M1275" t="str">
        <f t="shared" si="76"/>
        <v>Jun</v>
      </c>
      <c r="N1275">
        <f t="shared" si="77"/>
        <v>6</v>
      </c>
      <c r="O1275">
        <f t="shared" si="78"/>
        <v>1338.48</v>
      </c>
      <c r="P1275" t="str">
        <f t="shared" si="79"/>
        <v>OK</v>
      </c>
    </row>
    <row r="1276" spans="1:16" x14ac:dyDescent="0.35">
      <c r="A1276" t="s">
        <v>1663</v>
      </c>
      <c r="B1276" s="3">
        <v>45381</v>
      </c>
      <c r="C1276" t="s">
        <v>41</v>
      </c>
      <c r="D1276" t="s">
        <v>25</v>
      </c>
      <c r="E1276" t="s">
        <v>381</v>
      </c>
      <c r="F1276" t="s">
        <v>35</v>
      </c>
      <c r="G1276" t="s">
        <v>134</v>
      </c>
      <c r="H1276">
        <v>10</v>
      </c>
      <c r="I1276">
        <v>66.040000000000006</v>
      </c>
      <c r="J1276">
        <v>0.15</v>
      </c>
      <c r="K1276">
        <v>561.34</v>
      </c>
      <c r="M1276" t="str">
        <f t="shared" si="76"/>
        <v>Mar</v>
      </c>
      <c r="N1276">
        <f t="shared" si="77"/>
        <v>3</v>
      </c>
      <c r="O1276">
        <f t="shared" si="78"/>
        <v>561.34</v>
      </c>
      <c r="P1276" t="str">
        <f t="shared" si="79"/>
        <v>OK</v>
      </c>
    </row>
    <row r="1277" spans="1:16" x14ac:dyDescent="0.35">
      <c r="A1277" t="s">
        <v>1664</v>
      </c>
      <c r="B1277" s="3">
        <v>45388</v>
      </c>
      <c r="C1277" t="s">
        <v>18</v>
      </c>
      <c r="D1277" t="s">
        <v>42</v>
      </c>
      <c r="E1277" t="s">
        <v>144</v>
      </c>
      <c r="F1277" t="s">
        <v>53</v>
      </c>
      <c r="G1277" t="s">
        <v>63</v>
      </c>
      <c r="H1277">
        <v>7</v>
      </c>
      <c r="I1277">
        <v>56.75</v>
      </c>
      <c r="J1277">
        <v>0</v>
      </c>
      <c r="K1277">
        <v>397.25</v>
      </c>
      <c r="M1277" t="str">
        <f t="shared" si="76"/>
        <v>Apr</v>
      </c>
      <c r="N1277">
        <f t="shared" si="77"/>
        <v>4</v>
      </c>
      <c r="O1277">
        <f t="shared" si="78"/>
        <v>397.25</v>
      </c>
      <c r="P1277" t="str">
        <f t="shared" si="79"/>
        <v>OK</v>
      </c>
    </row>
    <row r="1278" spans="1:16" x14ac:dyDescent="0.35">
      <c r="A1278" t="s">
        <v>1665</v>
      </c>
      <c r="B1278" s="3">
        <v>45606</v>
      </c>
      <c r="C1278" t="s">
        <v>41</v>
      </c>
      <c r="D1278" t="s">
        <v>42</v>
      </c>
      <c r="E1278" t="s">
        <v>241</v>
      </c>
      <c r="F1278" t="s">
        <v>15</v>
      </c>
      <c r="G1278" t="s">
        <v>16</v>
      </c>
      <c r="H1278">
        <v>6</v>
      </c>
      <c r="I1278">
        <v>150.49</v>
      </c>
      <c r="J1278">
        <v>0</v>
      </c>
      <c r="K1278">
        <v>902.94</v>
      </c>
      <c r="M1278" t="str">
        <f t="shared" si="76"/>
        <v>Nov</v>
      </c>
      <c r="N1278">
        <f t="shared" si="77"/>
        <v>11</v>
      </c>
      <c r="O1278">
        <f t="shared" si="78"/>
        <v>902.94</v>
      </c>
      <c r="P1278" t="str">
        <f t="shared" si="79"/>
        <v>OK</v>
      </c>
    </row>
    <row r="1279" spans="1:16" x14ac:dyDescent="0.35">
      <c r="A1279" t="s">
        <v>1666</v>
      </c>
      <c r="B1279" s="3">
        <v>45567</v>
      </c>
      <c r="C1279" t="s">
        <v>24</v>
      </c>
      <c r="D1279" t="s">
        <v>13</v>
      </c>
      <c r="E1279" t="s">
        <v>284</v>
      </c>
      <c r="F1279" t="s">
        <v>44</v>
      </c>
      <c r="G1279" t="s">
        <v>107</v>
      </c>
      <c r="H1279">
        <v>2</v>
      </c>
      <c r="I1279">
        <v>243.53</v>
      </c>
      <c r="J1279">
        <v>0</v>
      </c>
      <c r="K1279">
        <v>487.06</v>
      </c>
      <c r="M1279" t="str">
        <f t="shared" si="76"/>
        <v>Oct</v>
      </c>
      <c r="N1279">
        <f t="shared" si="77"/>
        <v>10</v>
      </c>
      <c r="O1279">
        <f t="shared" si="78"/>
        <v>487.06</v>
      </c>
      <c r="P1279" t="str">
        <f t="shared" si="79"/>
        <v>OK</v>
      </c>
    </row>
    <row r="1280" spans="1:16" x14ac:dyDescent="0.35">
      <c r="A1280" t="s">
        <v>1667</v>
      </c>
      <c r="B1280" s="3">
        <v>45431</v>
      </c>
      <c r="C1280" t="s">
        <v>33</v>
      </c>
      <c r="D1280" t="s">
        <v>19</v>
      </c>
      <c r="E1280" t="s">
        <v>52</v>
      </c>
      <c r="F1280" t="s">
        <v>21</v>
      </c>
      <c r="G1280" t="s">
        <v>22</v>
      </c>
      <c r="H1280">
        <v>7</v>
      </c>
      <c r="I1280">
        <v>200.84</v>
      </c>
      <c r="J1280">
        <v>0.05</v>
      </c>
      <c r="K1280">
        <v>1335.59</v>
      </c>
      <c r="M1280" t="str">
        <f t="shared" si="76"/>
        <v>May</v>
      </c>
      <c r="N1280">
        <f t="shared" si="77"/>
        <v>5</v>
      </c>
      <c r="O1280">
        <f t="shared" si="78"/>
        <v>1335.586</v>
      </c>
      <c r="P1280" t="str">
        <f t="shared" si="79"/>
        <v>OK</v>
      </c>
    </row>
    <row r="1281" spans="1:16" x14ac:dyDescent="0.35">
      <c r="A1281" t="s">
        <v>1668</v>
      </c>
      <c r="B1281" s="3">
        <v>45415</v>
      </c>
      <c r="C1281" t="s">
        <v>65</v>
      </c>
      <c r="D1281" t="s">
        <v>42</v>
      </c>
      <c r="E1281" t="s">
        <v>321</v>
      </c>
      <c r="F1281" t="s">
        <v>15</v>
      </c>
      <c r="G1281" t="s">
        <v>27</v>
      </c>
      <c r="H1281">
        <v>7</v>
      </c>
      <c r="I1281">
        <v>125.82</v>
      </c>
      <c r="J1281">
        <v>0.1</v>
      </c>
      <c r="K1281">
        <v>792.67</v>
      </c>
      <c r="M1281" t="str">
        <f t="shared" si="76"/>
        <v>May</v>
      </c>
      <c r="N1281">
        <f t="shared" si="77"/>
        <v>5</v>
      </c>
      <c r="O1281">
        <f t="shared" si="78"/>
        <v>792.66600000000005</v>
      </c>
      <c r="P1281" t="str">
        <f t="shared" si="79"/>
        <v>OK</v>
      </c>
    </row>
    <row r="1282" spans="1:16" x14ac:dyDescent="0.35">
      <c r="A1282" t="s">
        <v>1669</v>
      </c>
      <c r="B1282" s="3">
        <v>45494</v>
      </c>
      <c r="C1282" t="s">
        <v>18</v>
      </c>
      <c r="D1282" t="s">
        <v>19</v>
      </c>
      <c r="E1282" t="s">
        <v>34</v>
      </c>
      <c r="F1282" t="s">
        <v>15</v>
      </c>
      <c r="G1282" t="s">
        <v>74</v>
      </c>
      <c r="H1282">
        <v>5</v>
      </c>
      <c r="I1282">
        <v>170.91</v>
      </c>
      <c r="J1282">
        <v>0</v>
      </c>
      <c r="K1282">
        <v>854.55</v>
      </c>
      <c r="M1282" t="str">
        <f t="shared" si="76"/>
        <v>Jul</v>
      </c>
      <c r="N1282">
        <f t="shared" si="77"/>
        <v>7</v>
      </c>
      <c r="O1282">
        <f t="shared" si="78"/>
        <v>854.55</v>
      </c>
      <c r="P1282" t="str">
        <f t="shared" si="79"/>
        <v>OK</v>
      </c>
    </row>
    <row r="1283" spans="1:16" x14ac:dyDescent="0.35">
      <c r="A1283" t="s">
        <v>1670</v>
      </c>
      <c r="B1283" s="3">
        <v>45556</v>
      </c>
      <c r="C1283" t="s">
        <v>65</v>
      </c>
      <c r="D1283" t="s">
        <v>57</v>
      </c>
      <c r="E1283" t="s">
        <v>88</v>
      </c>
      <c r="F1283" t="s">
        <v>35</v>
      </c>
      <c r="G1283" t="s">
        <v>134</v>
      </c>
      <c r="H1283">
        <v>9</v>
      </c>
      <c r="I1283">
        <v>131.01</v>
      </c>
      <c r="J1283">
        <v>0.05</v>
      </c>
      <c r="K1283">
        <v>1120.1400000000001</v>
      </c>
      <c r="M1283" t="str">
        <f t="shared" ref="M1283:M1346" si="80">TEXT(B1283,"mmm")</f>
        <v>Sep</v>
      </c>
      <c r="N1283">
        <f t="shared" ref="N1283:N1346" si="81">MONTH(B1283)</f>
        <v>9</v>
      </c>
      <c r="O1283">
        <f t="shared" ref="O1283:O1346" si="82">H1283*I1283*(1-J1283)</f>
        <v>1120.1354999999999</v>
      </c>
      <c r="P1283" t="str">
        <f t="shared" ref="P1283:P1346" si="83">IF(ROUND(K1283,2)=ROUND(O1283,2),"OK","MISMATCH")</f>
        <v>OK</v>
      </c>
    </row>
    <row r="1284" spans="1:16" x14ac:dyDescent="0.35">
      <c r="A1284" t="s">
        <v>1671</v>
      </c>
      <c r="B1284" s="3">
        <v>45496</v>
      </c>
      <c r="C1284" t="s">
        <v>24</v>
      </c>
      <c r="D1284" t="s">
        <v>13</v>
      </c>
      <c r="E1284" t="s">
        <v>221</v>
      </c>
      <c r="F1284" t="s">
        <v>53</v>
      </c>
      <c r="G1284" t="s">
        <v>54</v>
      </c>
      <c r="H1284">
        <v>4</v>
      </c>
      <c r="I1284">
        <v>10.029999999999999</v>
      </c>
      <c r="J1284">
        <v>0</v>
      </c>
      <c r="K1284">
        <v>40.119999999999997</v>
      </c>
      <c r="M1284" t="str">
        <f t="shared" si="80"/>
        <v>Jul</v>
      </c>
      <c r="N1284">
        <f t="shared" si="81"/>
        <v>7</v>
      </c>
      <c r="O1284">
        <f t="shared" si="82"/>
        <v>40.119999999999997</v>
      </c>
      <c r="P1284" t="str">
        <f t="shared" si="83"/>
        <v>OK</v>
      </c>
    </row>
    <row r="1285" spans="1:16" x14ac:dyDescent="0.35">
      <c r="A1285" t="s">
        <v>1672</v>
      </c>
      <c r="B1285" s="3">
        <v>45428</v>
      </c>
      <c r="C1285" t="s">
        <v>24</v>
      </c>
      <c r="D1285" t="s">
        <v>25</v>
      </c>
      <c r="E1285" t="s">
        <v>392</v>
      </c>
      <c r="F1285" t="s">
        <v>35</v>
      </c>
      <c r="G1285" t="s">
        <v>83</v>
      </c>
      <c r="H1285">
        <v>6</v>
      </c>
      <c r="I1285">
        <v>85.35</v>
      </c>
      <c r="J1285">
        <v>0.15</v>
      </c>
      <c r="K1285">
        <v>435.28</v>
      </c>
      <c r="M1285" t="str">
        <f t="shared" si="80"/>
        <v>May</v>
      </c>
      <c r="N1285">
        <f t="shared" si="81"/>
        <v>5</v>
      </c>
      <c r="O1285">
        <f t="shared" si="82"/>
        <v>435.28499999999991</v>
      </c>
      <c r="P1285" t="str">
        <f t="shared" si="83"/>
        <v>MISMATCH</v>
      </c>
    </row>
    <row r="1286" spans="1:16" x14ac:dyDescent="0.35">
      <c r="A1286" t="s">
        <v>1673</v>
      </c>
      <c r="B1286" s="3">
        <v>45441</v>
      </c>
      <c r="C1286" t="s">
        <v>18</v>
      </c>
      <c r="D1286" t="s">
        <v>13</v>
      </c>
      <c r="E1286" t="s">
        <v>489</v>
      </c>
      <c r="F1286" t="s">
        <v>21</v>
      </c>
      <c r="G1286" t="s">
        <v>129</v>
      </c>
      <c r="H1286">
        <v>5</v>
      </c>
      <c r="I1286">
        <v>161.71</v>
      </c>
      <c r="J1286">
        <v>0</v>
      </c>
      <c r="K1286">
        <v>808.55</v>
      </c>
      <c r="M1286" t="str">
        <f t="shared" si="80"/>
        <v>May</v>
      </c>
      <c r="N1286">
        <f t="shared" si="81"/>
        <v>5</v>
      </c>
      <c r="O1286">
        <f t="shared" si="82"/>
        <v>808.55000000000007</v>
      </c>
      <c r="P1286" t="str">
        <f t="shared" si="83"/>
        <v>OK</v>
      </c>
    </row>
    <row r="1287" spans="1:16" x14ac:dyDescent="0.35">
      <c r="A1287" t="s">
        <v>1674</v>
      </c>
      <c r="B1287" s="3">
        <v>45458</v>
      </c>
      <c r="C1287" t="s">
        <v>18</v>
      </c>
      <c r="D1287" t="s">
        <v>57</v>
      </c>
      <c r="E1287" t="s">
        <v>368</v>
      </c>
      <c r="F1287" t="s">
        <v>35</v>
      </c>
      <c r="G1287" t="s">
        <v>134</v>
      </c>
      <c r="H1287">
        <v>9</v>
      </c>
      <c r="I1287">
        <v>179.87</v>
      </c>
      <c r="J1287">
        <v>0</v>
      </c>
      <c r="K1287">
        <v>1618.83</v>
      </c>
      <c r="M1287" t="str">
        <f t="shared" si="80"/>
        <v>Jun</v>
      </c>
      <c r="N1287">
        <f t="shared" si="81"/>
        <v>6</v>
      </c>
      <c r="O1287">
        <f t="shared" si="82"/>
        <v>1618.83</v>
      </c>
      <c r="P1287" t="str">
        <f t="shared" si="83"/>
        <v>OK</v>
      </c>
    </row>
    <row r="1288" spans="1:16" x14ac:dyDescent="0.35">
      <c r="A1288" t="s">
        <v>1675</v>
      </c>
      <c r="B1288" s="3">
        <v>45369</v>
      </c>
      <c r="C1288" t="s">
        <v>18</v>
      </c>
      <c r="D1288" t="s">
        <v>57</v>
      </c>
      <c r="E1288" t="s">
        <v>468</v>
      </c>
      <c r="F1288" t="s">
        <v>21</v>
      </c>
      <c r="G1288" t="s">
        <v>129</v>
      </c>
      <c r="H1288">
        <v>6</v>
      </c>
      <c r="I1288">
        <v>150.41999999999999</v>
      </c>
      <c r="J1288">
        <v>0.15</v>
      </c>
      <c r="K1288">
        <v>767.14</v>
      </c>
      <c r="M1288" t="str">
        <f t="shared" si="80"/>
        <v>Mar</v>
      </c>
      <c r="N1288">
        <f t="shared" si="81"/>
        <v>3</v>
      </c>
      <c r="O1288">
        <f t="shared" si="82"/>
        <v>767.14199999999994</v>
      </c>
      <c r="P1288" t="str">
        <f t="shared" si="83"/>
        <v>OK</v>
      </c>
    </row>
    <row r="1289" spans="1:16" x14ac:dyDescent="0.35">
      <c r="A1289" t="s">
        <v>1450</v>
      </c>
      <c r="B1289" s="3">
        <v>45319</v>
      </c>
      <c r="C1289" t="s">
        <v>18</v>
      </c>
      <c r="D1289" t="s">
        <v>13</v>
      </c>
      <c r="E1289" t="s">
        <v>547</v>
      </c>
      <c r="F1289" t="s">
        <v>44</v>
      </c>
      <c r="G1289" t="s">
        <v>50</v>
      </c>
      <c r="H1289">
        <v>8</v>
      </c>
      <c r="I1289">
        <v>49.87</v>
      </c>
      <c r="J1289">
        <v>0</v>
      </c>
      <c r="K1289">
        <v>398.96</v>
      </c>
      <c r="M1289" t="str">
        <f t="shared" si="80"/>
        <v>Jan</v>
      </c>
      <c r="N1289">
        <f t="shared" si="81"/>
        <v>1</v>
      </c>
      <c r="O1289">
        <f t="shared" si="82"/>
        <v>398.96</v>
      </c>
      <c r="P1289" t="str">
        <f t="shared" si="83"/>
        <v>OK</v>
      </c>
    </row>
    <row r="1290" spans="1:16" x14ac:dyDescent="0.35">
      <c r="A1290" t="s">
        <v>1676</v>
      </c>
      <c r="B1290" s="3">
        <v>45513</v>
      </c>
      <c r="C1290" t="s">
        <v>33</v>
      </c>
      <c r="D1290" t="s">
        <v>57</v>
      </c>
      <c r="E1290" t="s">
        <v>217</v>
      </c>
      <c r="F1290" t="s">
        <v>15</v>
      </c>
      <c r="G1290" t="s">
        <v>74</v>
      </c>
      <c r="H1290">
        <v>7</v>
      </c>
      <c r="I1290">
        <v>218.31</v>
      </c>
      <c r="J1290">
        <v>0</v>
      </c>
      <c r="K1290">
        <v>1528.17</v>
      </c>
      <c r="M1290" t="str">
        <f t="shared" si="80"/>
        <v>Aug</v>
      </c>
      <c r="N1290">
        <f t="shared" si="81"/>
        <v>8</v>
      </c>
      <c r="O1290">
        <f t="shared" si="82"/>
        <v>1528.17</v>
      </c>
      <c r="P1290" t="str">
        <f t="shared" si="83"/>
        <v>OK</v>
      </c>
    </row>
    <row r="1291" spans="1:16" x14ac:dyDescent="0.35">
      <c r="A1291" t="s">
        <v>1677</v>
      </c>
      <c r="B1291" s="3">
        <v>45513</v>
      </c>
      <c r="C1291" t="s">
        <v>18</v>
      </c>
      <c r="D1291" t="s">
        <v>25</v>
      </c>
      <c r="E1291" t="s">
        <v>77</v>
      </c>
      <c r="F1291" t="s">
        <v>15</v>
      </c>
      <c r="G1291" t="s">
        <v>27</v>
      </c>
      <c r="H1291">
        <v>5</v>
      </c>
      <c r="I1291">
        <v>129.30000000000001</v>
      </c>
      <c r="J1291">
        <v>0.15</v>
      </c>
      <c r="K1291">
        <v>549.52</v>
      </c>
      <c r="M1291" t="str">
        <f t="shared" si="80"/>
        <v>Aug</v>
      </c>
      <c r="N1291">
        <f t="shared" si="81"/>
        <v>8</v>
      </c>
      <c r="O1291">
        <f t="shared" si="82"/>
        <v>549.52499999999998</v>
      </c>
      <c r="P1291" t="str">
        <f t="shared" si="83"/>
        <v>MISMATCH</v>
      </c>
    </row>
    <row r="1292" spans="1:16" x14ac:dyDescent="0.35">
      <c r="A1292" t="s">
        <v>1678</v>
      </c>
      <c r="B1292" s="3">
        <v>45592</v>
      </c>
      <c r="C1292" t="s">
        <v>41</v>
      </c>
      <c r="D1292" t="s">
        <v>57</v>
      </c>
      <c r="E1292" t="s">
        <v>521</v>
      </c>
      <c r="F1292" t="s">
        <v>53</v>
      </c>
      <c r="G1292" t="s">
        <v>125</v>
      </c>
      <c r="H1292">
        <v>8</v>
      </c>
      <c r="I1292">
        <v>52.27</v>
      </c>
      <c r="J1292">
        <v>0</v>
      </c>
      <c r="K1292">
        <v>418.16</v>
      </c>
      <c r="M1292" t="str">
        <f t="shared" si="80"/>
        <v>Oct</v>
      </c>
      <c r="N1292">
        <f t="shared" si="81"/>
        <v>10</v>
      </c>
      <c r="O1292">
        <f t="shared" si="82"/>
        <v>418.16</v>
      </c>
      <c r="P1292" t="str">
        <f t="shared" si="83"/>
        <v>OK</v>
      </c>
    </row>
    <row r="1293" spans="1:16" x14ac:dyDescent="0.35">
      <c r="A1293" t="s">
        <v>256</v>
      </c>
      <c r="B1293" s="3">
        <v>45396</v>
      </c>
      <c r="C1293" t="s">
        <v>33</v>
      </c>
      <c r="D1293" t="s">
        <v>25</v>
      </c>
      <c r="E1293" t="s">
        <v>257</v>
      </c>
      <c r="F1293" t="s">
        <v>15</v>
      </c>
      <c r="G1293" t="s">
        <v>27</v>
      </c>
      <c r="H1293">
        <v>7</v>
      </c>
      <c r="I1293">
        <v>136.41999999999999</v>
      </c>
      <c r="J1293">
        <v>0.1</v>
      </c>
      <c r="K1293">
        <v>859.45</v>
      </c>
      <c r="M1293" t="str">
        <f t="shared" si="80"/>
        <v>Apr</v>
      </c>
      <c r="N1293">
        <f t="shared" si="81"/>
        <v>4</v>
      </c>
      <c r="O1293">
        <f t="shared" si="82"/>
        <v>859.44599999999991</v>
      </c>
      <c r="P1293" t="str">
        <f t="shared" si="83"/>
        <v>OK</v>
      </c>
    </row>
    <row r="1294" spans="1:16" x14ac:dyDescent="0.35">
      <c r="A1294" t="s">
        <v>1679</v>
      </c>
      <c r="B1294" s="3">
        <v>45355</v>
      </c>
      <c r="C1294" t="s">
        <v>65</v>
      </c>
      <c r="D1294" t="s">
        <v>42</v>
      </c>
      <c r="E1294" t="s">
        <v>902</v>
      </c>
      <c r="F1294" t="s">
        <v>53</v>
      </c>
      <c r="G1294" t="s">
        <v>125</v>
      </c>
      <c r="H1294">
        <v>8</v>
      </c>
      <c r="I1294">
        <v>107.2</v>
      </c>
      <c r="J1294">
        <v>0.15</v>
      </c>
      <c r="K1294">
        <v>728.96</v>
      </c>
      <c r="M1294" t="str">
        <f t="shared" si="80"/>
        <v>Mar</v>
      </c>
      <c r="N1294">
        <f t="shared" si="81"/>
        <v>3</v>
      </c>
      <c r="O1294">
        <f t="shared" si="82"/>
        <v>728.96</v>
      </c>
      <c r="P1294" t="str">
        <f t="shared" si="83"/>
        <v>OK</v>
      </c>
    </row>
    <row r="1295" spans="1:16" x14ac:dyDescent="0.35">
      <c r="A1295" t="s">
        <v>1680</v>
      </c>
      <c r="B1295" s="3">
        <v>45365</v>
      </c>
      <c r="C1295" t="s">
        <v>24</v>
      </c>
      <c r="D1295" t="s">
        <v>57</v>
      </c>
      <c r="E1295" t="s">
        <v>590</v>
      </c>
      <c r="F1295" t="s">
        <v>35</v>
      </c>
      <c r="G1295" t="s">
        <v>134</v>
      </c>
      <c r="H1295">
        <v>2</v>
      </c>
      <c r="I1295">
        <v>13.53</v>
      </c>
      <c r="J1295">
        <v>0</v>
      </c>
      <c r="K1295">
        <v>27.06</v>
      </c>
      <c r="M1295" t="str">
        <f t="shared" si="80"/>
        <v>Mar</v>
      </c>
      <c r="N1295">
        <f t="shared" si="81"/>
        <v>3</v>
      </c>
      <c r="O1295">
        <f t="shared" si="82"/>
        <v>27.06</v>
      </c>
      <c r="P1295" t="str">
        <f t="shared" si="83"/>
        <v>OK</v>
      </c>
    </row>
    <row r="1296" spans="1:16" x14ac:dyDescent="0.35">
      <c r="A1296" t="s">
        <v>1681</v>
      </c>
      <c r="B1296" s="3">
        <v>45473</v>
      </c>
      <c r="C1296" t="s">
        <v>41</v>
      </c>
      <c r="D1296" t="s">
        <v>19</v>
      </c>
      <c r="E1296" t="s">
        <v>160</v>
      </c>
      <c r="F1296" t="s">
        <v>15</v>
      </c>
      <c r="G1296" t="s">
        <v>147</v>
      </c>
      <c r="H1296">
        <v>7</v>
      </c>
      <c r="I1296">
        <v>115.18</v>
      </c>
      <c r="J1296">
        <v>0.1</v>
      </c>
      <c r="K1296">
        <v>725.63</v>
      </c>
      <c r="M1296" t="str">
        <f t="shared" si="80"/>
        <v>Jun</v>
      </c>
      <c r="N1296">
        <f t="shared" si="81"/>
        <v>6</v>
      </c>
      <c r="O1296">
        <f t="shared" si="82"/>
        <v>725.63400000000001</v>
      </c>
      <c r="P1296" t="str">
        <f t="shared" si="83"/>
        <v>OK</v>
      </c>
    </row>
    <row r="1297" spans="1:16" x14ac:dyDescent="0.35">
      <c r="A1297" t="s">
        <v>1682</v>
      </c>
      <c r="B1297" s="3">
        <v>45392</v>
      </c>
      <c r="C1297" t="s">
        <v>65</v>
      </c>
      <c r="D1297" t="s">
        <v>42</v>
      </c>
      <c r="E1297" t="s">
        <v>284</v>
      </c>
      <c r="F1297" t="s">
        <v>53</v>
      </c>
      <c r="G1297" t="s">
        <v>59</v>
      </c>
      <c r="H1297">
        <v>5</v>
      </c>
      <c r="I1297">
        <v>63.95</v>
      </c>
      <c r="J1297">
        <v>0.1</v>
      </c>
      <c r="K1297">
        <v>287.77999999999997</v>
      </c>
      <c r="M1297" t="str">
        <f t="shared" si="80"/>
        <v>Apr</v>
      </c>
      <c r="N1297">
        <f t="shared" si="81"/>
        <v>4</v>
      </c>
      <c r="O1297">
        <f t="shared" si="82"/>
        <v>287.77500000000003</v>
      </c>
      <c r="P1297" t="str">
        <f t="shared" si="83"/>
        <v>OK</v>
      </c>
    </row>
    <row r="1298" spans="1:16" x14ac:dyDescent="0.35">
      <c r="A1298" t="s">
        <v>1683</v>
      </c>
      <c r="B1298" s="3">
        <v>45468</v>
      </c>
      <c r="C1298" t="s">
        <v>18</v>
      </c>
      <c r="D1298" t="s">
        <v>2216</v>
      </c>
      <c r="E1298" t="s">
        <v>842</v>
      </c>
      <c r="F1298" t="s">
        <v>53</v>
      </c>
      <c r="G1298" t="s">
        <v>104</v>
      </c>
      <c r="H1298">
        <v>11</v>
      </c>
      <c r="I1298">
        <v>69.709999999999994</v>
      </c>
      <c r="J1298">
        <v>0.05</v>
      </c>
      <c r="K1298">
        <v>728.47</v>
      </c>
      <c r="M1298" t="str">
        <f t="shared" si="80"/>
        <v>Jun</v>
      </c>
      <c r="N1298">
        <f t="shared" si="81"/>
        <v>6</v>
      </c>
      <c r="O1298">
        <f t="shared" si="82"/>
        <v>728.46949999999993</v>
      </c>
      <c r="P1298" t="str">
        <f t="shared" si="83"/>
        <v>OK</v>
      </c>
    </row>
    <row r="1299" spans="1:16" x14ac:dyDescent="0.35">
      <c r="A1299" t="s">
        <v>1684</v>
      </c>
      <c r="B1299" s="3">
        <v>45486</v>
      </c>
      <c r="C1299" t="s">
        <v>18</v>
      </c>
      <c r="D1299" t="s">
        <v>25</v>
      </c>
      <c r="E1299" t="s">
        <v>620</v>
      </c>
      <c r="F1299" t="s">
        <v>35</v>
      </c>
      <c r="G1299" t="s">
        <v>177</v>
      </c>
      <c r="H1299">
        <v>5</v>
      </c>
      <c r="I1299">
        <v>137.61000000000001</v>
      </c>
      <c r="J1299">
        <v>0</v>
      </c>
      <c r="K1299">
        <v>688.05</v>
      </c>
      <c r="M1299" t="str">
        <f t="shared" si="80"/>
        <v>Jul</v>
      </c>
      <c r="N1299">
        <f t="shared" si="81"/>
        <v>7</v>
      </c>
      <c r="O1299">
        <f t="shared" si="82"/>
        <v>688.05000000000007</v>
      </c>
      <c r="P1299" t="str">
        <f t="shared" si="83"/>
        <v>OK</v>
      </c>
    </row>
    <row r="1300" spans="1:16" x14ac:dyDescent="0.35">
      <c r="A1300" t="s">
        <v>1685</v>
      </c>
      <c r="B1300" s="3">
        <v>45297</v>
      </c>
      <c r="C1300" t="s">
        <v>18</v>
      </c>
      <c r="D1300" t="s">
        <v>25</v>
      </c>
      <c r="E1300" t="s">
        <v>696</v>
      </c>
      <c r="F1300" t="s">
        <v>15</v>
      </c>
      <c r="G1300" t="s">
        <v>74</v>
      </c>
      <c r="H1300">
        <v>8</v>
      </c>
      <c r="I1300">
        <v>15.24</v>
      </c>
      <c r="J1300">
        <v>0</v>
      </c>
      <c r="K1300">
        <v>121.92</v>
      </c>
      <c r="M1300" t="str">
        <f t="shared" si="80"/>
        <v>Jan</v>
      </c>
      <c r="N1300">
        <f t="shared" si="81"/>
        <v>1</v>
      </c>
      <c r="O1300">
        <f t="shared" si="82"/>
        <v>121.92</v>
      </c>
      <c r="P1300" t="str">
        <f t="shared" si="83"/>
        <v>OK</v>
      </c>
    </row>
    <row r="1301" spans="1:16" x14ac:dyDescent="0.35">
      <c r="A1301" t="s">
        <v>1686</v>
      </c>
      <c r="B1301" s="3">
        <v>45574</v>
      </c>
      <c r="C1301" t="s">
        <v>18</v>
      </c>
      <c r="D1301" t="s">
        <v>19</v>
      </c>
      <c r="E1301" t="s">
        <v>492</v>
      </c>
      <c r="F1301" t="s">
        <v>35</v>
      </c>
      <c r="G1301" t="s">
        <v>83</v>
      </c>
      <c r="H1301">
        <v>6</v>
      </c>
      <c r="I1301">
        <v>116.56</v>
      </c>
      <c r="J1301">
        <v>0</v>
      </c>
      <c r="K1301">
        <v>699.36</v>
      </c>
      <c r="M1301" t="str">
        <f t="shared" si="80"/>
        <v>Oct</v>
      </c>
      <c r="N1301">
        <f t="shared" si="81"/>
        <v>10</v>
      </c>
      <c r="O1301">
        <f t="shared" si="82"/>
        <v>699.36</v>
      </c>
      <c r="P1301" t="str">
        <f t="shared" si="83"/>
        <v>OK</v>
      </c>
    </row>
    <row r="1302" spans="1:16" x14ac:dyDescent="0.35">
      <c r="A1302" t="s">
        <v>1687</v>
      </c>
      <c r="B1302" s="3">
        <v>45647</v>
      </c>
      <c r="C1302" t="s">
        <v>41</v>
      </c>
      <c r="D1302" t="s">
        <v>57</v>
      </c>
      <c r="E1302" t="s">
        <v>462</v>
      </c>
      <c r="F1302" t="s">
        <v>53</v>
      </c>
      <c r="G1302" t="s">
        <v>59</v>
      </c>
      <c r="H1302">
        <v>7</v>
      </c>
      <c r="I1302">
        <v>85.66</v>
      </c>
      <c r="J1302">
        <v>0.1</v>
      </c>
      <c r="K1302">
        <v>539.66</v>
      </c>
      <c r="M1302" t="str">
        <f t="shared" si="80"/>
        <v>Dec</v>
      </c>
      <c r="N1302">
        <f t="shared" si="81"/>
        <v>12</v>
      </c>
      <c r="O1302">
        <f t="shared" si="82"/>
        <v>539.65800000000002</v>
      </c>
      <c r="P1302" t="str">
        <f t="shared" si="83"/>
        <v>OK</v>
      </c>
    </row>
    <row r="1303" spans="1:16" x14ac:dyDescent="0.35">
      <c r="A1303" t="s">
        <v>1688</v>
      </c>
      <c r="B1303" s="3">
        <v>45536</v>
      </c>
      <c r="C1303" t="s">
        <v>18</v>
      </c>
      <c r="D1303" t="s">
        <v>57</v>
      </c>
      <c r="E1303" t="s">
        <v>590</v>
      </c>
      <c r="F1303" t="s">
        <v>21</v>
      </c>
      <c r="G1303" t="s">
        <v>129</v>
      </c>
      <c r="H1303">
        <v>4</v>
      </c>
      <c r="I1303">
        <v>143.71</v>
      </c>
      <c r="J1303">
        <v>0.15</v>
      </c>
      <c r="K1303">
        <v>488.61</v>
      </c>
      <c r="M1303" t="str">
        <f t="shared" si="80"/>
        <v>Sep</v>
      </c>
      <c r="N1303">
        <f t="shared" si="81"/>
        <v>9</v>
      </c>
      <c r="O1303">
        <f t="shared" si="82"/>
        <v>488.61400000000003</v>
      </c>
      <c r="P1303" t="str">
        <f t="shared" si="83"/>
        <v>OK</v>
      </c>
    </row>
    <row r="1304" spans="1:16" x14ac:dyDescent="0.35">
      <c r="A1304" t="s">
        <v>1689</v>
      </c>
      <c r="B1304" s="3">
        <v>45592</v>
      </c>
      <c r="C1304" t="s">
        <v>18</v>
      </c>
      <c r="D1304" t="s">
        <v>57</v>
      </c>
      <c r="E1304" t="s">
        <v>590</v>
      </c>
      <c r="F1304" t="s">
        <v>44</v>
      </c>
      <c r="G1304" t="s">
        <v>86</v>
      </c>
      <c r="H1304">
        <v>1</v>
      </c>
      <c r="I1304">
        <v>121.85</v>
      </c>
      <c r="J1304">
        <v>0</v>
      </c>
      <c r="K1304">
        <v>121.85</v>
      </c>
      <c r="M1304" t="str">
        <f t="shared" si="80"/>
        <v>Oct</v>
      </c>
      <c r="N1304">
        <f t="shared" si="81"/>
        <v>10</v>
      </c>
      <c r="O1304">
        <f t="shared" si="82"/>
        <v>121.85</v>
      </c>
      <c r="P1304" t="str">
        <f t="shared" si="83"/>
        <v>OK</v>
      </c>
    </row>
    <row r="1305" spans="1:16" x14ac:dyDescent="0.35">
      <c r="A1305" t="s">
        <v>1690</v>
      </c>
      <c r="B1305" s="3">
        <v>45515</v>
      </c>
      <c r="C1305" t="s">
        <v>65</v>
      </c>
      <c r="D1305" t="s">
        <v>19</v>
      </c>
      <c r="E1305" t="s">
        <v>20</v>
      </c>
      <c r="F1305" t="s">
        <v>21</v>
      </c>
      <c r="G1305" t="s">
        <v>129</v>
      </c>
      <c r="H1305">
        <v>7</v>
      </c>
      <c r="I1305">
        <v>66.77</v>
      </c>
      <c r="J1305">
        <v>0.05</v>
      </c>
      <c r="K1305">
        <v>444.02</v>
      </c>
      <c r="M1305" t="str">
        <f t="shared" si="80"/>
        <v>Aug</v>
      </c>
      <c r="N1305">
        <f t="shared" si="81"/>
        <v>8</v>
      </c>
      <c r="O1305">
        <f t="shared" si="82"/>
        <v>444.02049999999997</v>
      </c>
      <c r="P1305" t="str">
        <f t="shared" si="83"/>
        <v>OK</v>
      </c>
    </row>
    <row r="1306" spans="1:16" x14ac:dyDescent="0.35">
      <c r="A1306" t="s">
        <v>1691</v>
      </c>
      <c r="B1306" s="3">
        <v>45524</v>
      </c>
      <c r="C1306" t="s">
        <v>18</v>
      </c>
      <c r="D1306" t="s">
        <v>13</v>
      </c>
      <c r="E1306" t="s">
        <v>381</v>
      </c>
      <c r="F1306" t="s">
        <v>15</v>
      </c>
      <c r="G1306" t="s">
        <v>27</v>
      </c>
      <c r="H1306">
        <v>12</v>
      </c>
      <c r="I1306">
        <v>238.68</v>
      </c>
      <c r="J1306">
        <v>0</v>
      </c>
      <c r="K1306">
        <v>2864.16</v>
      </c>
      <c r="M1306" t="str">
        <f t="shared" si="80"/>
        <v>Aug</v>
      </c>
      <c r="N1306">
        <f t="shared" si="81"/>
        <v>8</v>
      </c>
      <c r="O1306">
        <f t="shared" si="82"/>
        <v>2864.16</v>
      </c>
      <c r="P1306" t="str">
        <f t="shared" si="83"/>
        <v>OK</v>
      </c>
    </row>
    <row r="1307" spans="1:16" x14ac:dyDescent="0.35">
      <c r="A1307" t="s">
        <v>1692</v>
      </c>
      <c r="B1307" s="3">
        <v>45641</v>
      </c>
      <c r="C1307" t="s">
        <v>33</v>
      </c>
      <c r="D1307" t="s">
        <v>19</v>
      </c>
      <c r="E1307" t="s">
        <v>73</v>
      </c>
      <c r="F1307" t="s">
        <v>15</v>
      </c>
      <c r="G1307" t="s">
        <v>111</v>
      </c>
      <c r="H1307">
        <v>4</v>
      </c>
      <c r="I1307">
        <v>249.86</v>
      </c>
      <c r="J1307">
        <v>0</v>
      </c>
      <c r="K1307">
        <v>999.44</v>
      </c>
      <c r="M1307" t="str">
        <f t="shared" si="80"/>
        <v>Dec</v>
      </c>
      <c r="N1307">
        <f t="shared" si="81"/>
        <v>12</v>
      </c>
      <c r="O1307">
        <f t="shared" si="82"/>
        <v>999.44</v>
      </c>
      <c r="P1307" t="str">
        <f t="shared" si="83"/>
        <v>OK</v>
      </c>
    </row>
    <row r="1308" spans="1:16" x14ac:dyDescent="0.35">
      <c r="A1308" t="s">
        <v>1693</v>
      </c>
      <c r="B1308" s="3">
        <v>45609</v>
      </c>
      <c r="C1308" t="s">
        <v>18</v>
      </c>
      <c r="D1308" t="s">
        <v>42</v>
      </c>
      <c r="E1308" t="s">
        <v>1159</v>
      </c>
      <c r="F1308" t="s">
        <v>21</v>
      </c>
      <c r="G1308" t="s">
        <v>167</v>
      </c>
      <c r="H1308">
        <v>4</v>
      </c>
      <c r="I1308">
        <v>231.81</v>
      </c>
      <c r="J1308">
        <v>0</v>
      </c>
      <c r="K1308">
        <v>927.24</v>
      </c>
      <c r="M1308" t="str">
        <f t="shared" si="80"/>
        <v>Nov</v>
      </c>
      <c r="N1308">
        <f t="shared" si="81"/>
        <v>11</v>
      </c>
      <c r="O1308">
        <f t="shared" si="82"/>
        <v>927.24</v>
      </c>
      <c r="P1308" t="str">
        <f t="shared" si="83"/>
        <v>OK</v>
      </c>
    </row>
    <row r="1309" spans="1:16" x14ac:dyDescent="0.35">
      <c r="A1309" t="s">
        <v>1694</v>
      </c>
      <c r="B1309" s="3">
        <v>45406</v>
      </c>
      <c r="C1309" t="s">
        <v>41</v>
      </c>
      <c r="D1309" t="s">
        <v>13</v>
      </c>
      <c r="E1309" t="s">
        <v>296</v>
      </c>
      <c r="F1309" t="s">
        <v>21</v>
      </c>
      <c r="G1309" t="s">
        <v>194</v>
      </c>
      <c r="H1309">
        <v>10</v>
      </c>
      <c r="I1309">
        <v>217.06</v>
      </c>
      <c r="J1309">
        <v>0.05</v>
      </c>
      <c r="K1309">
        <v>2062.0700000000002</v>
      </c>
      <c r="M1309" t="str">
        <f t="shared" si="80"/>
        <v>Apr</v>
      </c>
      <c r="N1309">
        <f t="shared" si="81"/>
        <v>4</v>
      </c>
      <c r="O1309">
        <f t="shared" si="82"/>
        <v>2062.0699999999997</v>
      </c>
      <c r="P1309" t="str">
        <f t="shared" si="83"/>
        <v>OK</v>
      </c>
    </row>
    <row r="1310" spans="1:16" x14ac:dyDescent="0.35">
      <c r="A1310" t="s">
        <v>1695</v>
      </c>
      <c r="B1310" s="3">
        <v>45501</v>
      </c>
      <c r="C1310" t="s">
        <v>41</v>
      </c>
      <c r="D1310" t="s">
        <v>19</v>
      </c>
      <c r="E1310" t="s">
        <v>407</v>
      </c>
      <c r="F1310" t="s">
        <v>44</v>
      </c>
      <c r="G1310" t="s">
        <v>86</v>
      </c>
      <c r="H1310">
        <v>7</v>
      </c>
      <c r="I1310">
        <v>31.11</v>
      </c>
      <c r="J1310">
        <v>0.15</v>
      </c>
      <c r="K1310">
        <v>185.1</v>
      </c>
      <c r="M1310" t="str">
        <f t="shared" si="80"/>
        <v>Jul</v>
      </c>
      <c r="N1310">
        <f t="shared" si="81"/>
        <v>7</v>
      </c>
      <c r="O1310">
        <f t="shared" si="82"/>
        <v>185.10449999999997</v>
      </c>
      <c r="P1310" t="str">
        <f t="shared" si="83"/>
        <v>OK</v>
      </c>
    </row>
    <row r="1311" spans="1:16" x14ac:dyDescent="0.35">
      <c r="A1311" t="s">
        <v>1696</v>
      </c>
      <c r="B1311" s="3">
        <v>45529</v>
      </c>
      <c r="C1311" t="s">
        <v>33</v>
      </c>
      <c r="D1311" t="s">
        <v>13</v>
      </c>
      <c r="E1311" t="s">
        <v>113</v>
      </c>
      <c r="F1311" t="s">
        <v>44</v>
      </c>
      <c r="G1311" t="s">
        <v>94</v>
      </c>
      <c r="H1311">
        <v>4</v>
      </c>
      <c r="I1311">
        <v>72.72</v>
      </c>
      <c r="J1311">
        <v>0</v>
      </c>
      <c r="K1311">
        <v>290.88</v>
      </c>
      <c r="M1311" t="str">
        <f t="shared" si="80"/>
        <v>Aug</v>
      </c>
      <c r="N1311">
        <f t="shared" si="81"/>
        <v>8</v>
      </c>
      <c r="O1311">
        <f t="shared" si="82"/>
        <v>290.88</v>
      </c>
      <c r="P1311" t="str">
        <f t="shared" si="83"/>
        <v>OK</v>
      </c>
    </row>
    <row r="1312" spans="1:16" x14ac:dyDescent="0.35">
      <c r="A1312" t="s">
        <v>1697</v>
      </c>
      <c r="B1312" s="3">
        <v>45304</v>
      </c>
      <c r="C1312" t="s">
        <v>33</v>
      </c>
      <c r="D1312" t="s">
        <v>42</v>
      </c>
      <c r="E1312" t="s">
        <v>535</v>
      </c>
      <c r="F1312" t="s">
        <v>15</v>
      </c>
      <c r="G1312" t="s">
        <v>74</v>
      </c>
      <c r="H1312">
        <v>2</v>
      </c>
      <c r="I1312">
        <v>163.13999999999999</v>
      </c>
      <c r="J1312">
        <v>0.05</v>
      </c>
      <c r="K1312">
        <v>309.97000000000003</v>
      </c>
      <c r="M1312" t="str">
        <f t="shared" si="80"/>
        <v>Jan</v>
      </c>
      <c r="N1312">
        <f t="shared" si="81"/>
        <v>1</v>
      </c>
      <c r="O1312">
        <f t="shared" si="82"/>
        <v>309.96599999999995</v>
      </c>
      <c r="P1312" t="str">
        <f t="shared" si="83"/>
        <v>OK</v>
      </c>
    </row>
    <row r="1313" spans="1:16" x14ac:dyDescent="0.35">
      <c r="A1313" t="s">
        <v>1699</v>
      </c>
      <c r="B1313" s="3">
        <v>45627</v>
      </c>
      <c r="C1313" t="s">
        <v>33</v>
      </c>
      <c r="D1313" t="s">
        <v>42</v>
      </c>
      <c r="E1313" t="s">
        <v>120</v>
      </c>
      <c r="F1313" t="s">
        <v>35</v>
      </c>
      <c r="G1313" t="s">
        <v>36</v>
      </c>
      <c r="H1313">
        <v>2</v>
      </c>
      <c r="I1313">
        <v>35.99</v>
      </c>
      <c r="J1313">
        <v>0</v>
      </c>
      <c r="K1313">
        <v>71.98</v>
      </c>
      <c r="M1313" t="str">
        <f t="shared" si="80"/>
        <v>Dec</v>
      </c>
      <c r="N1313">
        <f t="shared" si="81"/>
        <v>12</v>
      </c>
      <c r="O1313">
        <f t="shared" si="82"/>
        <v>71.98</v>
      </c>
      <c r="P1313" t="str">
        <f t="shared" si="83"/>
        <v>OK</v>
      </c>
    </row>
    <row r="1314" spans="1:16" x14ac:dyDescent="0.35">
      <c r="A1314" t="s">
        <v>1700</v>
      </c>
      <c r="B1314" s="3">
        <v>45591</v>
      </c>
      <c r="C1314" t="s">
        <v>41</v>
      </c>
      <c r="D1314" t="s">
        <v>19</v>
      </c>
      <c r="E1314" t="s">
        <v>508</v>
      </c>
      <c r="F1314" t="s">
        <v>15</v>
      </c>
      <c r="G1314" t="s">
        <v>111</v>
      </c>
      <c r="H1314">
        <v>12</v>
      </c>
      <c r="I1314">
        <v>126.05</v>
      </c>
      <c r="J1314">
        <v>0.05</v>
      </c>
      <c r="K1314">
        <v>1436.97</v>
      </c>
      <c r="M1314" t="str">
        <f t="shared" si="80"/>
        <v>Oct</v>
      </c>
      <c r="N1314">
        <f t="shared" si="81"/>
        <v>10</v>
      </c>
      <c r="O1314">
        <f t="shared" si="82"/>
        <v>1436.9699999999998</v>
      </c>
      <c r="P1314" t="str">
        <f t="shared" si="83"/>
        <v>OK</v>
      </c>
    </row>
    <row r="1315" spans="1:16" x14ac:dyDescent="0.35">
      <c r="A1315" t="s">
        <v>1701</v>
      </c>
      <c r="B1315" s="3">
        <v>45410</v>
      </c>
      <c r="C1315" t="s">
        <v>41</v>
      </c>
      <c r="D1315" t="s">
        <v>25</v>
      </c>
      <c r="E1315" t="s">
        <v>439</v>
      </c>
      <c r="F1315" t="s">
        <v>15</v>
      </c>
      <c r="G1315" t="s">
        <v>27</v>
      </c>
      <c r="H1315">
        <v>4</v>
      </c>
      <c r="I1315">
        <v>186.77</v>
      </c>
      <c r="J1315">
        <v>0</v>
      </c>
      <c r="K1315">
        <v>747.08</v>
      </c>
      <c r="M1315" t="str">
        <f t="shared" si="80"/>
        <v>Apr</v>
      </c>
      <c r="N1315">
        <f t="shared" si="81"/>
        <v>4</v>
      </c>
      <c r="O1315">
        <f t="shared" si="82"/>
        <v>747.08</v>
      </c>
      <c r="P1315" t="str">
        <f t="shared" si="83"/>
        <v>OK</v>
      </c>
    </row>
    <row r="1316" spans="1:16" x14ac:dyDescent="0.35">
      <c r="A1316" t="s">
        <v>1702</v>
      </c>
      <c r="B1316" s="3">
        <v>45568</v>
      </c>
      <c r="C1316" t="s">
        <v>33</v>
      </c>
      <c r="D1316" t="s">
        <v>42</v>
      </c>
      <c r="E1316" t="s">
        <v>531</v>
      </c>
      <c r="F1316" t="s">
        <v>21</v>
      </c>
      <c r="G1316" t="s">
        <v>70</v>
      </c>
      <c r="H1316">
        <v>11</v>
      </c>
      <c r="I1316">
        <v>224.29</v>
      </c>
      <c r="J1316">
        <v>0</v>
      </c>
      <c r="K1316">
        <v>2467.19</v>
      </c>
      <c r="M1316" t="str">
        <f t="shared" si="80"/>
        <v>Oct</v>
      </c>
      <c r="N1316">
        <f t="shared" si="81"/>
        <v>10</v>
      </c>
      <c r="O1316">
        <f t="shared" si="82"/>
        <v>2467.19</v>
      </c>
      <c r="P1316" t="str">
        <f t="shared" si="83"/>
        <v>OK</v>
      </c>
    </row>
    <row r="1317" spans="1:16" x14ac:dyDescent="0.35">
      <c r="A1317" t="s">
        <v>1703</v>
      </c>
      <c r="B1317" s="3">
        <v>45590</v>
      </c>
      <c r="C1317" t="s">
        <v>18</v>
      </c>
      <c r="D1317" t="s">
        <v>42</v>
      </c>
      <c r="E1317" t="s">
        <v>77</v>
      </c>
      <c r="F1317" t="s">
        <v>44</v>
      </c>
      <c r="G1317" t="s">
        <v>50</v>
      </c>
      <c r="H1317">
        <v>11</v>
      </c>
      <c r="I1317">
        <v>61.89</v>
      </c>
      <c r="J1317">
        <v>0</v>
      </c>
      <c r="K1317">
        <v>680.79</v>
      </c>
      <c r="M1317" t="str">
        <f t="shared" si="80"/>
        <v>Oct</v>
      </c>
      <c r="N1317">
        <f t="shared" si="81"/>
        <v>10</v>
      </c>
      <c r="O1317">
        <f t="shared" si="82"/>
        <v>680.79</v>
      </c>
      <c r="P1317" t="str">
        <f t="shared" si="83"/>
        <v>OK</v>
      </c>
    </row>
    <row r="1318" spans="1:16" x14ac:dyDescent="0.35">
      <c r="A1318" t="s">
        <v>1705</v>
      </c>
      <c r="B1318" s="3">
        <v>45581</v>
      </c>
      <c r="C1318" t="s">
        <v>33</v>
      </c>
      <c r="D1318" t="s">
        <v>19</v>
      </c>
      <c r="E1318" t="s">
        <v>489</v>
      </c>
      <c r="F1318" t="s">
        <v>53</v>
      </c>
      <c r="G1318" t="s">
        <v>104</v>
      </c>
      <c r="H1318">
        <v>5</v>
      </c>
      <c r="I1318">
        <v>201.81</v>
      </c>
      <c r="J1318">
        <v>0.1</v>
      </c>
      <c r="K1318">
        <v>908.14</v>
      </c>
      <c r="M1318" t="str">
        <f t="shared" si="80"/>
        <v>Oct</v>
      </c>
      <c r="N1318">
        <f t="shared" si="81"/>
        <v>10</v>
      </c>
      <c r="O1318">
        <f t="shared" si="82"/>
        <v>908.14499999999998</v>
      </c>
      <c r="P1318" t="str">
        <f t="shared" si="83"/>
        <v>MISMATCH</v>
      </c>
    </row>
    <row r="1319" spans="1:16" x14ac:dyDescent="0.35">
      <c r="A1319" t="s">
        <v>1706</v>
      </c>
      <c r="B1319" s="3">
        <v>45540</v>
      </c>
      <c r="C1319" t="s">
        <v>18</v>
      </c>
      <c r="D1319" t="s">
        <v>19</v>
      </c>
      <c r="E1319" t="s">
        <v>693</v>
      </c>
      <c r="F1319" t="s">
        <v>15</v>
      </c>
      <c r="G1319" t="s">
        <v>16</v>
      </c>
      <c r="H1319">
        <v>10</v>
      </c>
      <c r="I1319">
        <v>117.21</v>
      </c>
      <c r="J1319">
        <v>0</v>
      </c>
      <c r="K1319">
        <v>1172.0999999999999</v>
      </c>
      <c r="M1319" t="str">
        <f t="shared" si="80"/>
        <v>Sep</v>
      </c>
      <c r="N1319">
        <f t="shared" si="81"/>
        <v>9</v>
      </c>
      <c r="O1319">
        <f t="shared" si="82"/>
        <v>1172.0999999999999</v>
      </c>
      <c r="P1319" t="str">
        <f t="shared" si="83"/>
        <v>OK</v>
      </c>
    </row>
    <row r="1320" spans="1:16" x14ac:dyDescent="0.35">
      <c r="A1320" t="s">
        <v>1707</v>
      </c>
      <c r="B1320" s="3">
        <v>45636</v>
      </c>
      <c r="C1320" t="s">
        <v>33</v>
      </c>
      <c r="D1320" t="s">
        <v>13</v>
      </c>
      <c r="E1320" t="s">
        <v>204</v>
      </c>
      <c r="F1320" t="s">
        <v>44</v>
      </c>
      <c r="G1320" t="s">
        <v>107</v>
      </c>
      <c r="H1320">
        <v>1</v>
      </c>
      <c r="I1320">
        <v>191.34</v>
      </c>
      <c r="J1320">
        <v>0.15</v>
      </c>
      <c r="K1320">
        <v>162.63999999999999</v>
      </c>
      <c r="M1320" t="str">
        <f t="shared" si="80"/>
        <v>Dec</v>
      </c>
      <c r="N1320">
        <f t="shared" si="81"/>
        <v>12</v>
      </c>
      <c r="O1320">
        <f t="shared" si="82"/>
        <v>162.63900000000001</v>
      </c>
      <c r="P1320" t="str">
        <f t="shared" si="83"/>
        <v>OK</v>
      </c>
    </row>
    <row r="1321" spans="1:16" x14ac:dyDescent="0.35">
      <c r="A1321" t="s">
        <v>1708</v>
      </c>
      <c r="B1321" s="3">
        <v>45450</v>
      </c>
      <c r="C1321" t="s">
        <v>33</v>
      </c>
      <c r="D1321" t="s">
        <v>57</v>
      </c>
      <c r="E1321" t="s">
        <v>158</v>
      </c>
      <c r="F1321" t="s">
        <v>15</v>
      </c>
      <c r="G1321" t="s">
        <v>16</v>
      </c>
      <c r="H1321">
        <v>6</v>
      </c>
      <c r="I1321">
        <v>162.66</v>
      </c>
      <c r="J1321">
        <v>0</v>
      </c>
      <c r="K1321">
        <v>975.96</v>
      </c>
      <c r="M1321" t="str">
        <f t="shared" si="80"/>
        <v>Jun</v>
      </c>
      <c r="N1321">
        <f t="shared" si="81"/>
        <v>6</v>
      </c>
      <c r="O1321">
        <f t="shared" si="82"/>
        <v>975.96</v>
      </c>
      <c r="P1321" t="str">
        <f t="shared" si="83"/>
        <v>OK</v>
      </c>
    </row>
    <row r="1322" spans="1:16" x14ac:dyDescent="0.35">
      <c r="A1322" t="s">
        <v>1709</v>
      </c>
      <c r="B1322" s="3">
        <v>45411</v>
      </c>
      <c r="C1322" t="s">
        <v>41</v>
      </c>
      <c r="D1322" t="s">
        <v>25</v>
      </c>
      <c r="E1322" t="s">
        <v>716</v>
      </c>
      <c r="F1322" t="s">
        <v>35</v>
      </c>
      <c r="G1322" t="s">
        <v>177</v>
      </c>
      <c r="H1322">
        <v>7</v>
      </c>
      <c r="I1322">
        <v>172.46</v>
      </c>
      <c r="J1322">
        <v>0.05</v>
      </c>
      <c r="K1322">
        <v>1146.8599999999999</v>
      </c>
      <c r="M1322" t="str">
        <f t="shared" si="80"/>
        <v>Apr</v>
      </c>
      <c r="N1322">
        <f t="shared" si="81"/>
        <v>4</v>
      </c>
      <c r="O1322">
        <f t="shared" si="82"/>
        <v>1146.8589999999999</v>
      </c>
      <c r="P1322" t="str">
        <f t="shared" si="83"/>
        <v>OK</v>
      </c>
    </row>
    <row r="1323" spans="1:16" x14ac:dyDescent="0.35">
      <c r="A1323" t="s">
        <v>1710</v>
      </c>
      <c r="B1323" s="3">
        <v>45583</v>
      </c>
      <c r="C1323" t="s">
        <v>65</v>
      </c>
      <c r="D1323" t="s">
        <v>57</v>
      </c>
      <c r="E1323" t="s">
        <v>448</v>
      </c>
      <c r="F1323" t="s">
        <v>53</v>
      </c>
      <c r="G1323" t="s">
        <v>54</v>
      </c>
      <c r="H1323">
        <v>9</v>
      </c>
      <c r="I1323">
        <v>36.159999999999997</v>
      </c>
      <c r="J1323">
        <v>0</v>
      </c>
      <c r="K1323">
        <v>325.44</v>
      </c>
      <c r="M1323" t="str">
        <f t="shared" si="80"/>
        <v>Oct</v>
      </c>
      <c r="N1323">
        <f t="shared" si="81"/>
        <v>10</v>
      </c>
      <c r="O1323">
        <f t="shared" si="82"/>
        <v>325.43999999999994</v>
      </c>
      <c r="P1323" t="str">
        <f t="shared" si="83"/>
        <v>OK</v>
      </c>
    </row>
    <row r="1324" spans="1:16" x14ac:dyDescent="0.35">
      <c r="A1324" t="s">
        <v>1711</v>
      </c>
      <c r="B1324" s="3">
        <v>45336</v>
      </c>
      <c r="C1324" t="s">
        <v>18</v>
      </c>
      <c r="D1324" t="s">
        <v>57</v>
      </c>
      <c r="E1324" t="s">
        <v>370</v>
      </c>
      <c r="F1324" t="s">
        <v>21</v>
      </c>
      <c r="G1324" t="s">
        <v>70</v>
      </c>
      <c r="H1324">
        <v>9</v>
      </c>
      <c r="I1324">
        <v>141.31</v>
      </c>
      <c r="J1324">
        <v>0</v>
      </c>
      <c r="K1324">
        <v>1271.79</v>
      </c>
      <c r="M1324" t="str">
        <f t="shared" si="80"/>
        <v>Feb</v>
      </c>
      <c r="N1324">
        <f t="shared" si="81"/>
        <v>2</v>
      </c>
      <c r="O1324">
        <f t="shared" si="82"/>
        <v>1271.79</v>
      </c>
      <c r="P1324" t="str">
        <f t="shared" si="83"/>
        <v>OK</v>
      </c>
    </row>
    <row r="1325" spans="1:16" x14ac:dyDescent="0.35">
      <c r="A1325" t="s">
        <v>1712</v>
      </c>
      <c r="B1325" s="3">
        <v>45356</v>
      </c>
      <c r="C1325" t="s">
        <v>18</v>
      </c>
      <c r="D1325" t="s">
        <v>13</v>
      </c>
      <c r="E1325" t="s">
        <v>248</v>
      </c>
      <c r="F1325" t="s">
        <v>44</v>
      </c>
      <c r="G1325" t="s">
        <v>86</v>
      </c>
      <c r="H1325">
        <v>2</v>
      </c>
      <c r="I1325">
        <v>135.11000000000001</v>
      </c>
      <c r="J1325">
        <v>0</v>
      </c>
      <c r="K1325">
        <v>270.22000000000003</v>
      </c>
      <c r="M1325" t="str">
        <f t="shared" si="80"/>
        <v>Mar</v>
      </c>
      <c r="N1325">
        <f t="shared" si="81"/>
        <v>3</v>
      </c>
      <c r="O1325">
        <f t="shared" si="82"/>
        <v>270.22000000000003</v>
      </c>
      <c r="P1325" t="str">
        <f t="shared" si="83"/>
        <v>OK</v>
      </c>
    </row>
    <row r="1326" spans="1:16" x14ac:dyDescent="0.35">
      <c r="A1326" t="s">
        <v>1713</v>
      </c>
      <c r="B1326" s="3">
        <v>45496</v>
      </c>
      <c r="C1326" t="s">
        <v>41</v>
      </c>
      <c r="D1326" t="s">
        <v>42</v>
      </c>
      <c r="E1326" t="s">
        <v>418</v>
      </c>
      <c r="F1326" t="s">
        <v>21</v>
      </c>
      <c r="G1326" t="s">
        <v>194</v>
      </c>
      <c r="H1326">
        <v>7</v>
      </c>
      <c r="I1326">
        <v>55.38</v>
      </c>
      <c r="J1326">
        <v>0.1</v>
      </c>
      <c r="K1326">
        <v>348.89</v>
      </c>
      <c r="M1326" t="str">
        <f t="shared" si="80"/>
        <v>Jul</v>
      </c>
      <c r="N1326">
        <f t="shared" si="81"/>
        <v>7</v>
      </c>
      <c r="O1326">
        <f t="shared" si="82"/>
        <v>348.89400000000001</v>
      </c>
      <c r="P1326" t="str">
        <f t="shared" si="83"/>
        <v>OK</v>
      </c>
    </row>
    <row r="1327" spans="1:16" x14ac:dyDescent="0.35">
      <c r="A1327" t="s">
        <v>1715</v>
      </c>
      <c r="B1327" s="3">
        <v>45512</v>
      </c>
      <c r="C1327" t="s">
        <v>65</v>
      </c>
      <c r="D1327" t="s">
        <v>2216</v>
      </c>
      <c r="E1327" t="s">
        <v>88</v>
      </c>
      <c r="F1327" t="s">
        <v>44</v>
      </c>
      <c r="G1327" t="s">
        <v>45</v>
      </c>
      <c r="H1327">
        <v>1</v>
      </c>
      <c r="I1327">
        <v>196.92</v>
      </c>
      <c r="J1327">
        <v>0</v>
      </c>
      <c r="K1327">
        <v>196.92</v>
      </c>
      <c r="M1327" t="str">
        <f t="shared" si="80"/>
        <v>Aug</v>
      </c>
      <c r="N1327">
        <f t="shared" si="81"/>
        <v>8</v>
      </c>
      <c r="O1327">
        <f t="shared" si="82"/>
        <v>196.92</v>
      </c>
      <c r="P1327" t="str">
        <f t="shared" si="83"/>
        <v>OK</v>
      </c>
    </row>
    <row r="1328" spans="1:16" x14ac:dyDescent="0.35">
      <c r="A1328" t="s">
        <v>1716</v>
      </c>
      <c r="B1328" s="3">
        <v>45596</v>
      </c>
      <c r="C1328" t="s">
        <v>24</v>
      </c>
      <c r="D1328" t="s">
        <v>13</v>
      </c>
      <c r="E1328" t="s">
        <v>124</v>
      </c>
      <c r="F1328" t="s">
        <v>53</v>
      </c>
      <c r="G1328" t="s">
        <v>59</v>
      </c>
      <c r="H1328">
        <v>7</v>
      </c>
      <c r="I1328">
        <v>35.08</v>
      </c>
      <c r="J1328">
        <v>0.15</v>
      </c>
      <c r="K1328">
        <v>208.73</v>
      </c>
      <c r="M1328" t="str">
        <f t="shared" si="80"/>
        <v>Oct</v>
      </c>
      <c r="N1328">
        <f t="shared" si="81"/>
        <v>10</v>
      </c>
      <c r="O1328">
        <f t="shared" si="82"/>
        <v>208.726</v>
      </c>
      <c r="P1328" t="str">
        <f t="shared" si="83"/>
        <v>OK</v>
      </c>
    </row>
    <row r="1329" spans="1:16" x14ac:dyDescent="0.35">
      <c r="A1329" t="s">
        <v>1717</v>
      </c>
      <c r="B1329" s="3">
        <v>45594</v>
      </c>
      <c r="C1329" t="s">
        <v>33</v>
      </c>
      <c r="D1329" t="s">
        <v>13</v>
      </c>
      <c r="E1329" t="s">
        <v>484</v>
      </c>
      <c r="F1329" t="s">
        <v>53</v>
      </c>
      <c r="G1329" t="s">
        <v>63</v>
      </c>
      <c r="H1329">
        <v>6</v>
      </c>
      <c r="I1329">
        <v>166.49</v>
      </c>
      <c r="J1329">
        <v>0</v>
      </c>
      <c r="K1329">
        <v>998.94</v>
      </c>
      <c r="M1329" t="str">
        <f t="shared" si="80"/>
        <v>Oct</v>
      </c>
      <c r="N1329">
        <f t="shared" si="81"/>
        <v>10</v>
      </c>
      <c r="O1329">
        <f t="shared" si="82"/>
        <v>998.94</v>
      </c>
      <c r="P1329" t="str">
        <f t="shared" si="83"/>
        <v>OK</v>
      </c>
    </row>
    <row r="1330" spans="1:16" x14ac:dyDescent="0.35">
      <c r="A1330" t="s">
        <v>1718</v>
      </c>
      <c r="B1330" s="3">
        <v>45373</v>
      </c>
      <c r="C1330" t="s">
        <v>24</v>
      </c>
      <c r="D1330" t="s">
        <v>42</v>
      </c>
      <c r="E1330" t="s">
        <v>43</v>
      </c>
      <c r="F1330" t="s">
        <v>15</v>
      </c>
      <c r="G1330" t="s">
        <v>74</v>
      </c>
      <c r="H1330">
        <v>9</v>
      </c>
      <c r="I1330">
        <v>208.3</v>
      </c>
      <c r="J1330">
        <v>0</v>
      </c>
      <c r="K1330">
        <v>1874.7</v>
      </c>
      <c r="M1330" t="str">
        <f t="shared" si="80"/>
        <v>Mar</v>
      </c>
      <c r="N1330">
        <f t="shared" si="81"/>
        <v>3</v>
      </c>
      <c r="O1330">
        <f t="shared" si="82"/>
        <v>1874.7</v>
      </c>
      <c r="P1330" t="str">
        <f t="shared" si="83"/>
        <v>OK</v>
      </c>
    </row>
    <row r="1331" spans="1:16" x14ac:dyDescent="0.35">
      <c r="A1331" t="s">
        <v>1719</v>
      </c>
      <c r="B1331" s="3">
        <v>45574</v>
      </c>
      <c r="C1331" t="s">
        <v>33</v>
      </c>
      <c r="D1331" t="s">
        <v>19</v>
      </c>
      <c r="E1331" t="s">
        <v>902</v>
      </c>
      <c r="F1331" t="s">
        <v>35</v>
      </c>
      <c r="G1331" t="s">
        <v>67</v>
      </c>
      <c r="H1331">
        <v>3</v>
      </c>
      <c r="I1331">
        <v>60.72</v>
      </c>
      <c r="J1331">
        <v>0</v>
      </c>
      <c r="K1331">
        <v>182.16</v>
      </c>
      <c r="M1331" t="str">
        <f t="shared" si="80"/>
        <v>Oct</v>
      </c>
      <c r="N1331">
        <f t="shared" si="81"/>
        <v>10</v>
      </c>
      <c r="O1331">
        <f t="shared" si="82"/>
        <v>182.16</v>
      </c>
      <c r="P1331" t="str">
        <f t="shared" si="83"/>
        <v>OK</v>
      </c>
    </row>
    <row r="1332" spans="1:16" x14ac:dyDescent="0.35">
      <c r="A1332" t="s">
        <v>1720</v>
      </c>
      <c r="B1332" s="3">
        <v>45417</v>
      </c>
      <c r="C1332" t="s">
        <v>41</v>
      </c>
      <c r="D1332" t="s">
        <v>42</v>
      </c>
      <c r="E1332" t="s">
        <v>176</v>
      </c>
      <c r="F1332" t="s">
        <v>44</v>
      </c>
      <c r="G1332" t="s">
        <v>94</v>
      </c>
      <c r="H1332">
        <v>2</v>
      </c>
      <c r="I1332">
        <v>47.91</v>
      </c>
      <c r="J1332">
        <v>0.15</v>
      </c>
      <c r="K1332">
        <v>81.45</v>
      </c>
      <c r="M1332" t="str">
        <f t="shared" si="80"/>
        <v>May</v>
      </c>
      <c r="N1332">
        <f t="shared" si="81"/>
        <v>5</v>
      </c>
      <c r="O1332">
        <f t="shared" si="82"/>
        <v>81.446999999999989</v>
      </c>
      <c r="P1332" t="str">
        <f t="shared" si="83"/>
        <v>OK</v>
      </c>
    </row>
    <row r="1333" spans="1:16" x14ac:dyDescent="0.35">
      <c r="A1333" t="s">
        <v>1721</v>
      </c>
      <c r="B1333" s="3">
        <v>45551</v>
      </c>
      <c r="C1333" t="s">
        <v>65</v>
      </c>
      <c r="D1333" t="s">
        <v>13</v>
      </c>
      <c r="E1333" t="s">
        <v>223</v>
      </c>
      <c r="F1333" t="s">
        <v>35</v>
      </c>
      <c r="G1333" t="s">
        <v>177</v>
      </c>
      <c r="H1333">
        <v>2</v>
      </c>
      <c r="I1333">
        <v>118.23</v>
      </c>
      <c r="J1333">
        <v>0.15</v>
      </c>
      <c r="K1333">
        <v>200.99</v>
      </c>
      <c r="M1333" t="str">
        <f t="shared" si="80"/>
        <v>Sep</v>
      </c>
      <c r="N1333">
        <f t="shared" si="81"/>
        <v>9</v>
      </c>
      <c r="O1333">
        <f t="shared" si="82"/>
        <v>200.99100000000001</v>
      </c>
      <c r="P1333" t="str">
        <f t="shared" si="83"/>
        <v>OK</v>
      </c>
    </row>
    <row r="1334" spans="1:16" x14ac:dyDescent="0.35">
      <c r="A1334" t="s">
        <v>1722</v>
      </c>
      <c r="B1334" s="3">
        <v>45543</v>
      </c>
      <c r="C1334" t="s">
        <v>65</v>
      </c>
      <c r="D1334" t="s">
        <v>19</v>
      </c>
      <c r="E1334" t="s">
        <v>80</v>
      </c>
      <c r="F1334" t="s">
        <v>44</v>
      </c>
      <c r="G1334" t="s">
        <v>45</v>
      </c>
      <c r="H1334">
        <v>5</v>
      </c>
      <c r="I1334">
        <v>41.89</v>
      </c>
      <c r="J1334">
        <v>0.1</v>
      </c>
      <c r="K1334">
        <v>188.5</v>
      </c>
      <c r="M1334" t="str">
        <f t="shared" si="80"/>
        <v>Sep</v>
      </c>
      <c r="N1334">
        <f t="shared" si="81"/>
        <v>9</v>
      </c>
      <c r="O1334">
        <f t="shared" si="82"/>
        <v>188.505</v>
      </c>
      <c r="P1334" t="str">
        <f t="shared" si="83"/>
        <v>MISMATCH</v>
      </c>
    </row>
    <row r="1335" spans="1:16" x14ac:dyDescent="0.35">
      <c r="A1335" t="s">
        <v>1723</v>
      </c>
      <c r="B1335" s="3">
        <v>45362</v>
      </c>
      <c r="C1335" t="s">
        <v>65</v>
      </c>
      <c r="D1335" t="s">
        <v>42</v>
      </c>
      <c r="E1335" t="s">
        <v>448</v>
      </c>
      <c r="F1335" t="s">
        <v>44</v>
      </c>
      <c r="G1335" t="s">
        <v>50</v>
      </c>
      <c r="H1335">
        <v>5</v>
      </c>
      <c r="I1335">
        <v>49.83</v>
      </c>
      <c r="J1335">
        <v>0</v>
      </c>
      <c r="K1335">
        <v>249.15</v>
      </c>
      <c r="M1335" t="str">
        <f t="shared" si="80"/>
        <v>Mar</v>
      </c>
      <c r="N1335">
        <f t="shared" si="81"/>
        <v>3</v>
      </c>
      <c r="O1335">
        <f t="shared" si="82"/>
        <v>249.14999999999998</v>
      </c>
      <c r="P1335" t="str">
        <f t="shared" si="83"/>
        <v>OK</v>
      </c>
    </row>
    <row r="1336" spans="1:16" x14ac:dyDescent="0.35">
      <c r="A1336" t="s">
        <v>1724</v>
      </c>
      <c r="B1336" s="3">
        <v>45577</v>
      </c>
      <c r="C1336" t="s">
        <v>24</v>
      </c>
      <c r="D1336" t="s">
        <v>57</v>
      </c>
      <c r="E1336" t="s">
        <v>137</v>
      </c>
      <c r="F1336" t="s">
        <v>53</v>
      </c>
      <c r="G1336" t="s">
        <v>104</v>
      </c>
      <c r="H1336">
        <v>9</v>
      </c>
      <c r="I1336">
        <v>192.79</v>
      </c>
      <c r="J1336">
        <v>0</v>
      </c>
      <c r="K1336">
        <v>1735.11</v>
      </c>
      <c r="M1336" t="str">
        <f t="shared" si="80"/>
        <v>Oct</v>
      </c>
      <c r="N1336">
        <f t="shared" si="81"/>
        <v>10</v>
      </c>
      <c r="O1336">
        <f t="shared" si="82"/>
        <v>1735.11</v>
      </c>
      <c r="P1336" t="str">
        <f t="shared" si="83"/>
        <v>OK</v>
      </c>
    </row>
    <row r="1337" spans="1:16" x14ac:dyDescent="0.35">
      <c r="A1337" t="s">
        <v>1725</v>
      </c>
      <c r="B1337" s="3">
        <v>45577</v>
      </c>
      <c r="C1337" t="s">
        <v>33</v>
      </c>
      <c r="D1337" t="s">
        <v>19</v>
      </c>
      <c r="E1337" t="s">
        <v>103</v>
      </c>
      <c r="F1337" t="s">
        <v>21</v>
      </c>
      <c r="G1337" t="s">
        <v>167</v>
      </c>
      <c r="H1337">
        <v>4</v>
      </c>
      <c r="I1337">
        <v>189.97</v>
      </c>
      <c r="J1337">
        <v>0.1</v>
      </c>
      <c r="K1337">
        <v>683.89</v>
      </c>
      <c r="M1337" t="str">
        <f t="shared" si="80"/>
        <v>Oct</v>
      </c>
      <c r="N1337">
        <f t="shared" si="81"/>
        <v>10</v>
      </c>
      <c r="O1337">
        <f t="shared" si="82"/>
        <v>683.89200000000005</v>
      </c>
      <c r="P1337" t="str">
        <f t="shared" si="83"/>
        <v>OK</v>
      </c>
    </row>
    <row r="1338" spans="1:16" x14ac:dyDescent="0.35">
      <c r="A1338" t="s">
        <v>1726</v>
      </c>
      <c r="B1338" s="3">
        <v>45414</v>
      </c>
      <c r="C1338" t="s">
        <v>33</v>
      </c>
      <c r="D1338" t="s">
        <v>13</v>
      </c>
      <c r="E1338" t="s">
        <v>171</v>
      </c>
      <c r="F1338" t="s">
        <v>21</v>
      </c>
      <c r="G1338" t="s">
        <v>129</v>
      </c>
      <c r="H1338">
        <v>6</v>
      </c>
      <c r="I1338">
        <v>184.97</v>
      </c>
      <c r="J1338">
        <v>0.15</v>
      </c>
      <c r="K1338">
        <v>943.35</v>
      </c>
      <c r="M1338" t="str">
        <f t="shared" si="80"/>
        <v>May</v>
      </c>
      <c r="N1338">
        <f t="shared" si="81"/>
        <v>5</v>
      </c>
      <c r="O1338">
        <f t="shared" si="82"/>
        <v>943.34699999999987</v>
      </c>
      <c r="P1338" t="str">
        <f t="shared" si="83"/>
        <v>OK</v>
      </c>
    </row>
    <row r="1339" spans="1:16" x14ac:dyDescent="0.35">
      <c r="A1339" t="s">
        <v>1727</v>
      </c>
      <c r="B1339" s="3">
        <v>45510</v>
      </c>
      <c r="C1339" t="s">
        <v>41</v>
      </c>
      <c r="D1339" t="s">
        <v>25</v>
      </c>
      <c r="E1339" t="s">
        <v>82</v>
      </c>
      <c r="F1339" t="s">
        <v>21</v>
      </c>
      <c r="G1339" t="s">
        <v>70</v>
      </c>
      <c r="H1339">
        <v>7</v>
      </c>
      <c r="I1339">
        <v>61.8</v>
      </c>
      <c r="J1339">
        <v>0.15</v>
      </c>
      <c r="K1339">
        <v>367.71</v>
      </c>
      <c r="M1339" t="str">
        <f t="shared" si="80"/>
        <v>Aug</v>
      </c>
      <c r="N1339">
        <f t="shared" si="81"/>
        <v>8</v>
      </c>
      <c r="O1339">
        <f t="shared" si="82"/>
        <v>367.71</v>
      </c>
      <c r="P1339" t="str">
        <f t="shared" si="83"/>
        <v>OK</v>
      </c>
    </row>
    <row r="1340" spans="1:16" x14ac:dyDescent="0.35">
      <c r="A1340" t="s">
        <v>1728</v>
      </c>
      <c r="B1340" s="3">
        <v>45602</v>
      </c>
      <c r="C1340" t="s">
        <v>18</v>
      </c>
      <c r="D1340" t="s">
        <v>25</v>
      </c>
      <c r="E1340" t="s">
        <v>642</v>
      </c>
      <c r="F1340" t="s">
        <v>15</v>
      </c>
      <c r="G1340" t="s">
        <v>27</v>
      </c>
      <c r="H1340">
        <v>11</v>
      </c>
      <c r="I1340">
        <v>211.15</v>
      </c>
      <c r="J1340">
        <v>0.15</v>
      </c>
      <c r="K1340">
        <v>1974.25</v>
      </c>
      <c r="M1340" t="str">
        <f t="shared" si="80"/>
        <v>Nov</v>
      </c>
      <c r="N1340">
        <f t="shared" si="81"/>
        <v>11</v>
      </c>
      <c r="O1340">
        <f t="shared" si="82"/>
        <v>1974.2525000000001</v>
      </c>
      <c r="P1340" t="str">
        <f t="shared" si="83"/>
        <v>OK</v>
      </c>
    </row>
    <row r="1341" spans="1:16" x14ac:dyDescent="0.35">
      <c r="A1341" t="s">
        <v>1729</v>
      </c>
      <c r="B1341" s="3">
        <v>45584</v>
      </c>
      <c r="C1341" t="s">
        <v>33</v>
      </c>
      <c r="D1341" t="s">
        <v>57</v>
      </c>
      <c r="E1341" t="s">
        <v>590</v>
      </c>
      <c r="F1341" t="s">
        <v>21</v>
      </c>
      <c r="G1341" t="s">
        <v>167</v>
      </c>
      <c r="H1341">
        <v>7</v>
      </c>
      <c r="I1341">
        <v>85.21</v>
      </c>
      <c r="J1341">
        <v>0.05</v>
      </c>
      <c r="K1341">
        <v>566.65</v>
      </c>
      <c r="M1341" t="str">
        <f t="shared" si="80"/>
        <v>Oct</v>
      </c>
      <c r="N1341">
        <f t="shared" si="81"/>
        <v>10</v>
      </c>
      <c r="O1341">
        <f t="shared" si="82"/>
        <v>566.64649999999995</v>
      </c>
      <c r="P1341" t="str">
        <f t="shared" si="83"/>
        <v>OK</v>
      </c>
    </row>
    <row r="1342" spans="1:16" x14ac:dyDescent="0.35">
      <c r="A1342" t="s">
        <v>1731</v>
      </c>
      <c r="B1342" s="3">
        <v>45584</v>
      </c>
      <c r="C1342" t="s">
        <v>18</v>
      </c>
      <c r="D1342" t="s">
        <v>13</v>
      </c>
      <c r="E1342" t="s">
        <v>233</v>
      </c>
      <c r="F1342" t="s">
        <v>35</v>
      </c>
      <c r="G1342" t="s">
        <v>36</v>
      </c>
      <c r="H1342">
        <v>11</v>
      </c>
      <c r="I1342">
        <v>50.89</v>
      </c>
      <c r="J1342">
        <v>0</v>
      </c>
      <c r="K1342">
        <v>559.79</v>
      </c>
      <c r="M1342" t="str">
        <f t="shared" si="80"/>
        <v>Oct</v>
      </c>
      <c r="N1342">
        <f t="shared" si="81"/>
        <v>10</v>
      </c>
      <c r="O1342">
        <f t="shared" si="82"/>
        <v>559.79</v>
      </c>
      <c r="P1342" t="str">
        <f t="shared" si="83"/>
        <v>OK</v>
      </c>
    </row>
    <row r="1343" spans="1:16" x14ac:dyDescent="0.35">
      <c r="A1343" t="s">
        <v>1732</v>
      </c>
      <c r="B1343" s="3">
        <v>45329</v>
      </c>
      <c r="C1343" t="s">
        <v>41</v>
      </c>
      <c r="D1343" t="s">
        <v>13</v>
      </c>
      <c r="E1343" t="s">
        <v>445</v>
      </c>
      <c r="F1343" t="s">
        <v>53</v>
      </c>
      <c r="G1343" t="s">
        <v>54</v>
      </c>
      <c r="H1343">
        <v>10</v>
      </c>
      <c r="I1343">
        <v>236.58</v>
      </c>
      <c r="J1343">
        <v>0</v>
      </c>
      <c r="K1343">
        <v>2365.8000000000002</v>
      </c>
      <c r="M1343" t="str">
        <f t="shared" si="80"/>
        <v>Feb</v>
      </c>
      <c r="N1343">
        <f t="shared" si="81"/>
        <v>2</v>
      </c>
      <c r="O1343">
        <f t="shared" si="82"/>
        <v>2365.8000000000002</v>
      </c>
      <c r="P1343" t="str">
        <f t="shared" si="83"/>
        <v>OK</v>
      </c>
    </row>
    <row r="1344" spans="1:16" x14ac:dyDescent="0.35">
      <c r="A1344" t="s">
        <v>1733</v>
      </c>
      <c r="B1344" s="3">
        <v>45561</v>
      </c>
      <c r="C1344" t="s">
        <v>41</v>
      </c>
      <c r="D1344" t="s">
        <v>57</v>
      </c>
      <c r="E1344" t="s">
        <v>304</v>
      </c>
      <c r="F1344" t="s">
        <v>44</v>
      </c>
      <c r="G1344" t="s">
        <v>45</v>
      </c>
      <c r="H1344">
        <v>2</v>
      </c>
      <c r="I1344">
        <v>107.02</v>
      </c>
      <c r="J1344">
        <v>0</v>
      </c>
      <c r="K1344">
        <v>214.04</v>
      </c>
      <c r="M1344" t="str">
        <f t="shared" si="80"/>
        <v>Sep</v>
      </c>
      <c r="N1344">
        <f t="shared" si="81"/>
        <v>9</v>
      </c>
      <c r="O1344">
        <f t="shared" si="82"/>
        <v>214.04</v>
      </c>
      <c r="P1344" t="str">
        <f t="shared" si="83"/>
        <v>OK</v>
      </c>
    </row>
    <row r="1345" spans="1:16" x14ac:dyDescent="0.35">
      <c r="A1345" t="s">
        <v>1735</v>
      </c>
      <c r="B1345" s="3">
        <v>45302</v>
      </c>
      <c r="C1345" t="s">
        <v>24</v>
      </c>
      <c r="D1345" t="s">
        <v>19</v>
      </c>
      <c r="E1345" t="s">
        <v>595</v>
      </c>
      <c r="F1345" t="s">
        <v>21</v>
      </c>
      <c r="G1345" t="s">
        <v>194</v>
      </c>
      <c r="H1345">
        <v>2</v>
      </c>
      <c r="I1345">
        <v>68.98</v>
      </c>
      <c r="J1345">
        <v>0</v>
      </c>
      <c r="K1345">
        <v>137.96</v>
      </c>
      <c r="M1345" t="str">
        <f t="shared" si="80"/>
        <v>Jan</v>
      </c>
      <c r="N1345">
        <f t="shared" si="81"/>
        <v>1</v>
      </c>
      <c r="O1345">
        <f t="shared" si="82"/>
        <v>137.96</v>
      </c>
      <c r="P1345" t="str">
        <f t="shared" si="83"/>
        <v>OK</v>
      </c>
    </row>
    <row r="1346" spans="1:16" x14ac:dyDescent="0.35">
      <c r="A1346" t="s">
        <v>1736</v>
      </c>
      <c r="B1346" s="3">
        <v>45509</v>
      </c>
      <c r="C1346" t="s">
        <v>65</v>
      </c>
      <c r="D1346" t="s">
        <v>25</v>
      </c>
      <c r="E1346" t="s">
        <v>288</v>
      </c>
      <c r="F1346" t="s">
        <v>44</v>
      </c>
      <c r="G1346" t="s">
        <v>94</v>
      </c>
      <c r="H1346">
        <v>11</v>
      </c>
      <c r="I1346">
        <v>158.91999999999999</v>
      </c>
      <c r="J1346">
        <v>0.15</v>
      </c>
      <c r="K1346">
        <v>1485.9</v>
      </c>
      <c r="M1346" t="str">
        <f t="shared" si="80"/>
        <v>Aug</v>
      </c>
      <c r="N1346">
        <f t="shared" si="81"/>
        <v>8</v>
      </c>
      <c r="O1346">
        <f t="shared" si="82"/>
        <v>1485.9019999999998</v>
      </c>
      <c r="P1346" t="str">
        <f t="shared" si="83"/>
        <v>OK</v>
      </c>
    </row>
    <row r="1347" spans="1:16" x14ac:dyDescent="0.35">
      <c r="A1347" t="s">
        <v>1737</v>
      </c>
      <c r="B1347" s="3">
        <v>45403</v>
      </c>
      <c r="C1347" t="s">
        <v>41</v>
      </c>
      <c r="D1347" t="s">
        <v>25</v>
      </c>
      <c r="E1347" t="s">
        <v>390</v>
      </c>
      <c r="F1347" t="s">
        <v>44</v>
      </c>
      <c r="G1347" t="s">
        <v>94</v>
      </c>
      <c r="H1347">
        <v>7</v>
      </c>
      <c r="I1347">
        <v>10.91</v>
      </c>
      <c r="J1347">
        <v>0</v>
      </c>
      <c r="K1347">
        <v>76.37</v>
      </c>
      <c r="M1347" t="str">
        <f t="shared" ref="M1347:M1410" si="84">TEXT(B1347,"mmm")</f>
        <v>Apr</v>
      </c>
      <c r="N1347">
        <f t="shared" ref="N1347:N1410" si="85">MONTH(B1347)</f>
        <v>4</v>
      </c>
      <c r="O1347">
        <f t="shared" ref="O1347:O1410" si="86">H1347*I1347*(1-J1347)</f>
        <v>76.37</v>
      </c>
      <c r="P1347" t="str">
        <f t="shared" ref="P1347:P1410" si="87">IF(ROUND(K1347,2)=ROUND(O1347,2),"OK","MISMATCH")</f>
        <v>OK</v>
      </c>
    </row>
    <row r="1348" spans="1:16" x14ac:dyDescent="0.35">
      <c r="A1348" t="s">
        <v>1738</v>
      </c>
      <c r="B1348" s="3">
        <v>45376</v>
      </c>
      <c r="C1348" t="s">
        <v>33</v>
      </c>
      <c r="D1348" t="s">
        <v>42</v>
      </c>
      <c r="E1348" t="s">
        <v>663</v>
      </c>
      <c r="F1348" t="s">
        <v>35</v>
      </c>
      <c r="G1348" t="s">
        <v>177</v>
      </c>
      <c r="H1348">
        <v>11</v>
      </c>
      <c r="I1348">
        <v>201.82</v>
      </c>
      <c r="J1348">
        <v>0.05</v>
      </c>
      <c r="K1348">
        <v>2109.02</v>
      </c>
      <c r="M1348" t="str">
        <f t="shared" si="84"/>
        <v>Mar</v>
      </c>
      <c r="N1348">
        <f t="shared" si="85"/>
        <v>3</v>
      </c>
      <c r="O1348">
        <f t="shared" si="86"/>
        <v>2109.0189999999998</v>
      </c>
      <c r="P1348" t="str">
        <f t="shared" si="87"/>
        <v>OK</v>
      </c>
    </row>
    <row r="1349" spans="1:16" x14ac:dyDescent="0.35">
      <c r="A1349" t="s">
        <v>1739</v>
      </c>
      <c r="B1349" s="3">
        <v>45549</v>
      </c>
      <c r="C1349" t="s">
        <v>18</v>
      </c>
      <c r="D1349" t="s">
        <v>25</v>
      </c>
      <c r="E1349" t="s">
        <v>902</v>
      </c>
      <c r="F1349" t="s">
        <v>44</v>
      </c>
      <c r="G1349" t="s">
        <v>107</v>
      </c>
      <c r="H1349">
        <v>3</v>
      </c>
      <c r="I1349">
        <v>139.05000000000001</v>
      </c>
      <c r="J1349">
        <v>0</v>
      </c>
      <c r="K1349">
        <v>417.15</v>
      </c>
      <c r="M1349" t="str">
        <f t="shared" si="84"/>
        <v>Sep</v>
      </c>
      <c r="N1349">
        <f t="shared" si="85"/>
        <v>9</v>
      </c>
      <c r="O1349">
        <f t="shared" si="86"/>
        <v>417.15000000000003</v>
      </c>
      <c r="P1349" t="str">
        <f t="shared" si="87"/>
        <v>OK</v>
      </c>
    </row>
    <row r="1350" spans="1:16" x14ac:dyDescent="0.35">
      <c r="A1350" t="s">
        <v>1740</v>
      </c>
      <c r="B1350" s="3">
        <v>45572</v>
      </c>
      <c r="C1350" t="s">
        <v>24</v>
      </c>
      <c r="D1350" t="s">
        <v>13</v>
      </c>
      <c r="E1350" t="s">
        <v>858</v>
      </c>
      <c r="F1350" t="s">
        <v>21</v>
      </c>
      <c r="G1350" t="s">
        <v>22</v>
      </c>
      <c r="H1350">
        <v>11</v>
      </c>
      <c r="I1350">
        <v>231.42</v>
      </c>
      <c r="J1350">
        <v>0</v>
      </c>
      <c r="K1350">
        <v>2545.62</v>
      </c>
      <c r="M1350" t="str">
        <f t="shared" si="84"/>
        <v>Oct</v>
      </c>
      <c r="N1350">
        <f t="shared" si="85"/>
        <v>10</v>
      </c>
      <c r="O1350">
        <f t="shared" si="86"/>
        <v>2545.62</v>
      </c>
      <c r="P1350" t="str">
        <f t="shared" si="87"/>
        <v>OK</v>
      </c>
    </row>
    <row r="1351" spans="1:16" x14ac:dyDescent="0.35">
      <c r="A1351" t="s">
        <v>1741</v>
      </c>
      <c r="B1351" s="3">
        <v>45470</v>
      </c>
      <c r="C1351" t="s">
        <v>24</v>
      </c>
      <c r="D1351" t="s">
        <v>42</v>
      </c>
      <c r="E1351" t="s">
        <v>567</v>
      </c>
      <c r="F1351" t="s">
        <v>15</v>
      </c>
      <c r="G1351" t="s">
        <v>16</v>
      </c>
      <c r="H1351">
        <v>12</v>
      </c>
      <c r="I1351">
        <v>28.92</v>
      </c>
      <c r="J1351">
        <v>0.15</v>
      </c>
      <c r="K1351">
        <v>294.98</v>
      </c>
      <c r="M1351" t="str">
        <f t="shared" si="84"/>
        <v>Jun</v>
      </c>
      <c r="N1351">
        <f t="shared" si="85"/>
        <v>6</v>
      </c>
      <c r="O1351">
        <f t="shared" si="86"/>
        <v>294.98400000000004</v>
      </c>
      <c r="P1351" t="str">
        <f t="shared" si="87"/>
        <v>OK</v>
      </c>
    </row>
    <row r="1352" spans="1:16" x14ac:dyDescent="0.35">
      <c r="A1352" t="s">
        <v>1742</v>
      </c>
      <c r="B1352" s="3">
        <v>45338</v>
      </c>
      <c r="C1352" t="s">
        <v>65</v>
      </c>
      <c r="D1352" t="s">
        <v>13</v>
      </c>
      <c r="E1352" t="s">
        <v>231</v>
      </c>
      <c r="F1352" t="s">
        <v>21</v>
      </c>
      <c r="G1352" t="s">
        <v>129</v>
      </c>
      <c r="H1352">
        <v>8</v>
      </c>
      <c r="I1352">
        <v>40.119999999999997</v>
      </c>
      <c r="J1352">
        <v>0</v>
      </c>
      <c r="K1352">
        <v>320.95999999999998</v>
      </c>
      <c r="M1352" t="str">
        <f t="shared" si="84"/>
        <v>Feb</v>
      </c>
      <c r="N1352">
        <f t="shared" si="85"/>
        <v>2</v>
      </c>
      <c r="O1352">
        <f t="shared" si="86"/>
        <v>320.95999999999998</v>
      </c>
      <c r="P1352" t="str">
        <f t="shared" si="87"/>
        <v>OK</v>
      </c>
    </row>
    <row r="1353" spans="1:16" x14ac:dyDescent="0.35">
      <c r="A1353" t="s">
        <v>1743</v>
      </c>
      <c r="B1353" s="3">
        <v>45315</v>
      </c>
      <c r="C1353" t="s">
        <v>41</v>
      </c>
      <c r="D1353" t="s">
        <v>42</v>
      </c>
      <c r="E1353" t="s">
        <v>85</v>
      </c>
      <c r="F1353" t="s">
        <v>15</v>
      </c>
      <c r="G1353" t="s">
        <v>74</v>
      </c>
      <c r="H1353">
        <v>1</v>
      </c>
      <c r="I1353">
        <v>186.61</v>
      </c>
      <c r="J1353">
        <v>0</v>
      </c>
      <c r="K1353">
        <v>186.61</v>
      </c>
      <c r="M1353" t="str">
        <f t="shared" si="84"/>
        <v>Jan</v>
      </c>
      <c r="N1353">
        <f t="shared" si="85"/>
        <v>1</v>
      </c>
      <c r="O1353">
        <f t="shared" si="86"/>
        <v>186.61</v>
      </c>
      <c r="P1353" t="str">
        <f t="shared" si="87"/>
        <v>OK</v>
      </c>
    </row>
    <row r="1354" spans="1:16" x14ac:dyDescent="0.35">
      <c r="A1354" t="s">
        <v>1744</v>
      </c>
      <c r="B1354" s="3">
        <v>45435</v>
      </c>
      <c r="C1354" t="s">
        <v>24</v>
      </c>
      <c r="D1354" t="s">
        <v>13</v>
      </c>
      <c r="E1354" t="s">
        <v>431</v>
      </c>
      <c r="F1354" t="s">
        <v>53</v>
      </c>
      <c r="G1354" t="s">
        <v>63</v>
      </c>
      <c r="H1354">
        <v>1</v>
      </c>
      <c r="I1354">
        <v>19.53</v>
      </c>
      <c r="J1354">
        <v>0.15</v>
      </c>
      <c r="K1354">
        <v>16.600000000000001</v>
      </c>
      <c r="M1354" t="str">
        <f t="shared" si="84"/>
        <v>May</v>
      </c>
      <c r="N1354">
        <f t="shared" si="85"/>
        <v>5</v>
      </c>
      <c r="O1354">
        <f t="shared" si="86"/>
        <v>16.6005</v>
      </c>
      <c r="P1354" t="str">
        <f t="shared" si="87"/>
        <v>OK</v>
      </c>
    </row>
    <row r="1355" spans="1:16" x14ac:dyDescent="0.35">
      <c r="A1355" t="s">
        <v>1745</v>
      </c>
      <c r="B1355" s="3">
        <v>45631</v>
      </c>
      <c r="C1355" t="s">
        <v>41</v>
      </c>
      <c r="D1355" t="s">
        <v>19</v>
      </c>
      <c r="E1355" t="s">
        <v>1159</v>
      </c>
      <c r="F1355" t="s">
        <v>35</v>
      </c>
      <c r="G1355" t="s">
        <v>177</v>
      </c>
      <c r="H1355">
        <v>8</v>
      </c>
      <c r="I1355">
        <v>67.12</v>
      </c>
      <c r="J1355">
        <v>0</v>
      </c>
      <c r="K1355">
        <v>536.96</v>
      </c>
      <c r="M1355" t="str">
        <f t="shared" si="84"/>
        <v>Dec</v>
      </c>
      <c r="N1355">
        <f t="shared" si="85"/>
        <v>12</v>
      </c>
      <c r="O1355">
        <f t="shared" si="86"/>
        <v>536.96</v>
      </c>
      <c r="P1355" t="str">
        <f t="shared" si="87"/>
        <v>OK</v>
      </c>
    </row>
    <row r="1356" spans="1:16" x14ac:dyDescent="0.35">
      <c r="A1356" t="s">
        <v>1746</v>
      </c>
      <c r="B1356" s="3">
        <v>45432</v>
      </c>
      <c r="C1356" t="s">
        <v>18</v>
      </c>
      <c r="D1356" t="s">
        <v>42</v>
      </c>
      <c r="E1356" t="s">
        <v>197</v>
      </c>
      <c r="F1356" t="s">
        <v>53</v>
      </c>
      <c r="G1356" t="s">
        <v>104</v>
      </c>
      <c r="H1356">
        <v>3</v>
      </c>
      <c r="I1356">
        <v>199.61</v>
      </c>
      <c r="J1356">
        <v>0.05</v>
      </c>
      <c r="K1356">
        <v>568.89</v>
      </c>
      <c r="M1356" t="str">
        <f t="shared" si="84"/>
        <v>May</v>
      </c>
      <c r="N1356">
        <f t="shared" si="85"/>
        <v>5</v>
      </c>
      <c r="O1356">
        <f t="shared" si="86"/>
        <v>568.88850000000002</v>
      </c>
      <c r="P1356" t="str">
        <f t="shared" si="87"/>
        <v>OK</v>
      </c>
    </row>
    <row r="1357" spans="1:16" x14ac:dyDescent="0.35">
      <c r="A1357" t="s">
        <v>1747</v>
      </c>
      <c r="B1357" s="3">
        <v>45453</v>
      </c>
      <c r="C1357" t="s">
        <v>33</v>
      </c>
      <c r="D1357" t="s">
        <v>13</v>
      </c>
      <c r="E1357" t="s">
        <v>407</v>
      </c>
      <c r="F1357" t="s">
        <v>15</v>
      </c>
      <c r="G1357" t="s">
        <v>27</v>
      </c>
      <c r="H1357">
        <v>9</v>
      </c>
      <c r="I1357">
        <v>239.08</v>
      </c>
      <c r="J1357">
        <v>0.1</v>
      </c>
      <c r="K1357">
        <v>1936.55</v>
      </c>
      <c r="M1357" t="str">
        <f t="shared" si="84"/>
        <v>Jun</v>
      </c>
      <c r="N1357">
        <f t="shared" si="85"/>
        <v>6</v>
      </c>
      <c r="O1357">
        <f t="shared" si="86"/>
        <v>1936.5480000000002</v>
      </c>
      <c r="P1357" t="str">
        <f t="shared" si="87"/>
        <v>OK</v>
      </c>
    </row>
    <row r="1358" spans="1:16" x14ac:dyDescent="0.35">
      <c r="A1358" t="s">
        <v>1748</v>
      </c>
      <c r="B1358" s="3">
        <v>45569</v>
      </c>
      <c r="C1358" t="s">
        <v>24</v>
      </c>
      <c r="D1358" t="s">
        <v>19</v>
      </c>
      <c r="E1358" t="s">
        <v>379</v>
      </c>
      <c r="F1358" t="s">
        <v>35</v>
      </c>
      <c r="G1358" t="s">
        <v>134</v>
      </c>
      <c r="H1358">
        <v>7</v>
      </c>
      <c r="I1358">
        <v>184.56</v>
      </c>
      <c r="J1358">
        <v>0</v>
      </c>
      <c r="K1358">
        <v>1291.92</v>
      </c>
      <c r="M1358" t="str">
        <f t="shared" si="84"/>
        <v>Oct</v>
      </c>
      <c r="N1358">
        <f t="shared" si="85"/>
        <v>10</v>
      </c>
      <c r="O1358">
        <f t="shared" si="86"/>
        <v>1291.92</v>
      </c>
      <c r="P1358" t="str">
        <f t="shared" si="87"/>
        <v>OK</v>
      </c>
    </row>
    <row r="1359" spans="1:16" x14ac:dyDescent="0.35">
      <c r="A1359" t="s">
        <v>1749</v>
      </c>
      <c r="B1359" s="3">
        <v>45490</v>
      </c>
      <c r="C1359" t="s">
        <v>33</v>
      </c>
      <c r="D1359" t="s">
        <v>19</v>
      </c>
      <c r="E1359" t="s">
        <v>160</v>
      </c>
      <c r="F1359" t="s">
        <v>21</v>
      </c>
      <c r="G1359" t="s">
        <v>194</v>
      </c>
      <c r="H1359">
        <v>7</v>
      </c>
      <c r="I1359">
        <v>13.53</v>
      </c>
      <c r="J1359">
        <v>0</v>
      </c>
      <c r="K1359">
        <v>94.71</v>
      </c>
      <c r="M1359" t="str">
        <f t="shared" si="84"/>
        <v>Jul</v>
      </c>
      <c r="N1359">
        <f t="shared" si="85"/>
        <v>7</v>
      </c>
      <c r="O1359">
        <f t="shared" si="86"/>
        <v>94.71</v>
      </c>
      <c r="P1359" t="str">
        <f t="shared" si="87"/>
        <v>OK</v>
      </c>
    </row>
    <row r="1360" spans="1:16" x14ac:dyDescent="0.35">
      <c r="A1360" t="s">
        <v>1750</v>
      </c>
      <c r="B1360" s="3">
        <v>45643</v>
      </c>
      <c r="C1360" t="s">
        <v>41</v>
      </c>
      <c r="D1360" t="s">
        <v>19</v>
      </c>
      <c r="E1360" t="s">
        <v>49</v>
      </c>
      <c r="F1360" t="s">
        <v>44</v>
      </c>
      <c r="G1360" t="s">
        <v>86</v>
      </c>
      <c r="H1360">
        <v>7</v>
      </c>
      <c r="I1360">
        <v>165.69</v>
      </c>
      <c r="J1360">
        <v>0</v>
      </c>
      <c r="K1360">
        <v>1159.83</v>
      </c>
      <c r="M1360" t="str">
        <f t="shared" si="84"/>
        <v>Dec</v>
      </c>
      <c r="N1360">
        <f t="shared" si="85"/>
        <v>12</v>
      </c>
      <c r="O1360">
        <f t="shared" si="86"/>
        <v>1159.83</v>
      </c>
      <c r="P1360" t="str">
        <f t="shared" si="87"/>
        <v>OK</v>
      </c>
    </row>
    <row r="1361" spans="1:16" x14ac:dyDescent="0.35">
      <c r="A1361" t="s">
        <v>1751</v>
      </c>
      <c r="B1361" s="3">
        <v>45319</v>
      </c>
      <c r="C1361" t="s">
        <v>33</v>
      </c>
      <c r="D1361" t="s">
        <v>19</v>
      </c>
      <c r="E1361" t="s">
        <v>309</v>
      </c>
      <c r="F1361" t="s">
        <v>35</v>
      </c>
      <c r="G1361" t="s">
        <v>67</v>
      </c>
      <c r="H1361">
        <v>2</v>
      </c>
      <c r="I1361">
        <v>112.09</v>
      </c>
      <c r="J1361">
        <v>0</v>
      </c>
      <c r="K1361">
        <v>224.18</v>
      </c>
      <c r="M1361" t="str">
        <f t="shared" si="84"/>
        <v>Jan</v>
      </c>
      <c r="N1361">
        <f t="shared" si="85"/>
        <v>1</v>
      </c>
      <c r="O1361">
        <f t="shared" si="86"/>
        <v>224.18</v>
      </c>
      <c r="P1361" t="str">
        <f t="shared" si="87"/>
        <v>OK</v>
      </c>
    </row>
    <row r="1362" spans="1:16" x14ac:dyDescent="0.35">
      <c r="A1362" t="s">
        <v>1752</v>
      </c>
      <c r="B1362" s="3">
        <v>45403</v>
      </c>
      <c r="C1362" t="s">
        <v>65</v>
      </c>
      <c r="D1362" t="s">
        <v>13</v>
      </c>
      <c r="E1362" t="s">
        <v>212</v>
      </c>
      <c r="F1362" t="s">
        <v>53</v>
      </c>
      <c r="G1362" t="s">
        <v>63</v>
      </c>
      <c r="H1362">
        <v>10</v>
      </c>
      <c r="I1362">
        <v>240.05</v>
      </c>
      <c r="J1362">
        <v>0</v>
      </c>
      <c r="K1362">
        <v>2400.5</v>
      </c>
      <c r="M1362" t="str">
        <f t="shared" si="84"/>
        <v>Apr</v>
      </c>
      <c r="N1362">
        <f t="shared" si="85"/>
        <v>4</v>
      </c>
      <c r="O1362">
        <f t="shared" si="86"/>
        <v>2400.5</v>
      </c>
      <c r="P1362" t="str">
        <f t="shared" si="87"/>
        <v>OK</v>
      </c>
    </row>
    <row r="1363" spans="1:16" x14ac:dyDescent="0.35">
      <c r="A1363" t="s">
        <v>1753</v>
      </c>
      <c r="B1363" s="3">
        <v>45638</v>
      </c>
      <c r="C1363" t="s">
        <v>24</v>
      </c>
      <c r="D1363" t="s">
        <v>57</v>
      </c>
      <c r="E1363" t="s">
        <v>144</v>
      </c>
      <c r="F1363" t="s">
        <v>15</v>
      </c>
      <c r="G1363" t="s">
        <v>74</v>
      </c>
      <c r="H1363">
        <v>1</v>
      </c>
      <c r="I1363">
        <v>149.66999999999999</v>
      </c>
      <c r="J1363">
        <v>0</v>
      </c>
      <c r="K1363">
        <v>149.66999999999999</v>
      </c>
      <c r="M1363" t="str">
        <f t="shared" si="84"/>
        <v>Dec</v>
      </c>
      <c r="N1363">
        <f t="shared" si="85"/>
        <v>12</v>
      </c>
      <c r="O1363">
        <f t="shared" si="86"/>
        <v>149.66999999999999</v>
      </c>
      <c r="P1363" t="str">
        <f t="shared" si="87"/>
        <v>OK</v>
      </c>
    </row>
    <row r="1364" spans="1:16" x14ac:dyDescent="0.35">
      <c r="A1364" t="s">
        <v>1754</v>
      </c>
      <c r="B1364" s="3">
        <v>45626</v>
      </c>
      <c r="C1364" t="s">
        <v>41</v>
      </c>
      <c r="D1364" t="s">
        <v>42</v>
      </c>
      <c r="E1364" t="s">
        <v>368</v>
      </c>
      <c r="F1364" t="s">
        <v>44</v>
      </c>
      <c r="G1364" t="s">
        <v>45</v>
      </c>
      <c r="H1364">
        <v>11</v>
      </c>
      <c r="I1364">
        <v>94.5</v>
      </c>
      <c r="J1364">
        <v>0</v>
      </c>
      <c r="K1364">
        <v>1039.5</v>
      </c>
      <c r="M1364" t="str">
        <f t="shared" si="84"/>
        <v>Nov</v>
      </c>
      <c r="N1364">
        <f t="shared" si="85"/>
        <v>11</v>
      </c>
      <c r="O1364">
        <f t="shared" si="86"/>
        <v>1039.5</v>
      </c>
      <c r="P1364" t="str">
        <f t="shared" si="87"/>
        <v>OK</v>
      </c>
    </row>
    <row r="1365" spans="1:16" x14ac:dyDescent="0.35">
      <c r="A1365" t="s">
        <v>1755</v>
      </c>
      <c r="B1365" s="3">
        <v>45509</v>
      </c>
      <c r="C1365" t="s">
        <v>33</v>
      </c>
      <c r="D1365" t="s">
        <v>57</v>
      </c>
      <c r="E1365" t="s">
        <v>49</v>
      </c>
      <c r="F1365" t="s">
        <v>21</v>
      </c>
      <c r="G1365" t="s">
        <v>129</v>
      </c>
      <c r="H1365">
        <v>9</v>
      </c>
      <c r="I1365">
        <v>46.83</v>
      </c>
      <c r="J1365">
        <v>0.05</v>
      </c>
      <c r="K1365">
        <v>400.4</v>
      </c>
      <c r="M1365" t="str">
        <f t="shared" si="84"/>
        <v>Aug</v>
      </c>
      <c r="N1365">
        <f t="shared" si="85"/>
        <v>8</v>
      </c>
      <c r="O1365">
        <f t="shared" si="86"/>
        <v>400.39649999999995</v>
      </c>
      <c r="P1365" t="str">
        <f t="shared" si="87"/>
        <v>OK</v>
      </c>
    </row>
    <row r="1366" spans="1:16" x14ac:dyDescent="0.35">
      <c r="A1366" t="s">
        <v>1756</v>
      </c>
      <c r="B1366" s="3">
        <v>45343</v>
      </c>
      <c r="C1366" t="s">
        <v>18</v>
      </c>
      <c r="D1366" t="s">
        <v>19</v>
      </c>
      <c r="E1366" t="s">
        <v>470</v>
      </c>
      <c r="F1366" t="s">
        <v>53</v>
      </c>
      <c r="G1366" t="s">
        <v>125</v>
      </c>
      <c r="H1366">
        <v>8</v>
      </c>
      <c r="I1366">
        <v>29.43</v>
      </c>
      <c r="J1366">
        <v>0</v>
      </c>
      <c r="K1366">
        <v>235.44</v>
      </c>
      <c r="M1366" t="str">
        <f t="shared" si="84"/>
        <v>Feb</v>
      </c>
      <c r="N1366">
        <f t="shared" si="85"/>
        <v>2</v>
      </c>
      <c r="O1366">
        <f t="shared" si="86"/>
        <v>235.44</v>
      </c>
      <c r="P1366" t="str">
        <f t="shared" si="87"/>
        <v>OK</v>
      </c>
    </row>
    <row r="1367" spans="1:16" x14ac:dyDescent="0.35">
      <c r="A1367" t="s">
        <v>1757</v>
      </c>
      <c r="B1367" s="3">
        <v>45355</v>
      </c>
      <c r="C1367" t="s">
        <v>18</v>
      </c>
      <c r="D1367" t="s">
        <v>2216</v>
      </c>
      <c r="E1367" t="s">
        <v>531</v>
      </c>
      <c r="F1367" t="s">
        <v>44</v>
      </c>
      <c r="G1367" t="s">
        <v>94</v>
      </c>
      <c r="H1367">
        <v>1</v>
      </c>
      <c r="I1367">
        <v>110.99</v>
      </c>
      <c r="J1367">
        <v>0</v>
      </c>
      <c r="K1367">
        <v>110.99</v>
      </c>
      <c r="M1367" t="str">
        <f t="shared" si="84"/>
        <v>Mar</v>
      </c>
      <c r="N1367">
        <f t="shared" si="85"/>
        <v>3</v>
      </c>
      <c r="O1367">
        <f t="shared" si="86"/>
        <v>110.99</v>
      </c>
      <c r="P1367" t="str">
        <f t="shared" si="87"/>
        <v>OK</v>
      </c>
    </row>
    <row r="1368" spans="1:16" x14ac:dyDescent="0.35">
      <c r="A1368" t="s">
        <v>1758</v>
      </c>
      <c r="B1368" s="3">
        <v>45628</v>
      </c>
      <c r="C1368" t="s">
        <v>18</v>
      </c>
      <c r="D1368" t="s">
        <v>25</v>
      </c>
      <c r="E1368" t="s">
        <v>426</v>
      </c>
      <c r="F1368" t="s">
        <v>44</v>
      </c>
      <c r="G1368" t="s">
        <v>45</v>
      </c>
      <c r="H1368">
        <v>5</v>
      </c>
      <c r="I1368">
        <v>12.09</v>
      </c>
      <c r="J1368">
        <v>0.15</v>
      </c>
      <c r="K1368">
        <v>51.38</v>
      </c>
      <c r="M1368" t="str">
        <f t="shared" si="84"/>
        <v>Dec</v>
      </c>
      <c r="N1368">
        <f t="shared" si="85"/>
        <v>12</v>
      </c>
      <c r="O1368">
        <f t="shared" si="86"/>
        <v>51.3825</v>
      </c>
      <c r="P1368" t="str">
        <f t="shared" si="87"/>
        <v>OK</v>
      </c>
    </row>
    <row r="1369" spans="1:16" x14ac:dyDescent="0.35">
      <c r="A1369" t="s">
        <v>1759</v>
      </c>
      <c r="B1369" s="3">
        <v>45480</v>
      </c>
      <c r="C1369" t="s">
        <v>65</v>
      </c>
      <c r="D1369" t="s">
        <v>57</v>
      </c>
      <c r="E1369" t="s">
        <v>221</v>
      </c>
      <c r="F1369" t="s">
        <v>35</v>
      </c>
      <c r="G1369" t="s">
        <v>83</v>
      </c>
      <c r="H1369">
        <v>2</v>
      </c>
      <c r="I1369">
        <v>237.07</v>
      </c>
      <c r="J1369">
        <v>0</v>
      </c>
      <c r="K1369">
        <v>474.14</v>
      </c>
      <c r="M1369" t="str">
        <f t="shared" si="84"/>
        <v>Jul</v>
      </c>
      <c r="N1369">
        <f t="shared" si="85"/>
        <v>7</v>
      </c>
      <c r="O1369">
        <f t="shared" si="86"/>
        <v>474.14</v>
      </c>
      <c r="P1369" t="str">
        <f t="shared" si="87"/>
        <v>OK</v>
      </c>
    </row>
    <row r="1370" spans="1:16" x14ac:dyDescent="0.35">
      <c r="A1370" t="s">
        <v>1760</v>
      </c>
      <c r="B1370" s="3">
        <v>45644</v>
      </c>
      <c r="C1370" t="s">
        <v>33</v>
      </c>
      <c r="D1370" t="s">
        <v>19</v>
      </c>
      <c r="E1370" t="s">
        <v>370</v>
      </c>
      <c r="F1370" t="s">
        <v>35</v>
      </c>
      <c r="G1370" t="s">
        <v>67</v>
      </c>
      <c r="H1370">
        <v>8</v>
      </c>
      <c r="I1370">
        <v>86.01</v>
      </c>
      <c r="J1370">
        <v>0.15</v>
      </c>
      <c r="K1370">
        <v>584.87</v>
      </c>
      <c r="M1370" t="str">
        <f t="shared" si="84"/>
        <v>Dec</v>
      </c>
      <c r="N1370">
        <f t="shared" si="85"/>
        <v>12</v>
      </c>
      <c r="O1370">
        <f t="shared" si="86"/>
        <v>584.86800000000005</v>
      </c>
      <c r="P1370" t="str">
        <f t="shared" si="87"/>
        <v>OK</v>
      </c>
    </row>
    <row r="1371" spans="1:16" x14ac:dyDescent="0.35">
      <c r="A1371" t="s">
        <v>1761</v>
      </c>
      <c r="B1371" s="3">
        <v>45357</v>
      </c>
      <c r="C1371" t="s">
        <v>18</v>
      </c>
      <c r="D1371" t="s">
        <v>13</v>
      </c>
      <c r="E1371" t="s">
        <v>171</v>
      </c>
      <c r="F1371" t="s">
        <v>15</v>
      </c>
      <c r="G1371" t="s">
        <v>16</v>
      </c>
      <c r="H1371">
        <v>9</v>
      </c>
      <c r="I1371">
        <v>155.65</v>
      </c>
      <c r="J1371">
        <v>0.05</v>
      </c>
      <c r="K1371">
        <v>1330.81</v>
      </c>
      <c r="M1371" t="str">
        <f t="shared" si="84"/>
        <v>Mar</v>
      </c>
      <c r="N1371">
        <f t="shared" si="85"/>
        <v>3</v>
      </c>
      <c r="O1371">
        <f t="shared" si="86"/>
        <v>1330.8075000000001</v>
      </c>
      <c r="P1371" t="str">
        <f t="shared" si="87"/>
        <v>OK</v>
      </c>
    </row>
    <row r="1372" spans="1:16" x14ac:dyDescent="0.35">
      <c r="A1372" t="s">
        <v>1762</v>
      </c>
      <c r="B1372" s="3">
        <v>45349</v>
      </c>
      <c r="C1372" t="s">
        <v>65</v>
      </c>
      <c r="D1372" t="s">
        <v>19</v>
      </c>
      <c r="E1372" t="s">
        <v>85</v>
      </c>
      <c r="F1372" t="s">
        <v>15</v>
      </c>
      <c r="G1372" t="s">
        <v>16</v>
      </c>
      <c r="H1372">
        <v>11</v>
      </c>
      <c r="I1372">
        <v>168.89</v>
      </c>
      <c r="J1372">
        <v>0.1</v>
      </c>
      <c r="K1372">
        <v>1672.01</v>
      </c>
      <c r="M1372" t="str">
        <f t="shared" si="84"/>
        <v>Feb</v>
      </c>
      <c r="N1372">
        <f t="shared" si="85"/>
        <v>2</v>
      </c>
      <c r="O1372">
        <f t="shared" si="86"/>
        <v>1672.011</v>
      </c>
      <c r="P1372" t="str">
        <f t="shared" si="87"/>
        <v>OK</v>
      </c>
    </row>
    <row r="1373" spans="1:16" x14ac:dyDescent="0.35">
      <c r="A1373" t="s">
        <v>1763</v>
      </c>
      <c r="B1373" s="3">
        <v>45532</v>
      </c>
      <c r="C1373" t="s">
        <v>33</v>
      </c>
      <c r="D1373" t="s">
        <v>57</v>
      </c>
      <c r="E1373" t="s">
        <v>470</v>
      </c>
      <c r="F1373" t="s">
        <v>53</v>
      </c>
      <c r="G1373" t="s">
        <v>260</v>
      </c>
      <c r="H1373">
        <v>1</v>
      </c>
      <c r="I1373">
        <v>227.59</v>
      </c>
      <c r="J1373">
        <v>0</v>
      </c>
      <c r="K1373">
        <v>227.59</v>
      </c>
      <c r="M1373" t="str">
        <f t="shared" si="84"/>
        <v>Aug</v>
      </c>
      <c r="N1373">
        <f t="shared" si="85"/>
        <v>8</v>
      </c>
      <c r="O1373">
        <f t="shared" si="86"/>
        <v>227.59</v>
      </c>
      <c r="P1373" t="str">
        <f t="shared" si="87"/>
        <v>OK</v>
      </c>
    </row>
    <row r="1374" spans="1:16" x14ac:dyDescent="0.35">
      <c r="A1374" t="s">
        <v>1764</v>
      </c>
      <c r="B1374" s="3">
        <v>45555</v>
      </c>
      <c r="C1374" t="s">
        <v>18</v>
      </c>
      <c r="D1374" t="s">
        <v>57</v>
      </c>
      <c r="E1374" t="s">
        <v>517</v>
      </c>
      <c r="F1374" t="s">
        <v>15</v>
      </c>
      <c r="G1374" t="s">
        <v>147</v>
      </c>
      <c r="H1374">
        <v>8</v>
      </c>
      <c r="I1374">
        <v>46.19</v>
      </c>
      <c r="J1374">
        <v>0</v>
      </c>
      <c r="K1374">
        <v>369.52</v>
      </c>
      <c r="M1374" t="str">
        <f t="shared" si="84"/>
        <v>Sep</v>
      </c>
      <c r="N1374">
        <f t="shared" si="85"/>
        <v>9</v>
      </c>
      <c r="O1374">
        <f t="shared" si="86"/>
        <v>369.52</v>
      </c>
      <c r="P1374" t="str">
        <f t="shared" si="87"/>
        <v>OK</v>
      </c>
    </row>
    <row r="1375" spans="1:16" x14ac:dyDescent="0.35">
      <c r="A1375" t="s">
        <v>1766</v>
      </c>
      <c r="B1375" s="3">
        <v>45589</v>
      </c>
      <c r="C1375" t="s">
        <v>41</v>
      </c>
      <c r="D1375" t="s">
        <v>25</v>
      </c>
      <c r="E1375" t="s">
        <v>825</v>
      </c>
      <c r="F1375" t="s">
        <v>44</v>
      </c>
      <c r="G1375" t="s">
        <v>45</v>
      </c>
      <c r="H1375">
        <v>7</v>
      </c>
      <c r="I1375">
        <v>168.59</v>
      </c>
      <c r="J1375">
        <v>0</v>
      </c>
      <c r="K1375">
        <v>1180.1300000000001</v>
      </c>
      <c r="M1375" t="str">
        <f t="shared" si="84"/>
        <v>Oct</v>
      </c>
      <c r="N1375">
        <f t="shared" si="85"/>
        <v>10</v>
      </c>
      <c r="O1375">
        <f t="shared" si="86"/>
        <v>1180.1300000000001</v>
      </c>
      <c r="P1375" t="str">
        <f t="shared" si="87"/>
        <v>OK</v>
      </c>
    </row>
    <row r="1376" spans="1:16" x14ac:dyDescent="0.35">
      <c r="A1376" t="s">
        <v>1767</v>
      </c>
      <c r="B1376" s="3">
        <v>45639</v>
      </c>
      <c r="C1376" t="s">
        <v>33</v>
      </c>
      <c r="D1376" t="s">
        <v>42</v>
      </c>
      <c r="E1376" t="s">
        <v>233</v>
      </c>
      <c r="F1376" t="s">
        <v>15</v>
      </c>
      <c r="G1376" t="s">
        <v>27</v>
      </c>
      <c r="H1376">
        <v>11</v>
      </c>
      <c r="I1376">
        <v>86.35</v>
      </c>
      <c r="J1376">
        <v>0.15</v>
      </c>
      <c r="K1376">
        <v>807.37</v>
      </c>
      <c r="M1376" t="str">
        <f t="shared" si="84"/>
        <v>Dec</v>
      </c>
      <c r="N1376">
        <f t="shared" si="85"/>
        <v>12</v>
      </c>
      <c r="O1376">
        <f t="shared" si="86"/>
        <v>807.37249999999995</v>
      </c>
      <c r="P1376" t="str">
        <f t="shared" si="87"/>
        <v>OK</v>
      </c>
    </row>
    <row r="1377" spans="1:16" x14ac:dyDescent="0.35">
      <c r="A1377" t="s">
        <v>1768</v>
      </c>
      <c r="B1377" s="3">
        <v>45639</v>
      </c>
      <c r="C1377" t="s">
        <v>33</v>
      </c>
      <c r="D1377" t="s">
        <v>25</v>
      </c>
      <c r="E1377" t="s">
        <v>176</v>
      </c>
      <c r="F1377" t="s">
        <v>15</v>
      </c>
      <c r="G1377" t="s">
        <v>147</v>
      </c>
      <c r="H1377">
        <v>7</v>
      </c>
      <c r="I1377">
        <v>38.22</v>
      </c>
      <c r="J1377">
        <v>0</v>
      </c>
      <c r="K1377">
        <v>267.54000000000002</v>
      </c>
      <c r="M1377" t="str">
        <f t="shared" si="84"/>
        <v>Dec</v>
      </c>
      <c r="N1377">
        <f t="shared" si="85"/>
        <v>12</v>
      </c>
      <c r="O1377">
        <f t="shared" si="86"/>
        <v>267.53999999999996</v>
      </c>
      <c r="P1377" t="str">
        <f t="shared" si="87"/>
        <v>OK</v>
      </c>
    </row>
    <row r="1378" spans="1:16" x14ac:dyDescent="0.35">
      <c r="A1378" t="s">
        <v>1769</v>
      </c>
      <c r="B1378" s="3">
        <v>45645</v>
      </c>
      <c r="C1378" t="s">
        <v>65</v>
      </c>
      <c r="D1378" t="s">
        <v>42</v>
      </c>
      <c r="E1378" t="s">
        <v>139</v>
      </c>
      <c r="F1378" t="s">
        <v>21</v>
      </c>
      <c r="G1378" t="s">
        <v>129</v>
      </c>
      <c r="H1378">
        <v>8</v>
      </c>
      <c r="I1378">
        <v>24.05</v>
      </c>
      <c r="J1378">
        <v>0.05</v>
      </c>
      <c r="K1378">
        <v>182.78</v>
      </c>
      <c r="M1378" t="str">
        <f t="shared" si="84"/>
        <v>Dec</v>
      </c>
      <c r="N1378">
        <f t="shared" si="85"/>
        <v>12</v>
      </c>
      <c r="O1378">
        <f t="shared" si="86"/>
        <v>182.78</v>
      </c>
      <c r="P1378" t="str">
        <f t="shared" si="87"/>
        <v>OK</v>
      </c>
    </row>
    <row r="1379" spans="1:16" x14ac:dyDescent="0.35">
      <c r="A1379" t="s">
        <v>1770</v>
      </c>
      <c r="B1379" s="3">
        <v>45627</v>
      </c>
      <c r="C1379" t="s">
        <v>18</v>
      </c>
      <c r="D1379" t="s">
        <v>42</v>
      </c>
      <c r="E1379" t="s">
        <v>317</v>
      </c>
      <c r="F1379" t="s">
        <v>53</v>
      </c>
      <c r="G1379" t="s">
        <v>63</v>
      </c>
      <c r="H1379">
        <v>3</v>
      </c>
      <c r="I1379">
        <v>184.6</v>
      </c>
      <c r="J1379">
        <v>0</v>
      </c>
      <c r="K1379">
        <v>553.79999999999995</v>
      </c>
      <c r="M1379" t="str">
        <f t="shared" si="84"/>
        <v>Dec</v>
      </c>
      <c r="N1379">
        <f t="shared" si="85"/>
        <v>12</v>
      </c>
      <c r="O1379">
        <f t="shared" si="86"/>
        <v>553.79999999999995</v>
      </c>
      <c r="P1379" t="str">
        <f t="shared" si="87"/>
        <v>OK</v>
      </c>
    </row>
    <row r="1380" spans="1:16" x14ac:dyDescent="0.35">
      <c r="A1380" t="s">
        <v>1771</v>
      </c>
      <c r="B1380" s="3">
        <v>45447</v>
      </c>
      <c r="C1380" t="s">
        <v>33</v>
      </c>
      <c r="D1380" t="s">
        <v>13</v>
      </c>
      <c r="E1380" t="s">
        <v>49</v>
      </c>
      <c r="F1380" t="s">
        <v>44</v>
      </c>
      <c r="G1380" t="s">
        <v>107</v>
      </c>
      <c r="H1380">
        <v>6</v>
      </c>
      <c r="I1380">
        <v>237.46</v>
      </c>
      <c r="J1380">
        <v>0.1</v>
      </c>
      <c r="K1380">
        <v>1282.28</v>
      </c>
      <c r="M1380" t="str">
        <f t="shared" si="84"/>
        <v>Jun</v>
      </c>
      <c r="N1380">
        <f t="shared" si="85"/>
        <v>6</v>
      </c>
      <c r="O1380">
        <f t="shared" si="86"/>
        <v>1282.2840000000001</v>
      </c>
      <c r="P1380" t="str">
        <f t="shared" si="87"/>
        <v>OK</v>
      </c>
    </row>
    <row r="1381" spans="1:16" x14ac:dyDescent="0.35">
      <c r="A1381" t="s">
        <v>1772</v>
      </c>
      <c r="B1381" s="3">
        <v>45551</v>
      </c>
      <c r="C1381" t="s">
        <v>33</v>
      </c>
      <c r="D1381" t="s">
        <v>57</v>
      </c>
      <c r="E1381" t="s">
        <v>100</v>
      </c>
      <c r="F1381" t="s">
        <v>21</v>
      </c>
      <c r="G1381" t="s">
        <v>129</v>
      </c>
      <c r="H1381">
        <v>10</v>
      </c>
      <c r="I1381">
        <v>167.17</v>
      </c>
      <c r="J1381">
        <v>0</v>
      </c>
      <c r="K1381">
        <v>1671.7</v>
      </c>
      <c r="M1381" t="str">
        <f t="shared" si="84"/>
        <v>Sep</v>
      </c>
      <c r="N1381">
        <f t="shared" si="85"/>
        <v>9</v>
      </c>
      <c r="O1381">
        <f t="shared" si="86"/>
        <v>1671.6999999999998</v>
      </c>
      <c r="P1381" t="str">
        <f t="shared" si="87"/>
        <v>OK</v>
      </c>
    </row>
    <row r="1382" spans="1:16" x14ac:dyDescent="0.35">
      <c r="A1382" t="s">
        <v>1773</v>
      </c>
      <c r="B1382" s="3">
        <v>45477</v>
      </c>
      <c r="C1382" t="s">
        <v>65</v>
      </c>
      <c r="D1382" t="s">
        <v>25</v>
      </c>
      <c r="E1382" t="s">
        <v>122</v>
      </c>
      <c r="F1382" t="s">
        <v>53</v>
      </c>
      <c r="G1382" t="s">
        <v>59</v>
      </c>
      <c r="H1382">
        <v>5</v>
      </c>
      <c r="I1382">
        <v>143.57</v>
      </c>
      <c r="J1382">
        <v>0.15</v>
      </c>
      <c r="K1382">
        <v>610.16999999999996</v>
      </c>
      <c r="M1382" t="str">
        <f t="shared" si="84"/>
        <v>Jul</v>
      </c>
      <c r="N1382">
        <f t="shared" si="85"/>
        <v>7</v>
      </c>
      <c r="O1382">
        <f t="shared" si="86"/>
        <v>610.1724999999999</v>
      </c>
      <c r="P1382" t="str">
        <f t="shared" si="87"/>
        <v>OK</v>
      </c>
    </row>
    <row r="1383" spans="1:16" x14ac:dyDescent="0.35">
      <c r="A1383" t="s">
        <v>1774</v>
      </c>
      <c r="B1383" s="3">
        <v>45301</v>
      </c>
      <c r="C1383" t="s">
        <v>33</v>
      </c>
      <c r="D1383" t="s">
        <v>19</v>
      </c>
      <c r="E1383" t="s">
        <v>304</v>
      </c>
      <c r="F1383" t="s">
        <v>21</v>
      </c>
      <c r="G1383" t="s">
        <v>70</v>
      </c>
      <c r="H1383">
        <v>4</v>
      </c>
      <c r="I1383">
        <v>158.19</v>
      </c>
      <c r="J1383">
        <v>0</v>
      </c>
      <c r="K1383">
        <v>632.76</v>
      </c>
      <c r="M1383" t="str">
        <f t="shared" si="84"/>
        <v>Jan</v>
      </c>
      <c r="N1383">
        <f t="shared" si="85"/>
        <v>1</v>
      </c>
      <c r="O1383">
        <f t="shared" si="86"/>
        <v>632.76</v>
      </c>
      <c r="P1383" t="str">
        <f t="shared" si="87"/>
        <v>OK</v>
      </c>
    </row>
    <row r="1384" spans="1:16" x14ac:dyDescent="0.35">
      <c r="A1384" t="s">
        <v>1775</v>
      </c>
      <c r="B1384" s="3">
        <v>45357</v>
      </c>
      <c r="C1384" t="s">
        <v>33</v>
      </c>
      <c r="D1384" t="s">
        <v>57</v>
      </c>
      <c r="E1384" t="s">
        <v>468</v>
      </c>
      <c r="F1384" t="s">
        <v>21</v>
      </c>
      <c r="G1384" t="s">
        <v>70</v>
      </c>
      <c r="H1384">
        <v>5</v>
      </c>
      <c r="I1384">
        <v>200.22</v>
      </c>
      <c r="J1384">
        <v>0.15</v>
      </c>
      <c r="K1384">
        <v>850.93</v>
      </c>
      <c r="M1384" t="str">
        <f t="shared" si="84"/>
        <v>Mar</v>
      </c>
      <c r="N1384">
        <f t="shared" si="85"/>
        <v>3</v>
      </c>
      <c r="O1384">
        <f t="shared" si="86"/>
        <v>850.93499999999995</v>
      </c>
      <c r="P1384" t="str">
        <f t="shared" si="87"/>
        <v>MISMATCH</v>
      </c>
    </row>
    <row r="1385" spans="1:16" x14ac:dyDescent="0.35">
      <c r="A1385" t="s">
        <v>1776</v>
      </c>
      <c r="B1385" s="3">
        <v>45424</v>
      </c>
      <c r="C1385" t="s">
        <v>41</v>
      </c>
      <c r="D1385" t="s">
        <v>25</v>
      </c>
      <c r="E1385" t="s">
        <v>366</v>
      </c>
      <c r="F1385" t="s">
        <v>35</v>
      </c>
      <c r="G1385" t="s">
        <v>134</v>
      </c>
      <c r="H1385">
        <v>1</v>
      </c>
      <c r="I1385">
        <v>31.11</v>
      </c>
      <c r="J1385">
        <v>0.1</v>
      </c>
      <c r="K1385">
        <v>28</v>
      </c>
      <c r="M1385" t="str">
        <f t="shared" si="84"/>
        <v>May</v>
      </c>
      <c r="N1385">
        <f t="shared" si="85"/>
        <v>5</v>
      </c>
      <c r="O1385">
        <f t="shared" si="86"/>
        <v>27.998999999999999</v>
      </c>
      <c r="P1385" t="str">
        <f t="shared" si="87"/>
        <v>OK</v>
      </c>
    </row>
    <row r="1386" spans="1:16" x14ac:dyDescent="0.35">
      <c r="A1386" t="s">
        <v>1777</v>
      </c>
      <c r="B1386" s="3">
        <v>45487</v>
      </c>
      <c r="C1386" t="s">
        <v>33</v>
      </c>
      <c r="D1386" t="s">
        <v>25</v>
      </c>
      <c r="E1386" t="s">
        <v>201</v>
      </c>
      <c r="F1386" t="s">
        <v>53</v>
      </c>
      <c r="G1386" t="s">
        <v>104</v>
      </c>
      <c r="H1386">
        <v>3</v>
      </c>
      <c r="I1386">
        <v>186.87</v>
      </c>
      <c r="J1386">
        <v>0.05</v>
      </c>
      <c r="K1386">
        <v>532.58000000000004</v>
      </c>
      <c r="M1386" t="str">
        <f t="shared" si="84"/>
        <v>Jul</v>
      </c>
      <c r="N1386">
        <f t="shared" si="85"/>
        <v>7</v>
      </c>
      <c r="O1386">
        <f t="shared" si="86"/>
        <v>532.57949999999994</v>
      </c>
      <c r="P1386" t="str">
        <f t="shared" si="87"/>
        <v>OK</v>
      </c>
    </row>
    <row r="1387" spans="1:16" x14ac:dyDescent="0.35">
      <c r="A1387" t="s">
        <v>1778</v>
      </c>
      <c r="B1387" s="3">
        <v>45529</v>
      </c>
      <c r="C1387" t="s">
        <v>24</v>
      </c>
      <c r="D1387" t="s">
        <v>42</v>
      </c>
      <c r="E1387" t="s">
        <v>142</v>
      </c>
      <c r="F1387" t="s">
        <v>35</v>
      </c>
      <c r="G1387" t="s">
        <v>83</v>
      </c>
      <c r="H1387">
        <v>7</v>
      </c>
      <c r="I1387">
        <v>219.18</v>
      </c>
      <c r="J1387">
        <v>0</v>
      </c>
      <c r="K1387">
        <v>1534.26</v>
      </c>
      <c r="M1387" t="str">
        <f t="shared" si="84"/>
        <v>Aug</v>
      </c>
      <c r="N1387">
        <f t="shared" si="85"/>
        <v>8</v>
      </c>
      <c r="O1387">
        <f t="shared" si="86"/>
        <v>1534.26</v>
      </c>
      <c r="P1387" t="str">
        <f t="shared" si="87"/>
        <v>OK</v>
      </c>
    </row>
    <row r="1388" spans="1:16" x14ac:dyDescent="0.35">
      <c r="A1388" t="s">
        <v>1779</v>
      </c>
      <c r="B1388" s="3">
        <v>45334</v>
      </c>
      <c r="C1388" t="s">
        <v>24</v>
      </c>
      <c r="D1388" t="s">
        <v>19</v>
      </c>
      <c r="E1388" t="s">
        <v>696</v>
      </c>
      <c r="F1388" t="s">
        <v>44</v>
      </c>
      <c r="G1388" t="s">
        <v>107</v>
      </c>
      <c r="H1388">
        <v>2</v>
      </c>
      <c r="I1388">
        <v>230.1</v>
      </c>
      <c r="J1388">
        <v>0.15</v>
      </c>
      <c r="K1388">
        <v>391.17</v>
      </c>
      <c r="M1388" t="str">
        <f t="shared" si="84"/>
        <v>Feb</v>
      </c>
      <c r="N1388">
        <f t="shared" si="85"/>
        <v>2</v>
      </c>
      <c r="O1388">
        <f t="shared" si="86"/>
        <v>391.16999999999996</v>
      </c>
      <c r="P1388" t="str">
        <f t="shared" si="87"/>
        <v>OK</v>
      </c>
    </row>
    <row r="1389" spans="1:16" x14ac:dyDescent="0.35">
      <c r="A1389" t="s">
        <v>1780</v>
      </c>
      <c r="B1389" s="3">
        <v>45487</v>
      </c>
      <c r="C1389" t="s">
        <v>65</v>
      </c>
      <c r="D1389" t="s">
        <v>57</v>
      </c>
      <c r="E1389" t="s">
        <v>404</v>
      </c>
      <c r="F1389" t="s">
        <v>53</v>
      </c>
      <c r="G1389" t="s">
        <v>125</v>
      </c>
      <c r="H1389">
        <v>7</v>
      </c>
      <c r="I1389">
        <v>142.86000000000001</v>
      </c>
      <c r="J1389">
        <v>0.1</v>
      </c>
      <c r="K1389">
        <v>900.02</v>
      </c>
      <c r="M1389" t="str">
        <f t="shared" si="84"/>
        <v>Jul</v>
      </c>
      <c r="N1389">
        <f t="shared" si="85"/>
        <v>7</v>
      </c>
      <c r="O1389">
        <f t="shared" si="86"/>
        <v>900.01800000000014</v>
      </c>
      <c r="P1389" t="str">
        <f t="shared" si="87"/>
        <v>OK</v>
      </c>
    </row>
    <row r="1390" spans="1:16" x14ac:dyDescent="0.35">
      <c r="A1390" t="s">
        <v>1781</v>
      </c>
      <c r="B1390" s="3">
        <v>45407</v>
      </c>
      <c r="C1390" t="s">
        <v>33</v>
      </c>
      <c r="D1390" t="s">
        <v>13</v>
      </c>
      <c r="E1390" t="s">
        <v>720</v>
      </c>
      <c r="F1390" t="s">
        <v>44</v>
      </c>
      <c r="G1390" t="s">
        <v>107</v>
      </c>
      <c r="H1390">
        <v>2</v>
      </c>
      <c r="I1390">
        <v>81.459999999999994</v>
      </c>
      <c r="J1390">
        <v>0.05</v>
      </c>
      <c r="K1390">
        <v>154.77000000000001</v>
      </c>
      <c r="M1390" t="str">
        <f t="shared" si="84"/>
        <v>Apr</v>
      </c>
      <c r="N1390">
        <f t="shared" si="85"/>
        <v>4</v>
      </c>
      <c r="O1390">
        <f t="shared" si="86"/>
        <v>154.77399999999997</v>
      </c>
      <c r="P1390" t="str">
        <f t="shared" si="87"/>
        <v>OK</v>
      </c>
    </row>
    <row r="1391" spans="1:16" x14ac:dyDescent="0.35">
      <c r="A1391" t="s">
        <v>1782</v>
      </c>
      <c r="B1391" s="3">
        <v>45315</v>
      </c>
      <c r="C1391" t="s">
        <v>41</v>
      </c>
      <c r="D1391" t="s">
        <v>42</v>
      </c>
      <c r="E1391" t="s">
        <v>433</v>
      </c>
      <c r="F1391" t="s">
        <v>44</v>
      </c>
      <c r="G1391" t="s">
        <v>94</v>
      </c>
      <c r="H1391">
        <v>9</v>
      </c>
      <c r="I1391">
        <v>111.6</v>
      </c>
      <c r="J1391">
        <v>0</v>
      </c>
      <c r="K1391">
        <v>1004.4</v>
      </c>
      <c r="M1391" t="str">
        <f t="shared" si="84"/>
        <v>Jan</v>
      </c>
      <c r="N1391">
        <f t="shared" si="85"/>
        <v>1</v>
      </c>
      <c r="O1391">
        <f t="shared" si="86"/>
        <v>1004.4</v>
      </c>
      <c r="P1391" t="str">
        <f t="shared" si="87"/>
        <v>OK</v>
      </c>
    </row>
    <row r="1392" spans="1:16" x14ac:dyDescent="0.35">
      <c r="A1392" t="s">
        <v>1783</v>
      </c>
      <c r="B1392" s="3">
        <v>45641</v>
      </c>
      <c r="C1392" t="s">
        <v>65</v>
      </c>
      <c r="D1392" t="s">
        <v>25</v>
      </c>
      <c r="E1392" t="s">
        <v>158</v>
      </c>
      <c r="F1392" t="s">
        <v>15</v>
      </c>
      <c r="G1392" t="s">
        <v>111</v>
      </c>
      <c r="H1392">
        <v>4</v>
      </c>
      <c r="I1392">
        <v>202.52</v>
      </c>
      <c r="J1392">
        <v>0</v>
      </c>
      <c r="K1392">
        <v>810.08</v>
      </c>
      <c r="M1392" t="str">
        <f t="shared" si="84"/>
        <v>Dec</v>
      </c>
      <c r="N1392">
        <f t="shared" si="85"/>
        <v>12</v>
      </c>
      <c r="O1392">
        <f t="shared" si="86"/>
        <v>810.08</v>
      </c>
      <c r="P1392" t="str">
        <f t="shared" si="87"/>
        <v>OK</v>
      </c>
    </row>
    <row r="1393" spans="1:16" x14ac:dyDescent="0.35">
      <c r="A1393" t="s">
        <v>1784</v>
      </c>
      <c r="B1393" s="3">
        <v>45643</v>
      </c>
      <c r="C1393" t="s">
        <v>41</v>
      </c>
      <c r="D1393" t="s">
        <v>19</v>
      </c>
      <c r="E1393" t="s">
        <v>429</v>
      </c>
      <c r="F1393" t="s">
        <v>21</v>
      </c>
      <c r="G1393" t="s">
        <v>129</v>
      </c>
      <c r="H1393">
        <v>5</v>
      </c>
      <c r="I1393">
        <v>147.66999999999999</v>
      </c>
      <c r="J1393">
        <v>0</v>
      </c>
      <c r="K1393">
        <v>738.35</v>
      </c>
      <c r="M1393" t="str">
        <f t="shared" si="84"/>
        <v>Dec</v>
      </c>
      <c r="N1393">
        <f t="shared" si="85"/>
        <v>12</v>
      </c>
      <c r="O1393">
        <f t="shared" si="86"/>
        <v>738.34999999999991</v>
      </c>
      <c r="P1393" t="str">
        <f t="shared" si="87"/>
        <v>OK</v>
      </c>
    </row>
    <row r="1394" spans="1:16" x14ac:dyDescent="0.35">
      <c r="A1394" t="s">
        <v>1785</v>
      </c>
      <c r="B1394" s="3">
        <v>45501</v>
      </c>
      <c r="C1394" t="s">
        <v>65</v>
      </c>
      <c r="D1394" t="s">
        <v>13</v>
      </c>
      <c r="E1394" t="s">
        <v>608</v>
      </c>
      <c r="F1394" t="s">
        <v>53</v>
      </c>
      <c r="G1394" t="s">
        <v>260</v>
      </c>
      <c r="H1394">
        <v>4</v>
      </c>
      <c r="I1394">
        <v>67.3</v>
      </c>
      <c r="J1394">
        <v>0</v>
      </c>
      <c r="K1394">
        <v>269.2</v>
      </c>
      <c r="M1394" t="str">
        <f t="shared" si="84"/>
        <v>Jul</v>
      </c>
      <c r="N1394">
        <f t="shared" si="85"/>
        <v>7</v>
      </c>
      <c r="O1394">
        <f t="shared" si="86"/>
        <v>269.2</v>
      </c>
      <c r="P1394" t="str">
        <f t="shared" si="87"/>
        <v>OK</v>
      </c>
    </row>
    <row r="1395" spans="1:16" x14ac:dyDescent="0.35">
      <c r="A1395" t="s">
        <v>1786</v>
      </c>
      <c r="B1395" s="3">
        <v>45590</v>
      </c>
      <c r="C1395" t="s">
        <v>18</v>
      </c>
      <c r="D1395" t="s">
        <v>57</v>
      </c>
      <c r="E1395" t="s">
        <v>69</v>
      </c>
      <c r="F1395" t="s">
        <v>15</v>
      </c>
      <c r="G1395" t="s">
        <v>111</v>
      </c>
      <c r="H1395">
        <v>11</v>
      </c>
      <c r="I1395">
        <v>46.78</v>
      </c>
      <c r="J1395">
        <v>0.15</v>
      </c>
      <c r="K1395">
        <v>437.39</v>
      </c>
      <c r="M1395" t="str">
        <f t="shared" si="84"/>
        <v>Oct</v>
      </c>
      <c r="N1395">
        <f t="shared" si="85"/>
        <v>10</v>
      </c>
      <c r="O1395">
        <f t="shared" si="86"/>
        <v>437.39300000000003</v>
      </c>
      <c r="P1395" t="str">
        <f t="shared" si="87"/>
        <v>OK</v>
      </c>
    </row>
    <row r="1396" spans="1:16" x14ac:dyDescent="0.35">
      <c r="A1396" t="s">
        <v>1787</v>
      </c>
      <c r="B1396" s="3">
        <v>45517</v>
      </c>
      <c r="C1396" t="s">
        <v>65</v>
      </c>
      <c r="D1396" t="s">
        <v>19</v>
      </c>
      <c r="E1396" t="s">
        <v>185</v>
      </c>
      <c r="F1396" t="s">
        <v>21</v>
      </c>
      <c r="G1396" t="s">
        <v>167</v>
      </c>
      <c r="H1396">
        <v>10</v>
      </c>
      <c r="I1396">
        <v>67.3</v>
      </c>
      <c r="J1396">
        <v>0</v>
      </c>
      <c r="K1396">
        <v>673</v>
      </c>
      <c r="M1396" t="str">
        <f t="shared" si="84"/>
        <v>Aug</v>
      </c>
      <c r="N1396">
        <f t="shared" si="85"/>
        <v>8</v>
      </c>
      <c r="O1396">
        <f t="shared" si="86"/>
        <v>673</v>
      </c>
      <c r="P1396" t="str">
        <f t="shared" si="87"/>
        <v>OK</v>
      </c>
    </row>
    <row r="1397" spans="1:16" x14ac:dyDescent="0.35">
      <c r="A1397" t="s">
        <v>1788</v>
      </c>
      <c r="B1397" s="3">
        <v>45472</v>
      </c>
      <c r="C1397" t="s">
        <v>41</v>
      </c>
      <c r="D1397" t="s">
        <v>25</v>
      </c>
      <c r="E1397" t="s">
        <v>480</v>
      </c>
      <c r="F1397" t="s">
        <v>15</v>
      </c>
      <c r="G1397" t="s">
        <v>27</v>
      </c>
      <c r="H1397">
        <v>8</v>
      </c>
      <c r="I1397">
        <v>147.87</v>
      </c>
      <c r="J1397">
        <v>0</v>
      </c>
      <c r="K1397">
        <v>1182.96</v>
      </c>
      <c r="M1397" t="str">
        <f t="shared" si="84"/>
        <v>Jun</v>
      </c>
      <c r="N1397">
        <f t="shared" si="85"/>
        <v>6</v>
      </c>
      <c r="O1397">
        <f t="shared" si="86"/>
        <v>1182.96</v>
      </c>
      <c r="P1397" t="str">
        <f t="shared" si="87"/>
        <v>OK</v>
      </c>
    </row>
    <row r="1398" spans="1:16" x14ac:dyDescent="0.35">
      <c r="A1398" t="s">
        <v>1789</v>
      </c>
      <c r="B1398" s="3">
        <v>45635</v>
      </c>
      <c r="C1398" t="s">
        <v>33</v>
      </c>
      <c r="D1398" t="s">
        <v>42</v>
      </c>
      <c r="E1398" t="s">
        <v>284</v>
      </c>
      <c r="F1398" t="s">
        <v>21</v>
      </c>
      <c r="G1398" t="s">
        <v>70</v>
      </c>
      <c r="H1398">
        <v>9</v>
      </c>
      <c r="I1398">
        <v>112.33</v>
      </c>
      <c r="J1398">
        <v>0.05</v>
      </c>
      <c r="K1398">
        <v>960.42</v>
      </c>
      <c r="M1398" t="str">
        <f t="shared" si="84"/>
        <v>Dec</v>
      </c>
      <c r="N1398">
        <f t="shared" si="85"/>
        <v>12</v>
      </c>
      <c r="O1398">
        <f t="shared" si="86"/>
        <v>960.42150000000004</v>
      </c>
      <c r="P1398" t="str">
        <f t="shared" si="87"/>
        <v>OK</v>
      </c>
    </row>
    <row r="1399" spans="1:16" x14ac:dyDescent="0.35">
      <c r="A1399" t="s">
        <v>1790</v>
      </c>
      <c r="B1399" s="3">
        <v>45559</v>
      </c>
      <c r="C1399" t="s">
        <v>18</v>
      </c>
      <c r="D1399" t="s">
        <v>13</v>
      </c>
      <c r="E1399" t="s">
        <v>731</v>
      </c>
      <c r="F1399" t="s">
        <v>21</v>
      </c>
      <c r="G1399" t="s">
        <v>22</v>
      </c>
      <c r="H1399">
        <v>10</v>
      </c>
      <c r="I1399">
        <v>85.89</v>
      </c>
      <c r="J1399">
        <v>0.1</v>
      </c>
      <c r="K1399">
        <v>773.01</v>
      </c>
      <c r="M1399" t="str">
        <f t="shared" si="84"/>
        <v>Sep</v>
      </c>
      <c r="N1399">
        <f t="shared" si="85"/>
        <v>9</v>
      </c>
      <c r="O1399">
        <f t="shared" si="86"/>
        <v>773.01</v>
      </c>
      <c r="P1399" t="str">
        <f t="shared" si="87"/>
        <v>OK</v>
      </c>
    </row>
    <row r="1400" spans="1:16" x14ac:dyDescent="0.35">
      <c r="A1400" t="s">
        <v>1791</v>
      </c>
      <c r="B1400" s="3">
        <v>45614</v>
      </c>
      <c r="C1400" t="s">
        <v>33</v>
      </c>
      <c r="D1400" t="s">
        <v>19</v>
      </c>
      <c r="E1400" t="s">
        <v>521</v>
      </c>
      <c r="F1400" t="s">
        <v>44</v>
      </c>
      <c r="G1400" t="s">
        <v>45</v>
      </c>
      <c r="H1400">
        <v>5</v>
      </c>
      <c r="I1400">
        <v>233.87</v>
      </c>
      <c r="J1400">
        <v>0.1</v>
      </c>
      <c r="K1400">
        <v>1052.4100000000001</v>
      </c>
      <c r="M1400" t="str">
        <f t="shared" si="84"/>
        <v>Nov</v>
      </c>
      <c r="N1400">
        <f t="shared" si="85"/>
        <v>11</v>
      </c>
      <c r="O1400">
        <f t="shared" si="86"/>
        <v>1052.415</v>
      </c>
      <c r="P1400" t="str">
        <f t="shared" si="87"/>
        <v>MISMATCH</v>
      </c>
    </row>
    <row r="1401" spans="1:16" x14ac:dyDescent="0.35">
      <c r="A1401" t="s">
        <v>1792</v>
      </c>
      <c r="B1401" s="3">
        <v>45306</v>
      </c>
      <c r="C1401" t="s">
        <v>65</v>
      </c>
      <c r="D1401" t="s">
        <v>57</v>
      </c>
      <c r="E1401" t="s">
        <v>328</v>
      </c>
      <c r="F1401" t="s">
        <v>44</v>
      </c>
      <c r="G1401" t="s">
        <v>45</v>
      </c>
      <c r="H1401">
        <v>11</v>
      </c>
      <c r="I1401">
        <v>16.14</v>
      </c>
      <c r="J1401">
        <v>0.1</v>
      </c>
      <c r="K1401">
        <v>159.79</v>
      </c>
      <c r="M1401" t="str">
        <f t="shared" si="84"/>
        <v>Jan</v>
      </c>
      <c r="N1401">
        <f t="shared" si="85"/>
        <v>1</v>
      </c>
      <c r="O1401">
        <f t="shared" si="86"/>
        <v>159.78600000000003</v>
      </c>
      <c r="P1401" t="str">
        <f t="shared" si="87"/>
        <v>OK</v>
      </c>
    </row>
    <row r="1402" spans="1:16" x14ac:dyDescent="0.35">
      <c r="A1402" t="s">
        <v>1793</v>
      </c>
      <c r="B1402" s="3">
        <v>45534</v>
      </c>
      <c r="C1402" t="s">
        <v>65</v>
      </c>
      <c r="D1402" t="s">
        <v>42</v>
      </c>
      <c r="E1402" t="s">
        <v>212</v>
      </c>
      <c r="F1402" t="s">
        <v>53</v>
      </c>
      <c r="G1402" t="s">
        <v>104</v>
      </c>
      <c r="H1402">
        <v>2</v>
      </c>
      <c r="I1402">
        <v>130.97999999999999</v>
      </c>
      <c r="J1402">
        <v>0.05</v>
      </c>
      <c r="K1402">
        <v>248.86</v>
      </c>
      <c r="M1402" t="str">
        <f t="shared" si="84"/>
        <v>Aug</v>
      </c>
      <c r="N1402">
        <f t="shared" si="85"/>
        <v>8</v>
      </c>
      <c r="O1402">
        <f t="shared" si="86"/>
        <v>248.86199999999997</v>
      </c>
      <c r="P1402" t="str">
        <f t="shared" si="87"/>
        <v>OK</v>
      </c>
    </row>
    <row r="1403" spans="1:16" x14ac:dyDescent="0.35">
      <c r="A1403" t="s">
        <v>1794</v>
      </c>
      <c r="B1403" s="3">
        <v>45525</v>
      </c>
      <c r="C1403" t="s">
        <v>18</v>
      </c>
      <c r="D1403" t="s">
        <v>13</v>
      </c>
      <c r="E1403" t="s">
        <v>503</v>
      </c>
      <c r="F1403" t="s">
        <v>21</v>
      </c>
      <c r="G1403" t="s">
        <v>167</v>
      </c>
      <c r="H1403">
        <v>12</v>
      </c>
      <c r="I1403">
        <v>71.17</v>
      </c>
      <c r="J1403">
        <v>0.1</v>
      </c>
      <c r="K1403">
        <v>768.64</v>
      </c>
      <c r="M1403" t="str">
        <f t="shared" si="84"/>
        <v>Aug</v>
      </c>
      <c r="N1403">
        <f t="shared" si="85"/>
        <v>8</v>
      </c>
      <c r="O1403">
        <f t="shared" si="86"/>
        <v>768.63599999999997</v>
      </c>
      <c r="P1403" t="str">
        <f t="shared" si="87"/>
        <v>OK</v>
      </c>
    </row>
    <row r="1404" spans="1:16" x14ac:dyDescent="0.35">
      <c r="A1404" t="s">
        <v>1795</v>
      </c>
      <c r="B1404" s="3">
        <v>45458</v>
      </c>
      <c r="C1404" t="s">
        <v>41</v>
      </c>
      <c r="D1404" t="s">
        <v>42</v>
      </c>
      <c r="E1404" t="s">
        <v>683</v>
      </c>
      <c r="F1404" t="s">
        <v>44</v>
      </c>
      <c r="G1404" t="s">
        <v>50</v>
      </c>
      <c r="H1404">
        <v>6</v>
      </c>
      <c r="I1404">
        <v>124.45</v>
      </c>
      <c r="J1404">
        <v>0</v>
      </c>
      <c r="K1404">
        <v>746.7</v>
      </c>
      <c r="M1404" t="str">
        <f t="shared" si="84"/>
        <v>Jun</v>
      </c>
      <c r="N1404">
        <f t="shared" si="85"/>
        <v>6</v>
      </c>
      <c r="O1404">
        <f t="shared" si="86"/>
        <v>746.7</v>
      </c>
      <c r="P1404" t="str">
        <f t="shared" si="87"/>
        <v>OK</v>
      </c>
    </row>
    <row r="1405" spans="1:16" x14ac:dyDescent="0.35">
      <c r="A1405" t="s">
        <v>1797</v>
      </c>
      <c r="B1405" s="3">
        <v>45614</v>
      </c>
      <c r="C1405" t="s">
        <v>24</v>
      </c>
      <c r="D1405" t="s">
        <v>13</v>
      </c>
      <c r="E1405" t="s">
        <v>66</v>
      </c>
      <c r="F1405" t="s">
        <v>44</v>
      </c>
      <c r="G1405" t="s">
        <v>86</v>
      </c>
      <c r="H1405">
        <v>6</v>
      </c>
      <c r="I1405">
        <v>218.36</v>
      </c>
      <c r="J1405">
        <v>0</v>
      </c>
      <c r="K1405">
        <v>1310.1600000000001</v>
      </c>
      <c r="M1405" t="str">
        <f t="shared" si="84"/>
        <v>Nov</v>
      </c>
      <c r="N1405">
        <f t="shared" si="85"/>
        <v>11</v>
      </c>
      <c r="O1405">
        <f t="shared" si="86"/>
        <v>1310.1600000000001</v>
      </c>
      <c r="P1405" t="str">
        <f t="shared" si="87"/>
        <v>OK</v>
      </c>
    </row>
    <row r="1406" spans="1:16" x14ac:dyDescent="0.35">
      <c r="A1406" t="s">
        <v>1798</v>
      </c>
      <c r="B1406" s="3">
        <v>45378</v>
      </c>
      <c r="C1406" t="s">
        <v>18</v>
      </c>
      <c r="D1406" t="s">
        <v>19</v>
      </c>
      <c r="E1406" t="s">
        <v>368</v>
      </c>
      <c r="F1406" t="s">
        <v>44</v>
      </c>
      <c r="G1406" t="s">
        <v>86</v>
      </c>
      <c r="H1406">
        <v>8</v>
      </c>
      <c r="I1406">
        <v>232.93</v>
      </c>
      <c r="J1406">
        <v>0</v>
      </c>
      <c r="K1406">
        <v>1863.44</v>
      </c>
      <c r="M1406" t="str">
        <f t="shared" si="84"/>
        <v>Mar</v>
      </c>
      <c r="N1406">
        <f t="shared" si="85"/>
        <v>3</v>
      </c>
      <c r="O1406">
        <f t="shared" si="86"/>
        <v>1863.44</v>
      </c>
      <c r="P1406" t="str">
        <f t="shared" si="87"/>
        <v>OK</v>
      </c>
    </row>
    <row r="1407" spans="1:16" x14ac:dyDescent="0.35">
      <c r="A1407" t="s">
        <v>1799</v>
      </c>
      <c r="B1407" s="3">
        <v>45513</v>
      </c>
      <c r="C1407" t="s">
        <v>65</v>
      </c>
      <c r="D1407" t="s">
        <v>25</v>
      </c>
      <c r="E1407" t="s">
        <v>731</v>
      </c>
      <c r="F1407" t="s">
        <v>53</v>
      </c>
      <c r="G1407" t="s">
        <v>59</v>
      </c>
      <c r="H1407">
        <v>5</v>
      </c>
      <c r="I1407">
        <v>226.05</v>
      </c>
      <c r="J1407">
        <v>0</v>
      </c>
      <c r="K1407">
        <v>1130.25</v>
      </c>
      <c r="M1407" t="str">
        <f t="shared" si="84"/>
        <v>Aug</v>
      </c>
      <c r="N1407">
        <f t="shared" si="85"/>
        <v>8</v>
      </c>
      <c r="O1407">
        <f t="shared" si="86"/>
        <v>1130.25</v>
      </c>
      <c r="P1407" t="str">
        <f t="shared" si="87"/>
        <v>OK</v>
      </c>
    </row>
    <row r="1408" spans="1:16" x14ac:dyDescent="0.35">
      <c r="A1408" t="s">
        <v>1800</v>
      </c>
      <c r="B1408" s="3">
        <v>45392</v>
      </c>
      <c r="C1408" t="s">
        <v>41</v>
      </c>
      <c r="D1408" t="s">
        <v>19</v>
      </c>
      <c r="E1408" t="s">
        <v>246</v>
      </c>
      <c r="F1408" t="s">
        <v>15</v>
      </c>
      <c r="G1408" t="s">
        <v>27</v>
      </c>
      <c r="H1408">
        <v>12</v>
      </c>
      <c r="I1408">
        <v>66.260000000000005</v>
      </c>
      <c r="J1408">
        <v>0.15</v>
      </c>
      <c r="K1408">
        <v>675.85</v>
      </c>
      <c r="M1408" t="str">
        <f t="shared" si="84"/>
        <v>Apr</v>
      </c>
      <c r="N1408">
        <f t="shared" si="85"/>
        <v>4</v>
      </c>
      <c r="O1408">
        <f t="shared" si="86"/>
        <v>675.85200000000009</v>
      </c>
      <c r="P1408" t="str">
        <f t="shared" si="87"/>
        <v>OK</v>
      </c>
    </row>
    <row r="1409" spans="1:16" x14ac:dyDescent="0.35">
      <c r="A1409" t="s">
        <v>1801</v>
      </c>
      <c r="B1409" s="3">
        <v>45465</v>
      </c>
      <c r="C1409" t="s">
        <v>65</v>
      </c>
      <c r="D1409" t="s">
        <v>13</v>
      </c>
      <c r="E1409" t="s">
        <v>120</v>
      </c>
      <c r="F1409" t="s">
        <v>35</v>
      </c>
      <c r="G1409" t="s">
        <v>177</v>
      </c>
      <c r="H1409">
        <v>10</v>
      </c>
      <c r="I1409">
        <v>171.99</v>
      </c>
      <c r="J1409">
        <v>0</v>
      </c>
      <c r="K1409">
        <v>1719.9</v>
      </c>
      <c r="M1409" t="str">
        <f t="shared" si="84"/>
        <v>Jun</v>
      </c>
      <c r="N1409">
        <f t="shared" si="85"/>
        <v>6</v>
      </c>
      <c r="O1409">
        <f t="shared" si="86"/>
        <v>1719.9</v>
      </c>
      <c r="P1409" t="str">
        <f t="shared" si="87"/>
        <v>OK</v>
      </c>
    </row>
    <row r="1410" spans="1:16" x14ac:dyDescent="0.35">
      <c r="A1410" t="s">
        <v>1802</v>
      </c>
      <c r="B1410" s="3">
        <v>45528</v>
      </c>
      <c r="C1410" t="s">
        <v>65</v>
      </c>
      <c r="D1410" t="s">
        <v>57</v>
      </c>
      <c r="E1410" t="s">
        <v>246</v>
      </c>
      <c r="F1410" t="s">
        <v>35</v>
      </c>
      <c r="G1410" t="s">
        <v>83</v>
      </c>
      <c r="H1410">
        <v>3</v>
      </c>
      <c r="I1410">
        <v>201.95</v>
      </c>
      <c r="J1410">
        <v>0</v>
      </c>
      <c r="K1410">
        <v>605.85</v>
      </c>
      <c r="M1410" t="str">
        <f t="shared" si="84"/>
        <v>Aug</v>
      </c>
      <c r="N1410">
        <f t="shared" si="85"/>
        <v>8</v>
      </c>
      <c r="O1410">
        <f t="shared" si="86"/>
        <v>605.84999999999991</v>
      </c>
      <c r="P1410" t="str">
        <f t="shared" si="87"/>
        <v>OK</v>
      </c>
    </row>
    <row r="1411" spans="1:16" x14ac:dyDescent="0.35">
      <c r="A1411" t="s">
        <v>1803</v>
      </c>
      <c r="B1411" s="3">
        <v>45409</v>
      </c>
      <c r="C1411" t="s">
        <v>33</v>
      </c>
      <c r="D1411" t="s">
        <v>42</v>
      </c>
      <c r="E1411" t="s">
        <v>229</v>
      </c>
      <c r="F1411" t="s">
        <v>35</v>
      </c>
      <c r="G1411" t="s">
        <v>83</v>
      </c>
      <c r="H1411">
        <v>4</v>
      </c>
      <c r="I1411">
        <v>231.8</v>
      </c>
      <c r="J1411">
        <v>0.05</v>
      </c>
      <c r="K1411">
        <v>880.84</v>
      </c>
      <c r="M1411" t="str">
        <f t="shared" ref="M1411:M1474" si="88">TEXT(B1411,"mmm")</f>
        <v>Apr</v>
      </c>
      <c r="N1411">
        <f t="shared" ref="N1411:N1474" si="89">MONTH(B1411)</f>
        <v>4</v>
      </c>
      <c r="O1411">
        <f t="shared" ref="O1411:O1474" si="90">H1411*I1411*(1-J1411)</f>
        <v>880.84</v>
      </c>
      <c r="P1411" t="str">
        <f t="shared" ref="P1411:P1474" si="91">IF(ROUND(K1411,2)=ROUND(O1411,2),"OK","MISMATCH")</f>
        <v>OK</v>
      </c>
    </row>
    <row r="1412" spans="1:16" x14ac:dyDescent="0.35">
      <c r="A1412" t="s">
        <v>1804</v>
      </c>
      <c r="B1412" s="3">
        <v>45350</v>
      </c>
      <c r="C1412" t="s">
        <v>18</v>
      </c>
      <c r="D1412" t="s">
        <v>2216</v>
      </c>
      <c r="E1412" t="s">
        <v>115</v>
      </c>
      <c r="F1412" t="s">
        <v>35</v>
      </c>
      <c r="G1412" t="s">
        <v>177</v>
      </c>
      <c r="H1412">
        <v>7</v>
      </c>
      <c r="I1412">
        <v>33.4</v>
      </c>
      <c r="J1412">
        <v>0.05</v>
      </c>
      <c r="K1412">
        <v>222.11</v>
      </c>
      <c r="M1412" t="str">
        <f t="shared" si="88"/>
        <v>Feb</v>
      </c>
      <c r="N1412">
        <f t="shared" si="89"/>
        <v>2</v>
      </c>
      <c r="O1412">
        <f t="shared" si="90"/>
        <v>222.10999999999999</v>
      </c>
      <c r="P1412" t="str">
        <f t="shared" si="91"/>
        <v>OK</v>
      </c>
    </row>
    <row r="1413" spans="1:16" x14ac:dyDescent="0.35">
      <c r="A1413" t="s">
        <v>1805</v>
      </c>
      <c r="B1413" s="3">
        <v>45644</v>
      </c>
      <c r="C1413" t="s">
        <v>18</v>
      </c>
      <c r="D1413" t="s">
        <v>19</v>
      </c>
      <c r="E1413" t="s">
        <v>366</v>
      </c>
      <c r="F1413" t="s">
        <v>44</v>
      </c>
      <c r="G1413" t="s">
        <v>94</v>
      </c>
      <c r="H1413">
        <v>7</v>
      </c>
      <c r="I1413">
        <v>74.84</v>
      </c>
      <c r="J1413">
        <v>0</v>
      </c>
      <c r="K1413">
        <v>523.88</v>
      </c>
      <c r="M1413" t="str">
        <f t="shared" si="88"/>
        <v>Dec</v>
      </c>
      <c r="N1413">
        <f t="shared" si="89"/>
        <v>12</v>
      </c>
      <c r="O1413">
        <f t="shared" si="90"/>
        <v>523.88</v>
      </c>
      <c r="P1413" t="str">
        <f t="shared" si="91"/>
        <v>OK</v>
      </c>
    </row>
    <row r="1414" spans="1:16" x14ac:dyDescent="0.35">
      <c r="A1414" t="s">
        <v>1806</v>
      </c>
      <c r="B1414" s="3">
        <v>45513</v>
      </c>
      <c r="C1414" t="s">
        <v>65</v>
      </c>
      <c r="D1414" t="s">
        <v>19</v>
      </c>
      <c r="E1414" t="s">
        <v>110</v>
      </c>
      <c r="F1414" t="s">
        <v>44</v>
      </c>
      <c r="G1414" t="s">
        <v>94</v>
      </c>
      <c r="H1414">
        <v>9</v>
      </c>
      <c r="I1414">
        <v>246.18</v>
      </c>
      <c r="J1414">
        <v>0</v>
      </c>
      <c r="K1414">
        <v>2215.62</v>
      </c>
      <c r="M1414" t="str">
        <f t="shared" si="88"/>
        <v>Aug</v>
      </c>
      <c r="N1414">
        <f t="shared" si="89"/>
        <v>8</v>
      </c>
      <c r="O1414">
        <f t="shared" si="90"/>
        <v>2215.62</v>
      </c>
      <c r="P1414" t="str">
        <f t="shared" si="91"/>
        <v>OK</v>
      </c>
    </row>
    <row r="1415" spans="1:16" x14ac:dyDescent="0.35">
      <c r="A1415" t="s">
        <v>1807</v>
      </c>
      <c r="B1415" s="3">
        <v>45527</v>
      </c>
      <c r="C1415" t="s">
        <v>65</v>
      </c>
      <c r="D1415" t="s">
        <v>25</v>
      </c>
      <c r="E1415" t="s">
        <v>43</v>
      </c>
      <c r="F1415" t="s">
        <v>21</v>
      </c>
      <c r="G1415" t="s">
        <v>194</v>
      </c>
      <c r="H1415">
        <v>5</v>
      </c>
      <c r="I1415">
        <v>25.74</v>
      </c>
      <c r="J1415">
        <v>0.15</v>
      </c>
      <c r="K1415">
        <v>109.39</v>
      </c>
      <c r="M1415" t="str">
        <f t="shared" si="88"/>
        <v>Aug</v>
      </c>
      <c r="N1415">
        <f t="shared" si="89"/>
        <v>8</v>
      </c>
      <c r="O1415">
        <f t="shared" si="90"/>
        <v>109.39499999999998</v>
      </c>
      <c r="P1415" t="str">
        <f t="shared" si="91"/>
        <v>MISMATCH</v>
      </c>
    </row>
    <row r="1416" spans="1:16" x14ac:dyDescent="0.35">
      <c r="A1416" t="s">
        <v>1808</v>
      </c>
      <c r="B1416" s="3">
        <v>45623</v>
      </c>
      <c r="C1416" t="s">
        <v>33</v>
      </c>
      <c r="D1416" t="s">
        <v>57</v>
      </c>
      <c r="E1416" t="s">
        <v>825</v>
      </c>
      <c r="F1416" t="s">
        <v>53</v>
      </c>
      <c r="G1416" t="s">
        <v>125</v>
      </c>
      <c r="H1416">
        <v>12</v>
      </c>
      <c r="I1416">
        <v>127.1</v>
      </c>
      <c r="J1416">
        <v>0</v>
      </c>
      <c r="K1416">
        <v>1525.2</v>
      </c>
      <c r="M1416" t="str">
        <f t="shared" si="88"/>
        <v>Nov</v>
      </c>
      <c r="N1416">
        <f t="shared" si="89"/>
        <v>11</v>
      </c>
      <c r="O1416">
        <f t="shared" si="90"/>
        <v>1525.1999999999998</v>
      </c>
      <c r="P1416" t="str">
        <f t="shared" si="91"/>
        <v>OK</v>
      </c>
    </row>
    <row r="1417" spans="1:16" x14ac:dyDescent="0.35">
      <c r="A1417" t="s">
        <v>1810</v>
      </c>
      <c r="B1417" s="3">
        <v>45607</v>
      </c>
      <c r="C1417" t="s">
        <v>33</v>
      </c>
      <c r="D1417" t="s">
        <v>57</v>
      </c>
      <c r="E1417" t="s">
        <v>243</v>
      </c>
      <c r="F1417" t="s">
        <v>15</v>
      </c>
      <c r="G1417" t="s">
        <v>147</v>
      </c>
      <c r="H1417">
        <v>11</v>
      </c>
      <c r="I1417">
        <v>93.62</v>
      </c>
      <c r="J1417">
        <v>0</v>
      </c>
      <c r="K1417">
        <v>1029.82</v>
      </c>
      <c r="M1417" t="str">
        <f t="shared" si="88"/>
        <v>Nov</v>
      </c>
      <c r="N1417">
        <f t="shared" si="89"/>
        <v>11</v>
      </c>
      <c r="O1417">
        <f t="shared" si="90"/>
        <v>1029.8200000000002</v>
      </c>
      <c r="P1417" t="str">
        <f t="shared" si="91"/>
        <v>OK</v>
      </c>
    </row>
    <row r="1418" spans="1:16" x14ac:dyDescent="0.35">
      <c r="A1418" t="s">
        <v>1811</v>
      </c>
      <c r="B1418" s="3">
        <v>45603</v>
      </c>
      <c r="C1418" t="s">
        <v>41</v>
      </c>
      <c r="D1418" t="s">
        <v>19</v>
      </c>
      <c r="E1418" t="s">
        <v>139</v>
      </c>
      <c r="F1418" t="s">
        <v>44</v>
      </c>
      <c r="G1418" t="s">
        <v>86</v>
      </c>
      <c r="H1418">
        <v>2</v>
      </c>
      <c r="I1418">
        <v>144.68</v>
      </c>
      <c r="J1418">
        <v>0</v>
      </c>
      <c r="K1418">
        <v>289.36</v>
      </c>
      <c r="M1418" t="str">
        <f t="shared" si="88"/>
        <v>Nov</v>
      </c>
      <c r="N1418">
        <f t="shared" si="89"/>
        <v>11</v>
      </c>
      <c r="O1418">
        <f t="shared" si="90"/>
        <v>289.36</v>
      </c>
      <c r="P1418" t="str">
        <f t="shared" si="91"/>
        <v>OK</v>
      </c>
    </row>
    <row r="1419" spans="1:16" x14ac:dyDescent="0.35">
      <c r="A1419" t="s">
        <v>1812</v>
      </c>
      <c r="B1419" s="3">
        <v>45315</v>
      </c>
      <c r="C1419" t="s">
        <v>41</v>
      </c>
      <c r="D1419" t="s">
        <v>19</v>
      </c>
      <c r="E1419" t="s">
        <v>683</v>
      </c>
      <c r="F1419" t="s">
        <v>21</v>
      </c>
      <c r="G1419" t="s">
        <v>167</v>
      </c>
      <c r="H1419">
        <v>4</v>
      </c>
      <c r="I1419">
        <v>171.09</v>
      </c>
      <c r="J1419">
        <v>0.1</v>
      </c>
      <c r="K1419">
        <v>615.91999999999996</v>
      </c>
      <c r="M1419" t="str">
        <f t="shared" si="88"/>
        <v>Jan</v>
      </c>
      <c r="N1419">
        <f t="shared" si="89"/>
        <v>1</v>
      </c>
      <c r="O1419">
        <f t="shared" si="90"/>
        <v>615.92399999999998</v>
      </c>
      <c r="P1419" t="str">
        <f t="shared" si="91"/>
        <v>OK</v>
      </c>
    </row>
    <row r="1420" spans="1:16" x14ac:dyDescent="0.35">
      <c r="A1420" t="s">
        <v>1813</v>
      </c>
      <c r="B1420" s="3">
        <v>45583</v>
      </c>
      <c r="C1420" t="s">
        <v>33</v>
      </c>
      <c r="D1420" t="s">
        <v>19</v>
      </c>
      <c r="E1420" t="s">
        <v>106</v>
      </c>
      <c r="F1420" t="s">
        <v>53</v>
      </c>
      <c r="G1420" t="s">
        <v>125</v>
      </c>
      <c r="H1420">
        <v>4</v>
      </c>
      <c r="I1420">
        <v>46.77</v>
      </c>
      <c r="J1420">
        <v>0.15</v>
      </c>
      <c r="K1420">
        <v>159.02000000000001</v>
      </c>
      <c r="M1420" t="str">
        <f t="shared" si="88"/>
        <v>Oct</v>
      </c>
      <c r="N1420">
        <f t="shared" si="89"/>
        <v>10</v>
      </c>
      <c r="O1420">
        <f t="shared" si="90"/>
        <v>159.018</v>
      </c>
      <c r="P1420" t="str">
        <f t="shared" si="91"/>
        <v>OK</v>
      </c>
    </row>
    <row r="1421" spans="1:16" x14ac:dyDescent="0.35">
      <c r="A1421" t="s">
        <v>1814</v>
      </c>
      <c r="B1421" s="3">
        <v>45542</v>
      </c>
      <c r="C1421" t="s">
        <v>33</v>
      </c>
      <c r="D1421" t="s">
        <v>25</v>
      </c>
      <c r="E1421" t="s">
        <v>468</v>
      </c>
      <c r="F1421" t="s">
        <v>15</v>
      </c>
      <c r="G1421" t="s">
        <v>147</v>
      </c>
      <c r="H1421">
        <v>4</v>
      </c>
      <c r="I1421">
        <v>164.31</v>
      </c>
      <c r="J1421">
        <v>0.1</v>
      </c>
      <c r="K1421">
        <v>591.52</v>
      </c>
      <c r="M1421" t="str">
        <f t="shared" si="88"/>
        <v>Sep</v>
      </c>
      <c r="N1421">
        <f t="shared" si="89"/>
        <v>9</v>
      </c>
      <c r="O1421">
        <f t="shared" si="90"/>
        <v>591.51600000000008</v>
      </c>
      <c r="P1421" t="str">
        <f t="shared" si="91"/>
        <v>OK</v>
      </c>
    </row>
    <row r="1422" spans="1:16" x14ac:dyDescent="0.35">
      <c r="A1422" t="s">
        <v>1815</v>
      </c>
      <c r="B1422" s="3">
        <v>45585</v>
      </c>
      <c r="C1422" t="s">
        <v>41</v>
      </c>
      <c r="D1422" t="s">
        <v>57</v>
      </c>
      <c r="E1422" t="s">
        <v>113</v>
      </c>
      <c r="F1422" t="s">
        <v>44</v>
      </c>
      <c r="G1422" t="s">
        <v>50</v>
      </c>
      <c r="H1422">
        <v>9</v>
      </c>
      <c r="I1422">
        <v>70.63</v>
      </c>
      <c r="J1422">
        <v>0</v>
      </c>
      <c r="K1422">
        <v>635.66999999999996</v>
      </c>
      <c r="M1422" t="str">
        <f t="shared" si="88"/>
        <v>Oct</v>
      </c>
      <c r="N1422">
        <f t="shared" si="89"/>
        <v>10</v>
      </c>
      <c r="O1422">
        <f t="shared" si="90"/>
        <v>635.66999999999996</v>
      </c>
      <c r="P1422" t="str">
        <f t="shared" si="91"/>
        <v>OK</v>
      </c>
    </row>
    <row r="1423" spans="1:16" x14ac:dyDescent="0.35">
      <c r="A1423" t="s">
        <v>1635</v>
      </c>
      <c r="B1423" s="3">
        <v>45636</v>
      </c>
      <c r="C1423" t="s">
        <v>18</v>
      </c>
      <c r="D1423" t="s">
        <v>13</v>
      </c>
      <c r="E1423" t="s">
        <v>221</v>
      </c>
      <c r="F1423" t="s">
        <v>15</v>
      </c>
      <c r="G1423" t="s">
        <v>74</v>
      </c>
      <c r="H1423">
        <v>3</v>
      </c>
      <c r="I1423">
        <v>150.13999999999999</v>
      </c>
      <c r="J1423">
        <v>0.1</v>
      </c>
      <c r="K1423">
        <v>405.38</v>
      </c>
      <c r="M1423" t="str">
        <f t="shared" si="88"/>
        <v>Dec</v>
      </c>
      <c r="N1423">
        <f t="shared" si="89"/>
        <v>12</v>
      </c>
      <c r="O1423">
        <f t="shared" si="90"/>
        <v>405.37799999999999</v>
      </c>
      <c r="P1423" t="str">
        <f t="shared" si="91"/>
        <v>OK</v>
      </c>
    </row>
    <row r="1424" spans="1:16" x14ac:dyDescent="0.35">
      <c r="A1424" t="s">
        <v>1816</v>
      </c>
      <c r="B1424" s="3">
        <v>45484</v>
      </c>
      <c r="C1424" t="s">
        <v>65</v>
      </c>
      <c r="D1424" t="s">
        <v>42</v>
      </c>
      <c r="E1424" t="s">
        <v>309</v>
      </c>
      <c r="F1424" t="s">
        <v>44</v>
      </c>
      <c r="G1424" t="s">
        <v>107</v>
      </c>
      <c r="H1424">
        <v>10</v>
      </c>
      <c r="I1424">
        <v>129.59</v>
      </c>
      <c r="J1424">
        <v>0.05</v>
      </c>
      <c r="K1424">
        <v>1231.1099999999999</v>
      </c>
      <c r="M1424" t="str">
        <f t="shared" si="88"/>
        <v>Jul</v>
      </c>
      <c r="N1424">
        <f t="shared" si="89"/>
        <v>7</v>
      </c>
      <c r="O1424">
        <f t="shared" si="90"/>
        <v>1231.105</v>
      </c>
      <c r="P1424" t="str">
        <f t="shared" si="91"/>
        <v>OK</v>
      </c>
    </row>
    <row r="1425" spans="1:16" x14ac:dyDescent="0.35">
      <c r="A1425" t="s">
        <v>1817</v>
      </c>
      <c r="B1425" s="3">
        <v>45455</v>
      </c>
      <c r="C1425" t="s">
        <v>65</v>
      </c>
      <c r="D1425" t="s">
        <v>19</v>
      </c>
      <c r="E1425" t="s">
        <v>526</v>
      </c>
      <c r="F1425" t="s">
        <v>44</v>
      </c>
      <c r="G1425" t="s">
        <v>50</v>
      </c>
      <c r="H1425">
        <v>10</v>
      </c>
      <c r="I1425">
        <v>246.39</v>
      </c>
      <c r="J1425">
        <v>0.1</v>
      </c>
      <c r="K1425">
        <v>2217.5100000000002</v>
      </c>
      <c r="M1425" t="str">
        <f t="shared" si="88"/>
        <v>Jun</v>
      </c>
      <c r="N1425">
        <f t="shared" si="89"/>
        <v>6</v>
      </c>
      <c r="O1425">
        <f t="shared" si="90"/>
        <v>2217.5099999999998</v>
      </c>
      <c r="P1425" t="str">
        <f t="shared" si="91"/>
        <v>OK</v>
      </c>
    </row>
    <row r="1426" spans="1:16" x14ac:dyDescent="0.35">
      <c r="A1426" t="s">
        <v>1818</v>
      </c>
      <c r="B1426" s="3">
        <v>45407</v>
      </c>
      <c r="C1426" t="s">
        <v>41</v>
      </c>
      <c r="D1426" t="s">
        <v>25</v>
      </c>
      <c r="E1426" t="s">
        <v>282</v>
      </c>
      <c r="F1426" t="s">
        <v>44</v>
      </c>
      <c r="G1426" t="s">
        <v>107</v>
      </c>
      <c r="H1426">
        <v>4</v>
      </c>
      <c r="I1426">
        <v>159.06</v>
      </c>
      <c r="J1426">
        <v>0</v>
      </c>
      <c r="K1426">
        <v>636.24</v>
      </c>
      <c r="M1426" t="str">
        <f t="shared" si="88"/>
        <v>Apr</v>
      </c>
      <c r="N1426">
        <f t="shared" si="89"/>
        <v>4</v>
      </c>
      <c r="O1426">
        <f t="shared" si="90"/>
        <v>636.24</v>
      </c>
      <c r="P1426" t="str">
        <f t="shared" si="91"/>
        <v>OK</v>
      </c>
    </row>
    <row r="1427" spans="1:16" x14ac:dyDescent="0.35">
      <c r="A1427" t="s">
        <v>1819</v>
      </c>
      <c r="B1427" s="3">
        <v>45516</v>
      </c>
      <c r="C1427" t="s">
        <v>41</v>
      </c>
      <c r="D1427" t="s">
        <v>13</v>
      </c>
      <c r="E1427" t="s">
        <v>39</v>
      </c>
      <c r="F1427" t="s">
        <v>21</v>
      </c>
      <c r="G1427" t="s">
        <v>129</v>
      </c>
      <c r="H1427">
        <v>11</v>
      </c>
      <c r="I1427">
        <v>105.66</v>
      </c>
      <c r="J1427">
        <v>0.15</v>
      </c>
      <c r="K1427">
        <v>987.92</v>
      </c>
      <c r="M1427" t="str">
        <f t="shared" si="88"/>
        <v>Aug</v>
      </c>
      <c r="N1427">
        <f t="shared" si="89"/>
        <v>8</v>
      </c>
      <c r="O1427">
        <f t="shared" si="90"/>
        <v>987.92099999999994</v>
      </c>
      <c r="P1427" t="str">
        <f t="shared" si="91"/>
        <v>OK</v>
      </c>
    </row>
    <row r="1428" spans="1:16" x14ac:dyDescent="0.35">
      <c r="A1428" t="s">
        <v>1820</v>
      </c>
      <c r="B1428" s="3">
        <v>45338</v>
      </c>
      <c r="C1428" t="s">
        <v>24</v>
      </c>
      <c r="D1428" t="s">
        <v>57</v>
      </c>
      <c r="E1428" t="s">
        <v>656</v>
      </c>
      <c r="F1428" t="s">
        <v>44</v>
      </c>
      <c r="G1428" t="s">
        <v>107</v>
      </c>
      <c r="H1428">
        <v>3</v>
      </c>
      <c r="I1428">
        <v>199.25</v>
      </c>
      <c r="J1428">
        <v>0</v>
      </c>
      <c r="K1428">
        <v>597.75</v>
      </c>
      <c r="M1428" t="str">
        <f t="shared" si="88"/>
        <v>Feb</v>
      </c>
      <c r="N1428">
        <f t="shared" si="89"/>
        <v>2</v>
      </c>
      <c r="O1428">
        <f t="shared" si="90"/>
        <v>597.75</v>
      </c>
      <c r="P1428" t="str">
        <f t="shared" si="91"/>
        <v>OK</v>
      </c>
    </row>
    <row r="1429" spans="1:16" x14ac:dyDescent="0.35">
      <c r="A1429" t="s">
        <v>1821</v>
      </c>
      <c r="B1429" s="3">
        <v>45498</v>
      </c>
      <c r="C1429" t="s">
        <v>65</v>
      </c>
      <c r="D1429" t="s">
        <v>19</v>
      </c>
      <c r="E1429" t="s">
        <v>638</v>
      </c>
      <c r="F1429" t="s">
        <v>21</v>
      </c>
      <c r="G1429" t="s">
        <v>167</v>
      </c>
      <c r="H1429">
        <v>5</v>
      </c>
      <c r="I1429">
        <v>227.7</v>
      </c>
      <c r="J1429">
        <v>0.1</v>
      </c>
      <c r="K1429">
        <v>1024.6500000000001</v>
      </c>
      <c r="M1429" t="str">
        <f t="shared" si="88"/>
        <v>Jul</v>
      </c>
      <c r="N1429">
        <f t="shared" si="89"/>
        <v>7</v>
      </c>
      <c r="O1429">
        <f t="shared" si="90"/>
        <v>1024.6500000000001</v>
      </c>
      <c r="P1429" t="str">
        <f t="shared" si="91"/>
        <v>OK</v>
      </c>
    </row>
    <row r="1430" spans="1:16" x14ac:dyDescent="0.35">
      <c r="A1430" t="s">
        <v>1822</v>
      </c>
      <c r="B1430" s="3">
        <v>45353</v>
      </c>
      <c r="C1430" t="s">
        <v>24</v>
      </c>
      <c r="D1430" t="s">
        <v>57</v>
      </c>
      <c r="E1430" t="s">
        <v>360</v>
      </c>
      <c r="F1430" t="s">
        <v>35</v>
      </c>
      <c r="G1430" t="s">
        <v>134</v>
      </c>
      <c r="H1430">
        <v>8</v>
      </c>
      <c r="I1430">
        <v>25.25</v>
      </c>
      <c r="J1430">
        <v>0.15</v>
      </c>
      <c r="K1430">
        <v>171.7</v>
      </c>
      <c r="M1430" t="str">
        <f t="shared" si="88"/>
        <v>Mar</v>
      </c>
      <c r="N1430">
        <f t="shared" si="89"/>
        <v>3</v>
      </c>
      <c r="O1430">
        <f t="shared" si="90"/>
        <v>171.7</v>
      </c>
      <c r="P1430" t="str">
        <f t="shared" si="91"/>
        <v>OK</v>
      </c>
    </row>
    <row r="1431" spans="1:16" x14ac:dyDescent="0.35">
      <c r="A1431" t="s">
        <v>1823</v>
      </c>
      <c r="B1431" s="3">
        <v>45541</v>
      </c>
      <c r="C1431" t="s">
        <v>18</v>
      </c>
      <c r="D1431" t="s">
        <v>42</v>
      </c>
      <c r="E1431" t="s">
        <v>448</v>
      </c>
      <c r="F1431" t="s">
        <v>21</v>
      </c>
      <c r="G1431" t="s">
        <v>167</v>
      </c>
      <c r="H1431">
        <v>1</v>
      </c>
      <c r="I1431">
        <v>208.76</v>
      </c>
      <c r="J1431">
        <v>0.1</v>
      </c>
      <c r="K1431">
        <v>187.88</v>
      </c>
      <c r="M1431" t="str">
        <f t="shared" si="88"/>
        <v>Sep</v>
      </c>
      <c r="N1431">
        <f t="shared" si="89"/>
        <v>9</v>
      </c>
      <c r="O1431">
        <f t="shared" si="90"/>
        <v>187.88399999999999</v>
      </c>
      <c r="P1431" t="str">
        <f t="shared" si="91"/>
        <v>OK</v>
      </c>
    </row>
    <row r="1432" spans="1:16" x14ac:dyDescent="0.35">
      <c r="A1432" t="s">
        <v>1824</v>
      </c>
      <c r="B1432" s="3">
        <v>45357</v>
      </c>
      <c r="C1432" t="s">
        <v>41</v>
      </c>
      <c r="D1432" t="s">
        <v>25</v>
      </c>
      <c r="E1432" t="s">
        <v>26</v>
      </c>
      <c r="F1432" t="s">
        <v>35</v>
      </c>
      <c r="G1432" t="s">
        <v>177</v>
      </c>
      <c r="H1432">
        <v>3</v>
      </c>
      <c r="I1432">
        <v>179.23</v>
      </c>
      <c r="J1432">
        <v>0.15</v>
      </c>
      <c r="K1432">
        <v>457.04</v>
      </c>
      <c r="M1432" t="str">
        <f t="shared" si="88"/>
        <v>Mar</v>
      </c>
      <c r="N1432">
        <f t="shared" si="89"/>
        <v>3</v>
      </c>
      <c r="O1432">
        <f t="shared" si="90"/>
        <v>457.03649999999993</v>
      </c>
      <c r="P1432" t="str">
        <f t="shared" si="91"/>
        <v>OK</v>
      </c>
    </row>
    <row r="1433" spans="1:16" x14ac:dyDescent="0.35">
      <c r="A1433" t="s">
        <v>1825</v>
      </c>
      <c r="B1433" s="3">
        <v>45553</v>
      </c>
      <c r="C1433" t="s">
        <v>18</v>
      </c>
      <c r="D1433" t="s">
        <v>25</v>
      </c>
      <c r="E1433" t="s">
        <v>810</v>
      </c>
      <c r="F1433" t="s">
        <v>15</v>
      </c>
      <c r="G1433" t="s">
        <v>111</v>
      </c>
      <c r="H1433">
        <v>11</v>
      </c>
      <c r="I1433">
        <v>173.54</v>
      </c>
      <c r="J1433">
        <v>0</v>
      </c>
      <c r="K1433">
        <v>1908.94</v>
      </c>
      <c r="M1433" t="str">
        <f t="shared" si="88"/>
        <v>Sep</v>
      </c>
      <c r="N1433">
        <f t="shared" si="89"/>
        <v>9</v>
      </c>
      <c r="O1433">
        <f t="shared" si="90"/>
        <v>1908.9399999999998</v>
      </c>
      <c r="P1433" t="str">
        <f t="shared" si="91"/>
        <v>OK</v>
      </c>
    </row>
    <row r="1434" spans="1:16" x14ac:dyDescent="0.35">
      <c r="A1434" t="s">
        <v>1826</v>
      </c>
      <c r="B1434" s="3">
        <v>45347</v>
      </c>
      <c r="C1434" t="s">
        <v>24</v>
      </c>
      <c r="D1434" t="s">
        <v>25</v>
      </c>
      <c r="E1434" t="s">
        <v>370</v>
      </c>
      <c r="F1434" t="s">
        <v>35</v>
      </c>
      <c r="G1434" t="s">
        <v>83</v>
      </c>
      <c r="H1434">
        <v>10</v>
      </c>
      <c r="I1434">
        <v>110.18</v>
      </c>
      <c r="J1434">
        <v>0</v>
      </c>
      <c r="K1434">
        <v>1101.8</v>
      </c>
      <c r="M1434" t="str">
        <f t="shared" si="88"/>
        <v>Feb</v>
      </c>
      <c r="N1434">
        <f t="shared" si="89"/>
        <v>2</v>
      </c>
      <c r="O1434">
        <f t="shared" si="90"/>
        <v>1101.8000000000002</v>
      </c>
      <c r="P1434" t="str">
        <f t="shared" si="91"/>
        <v>OK</v>
      </c>
    </row>
    <row r="1435" spans="1:16" x14ac:dyDescent="0.35">
      <c r="A1435" t="s">
        <v>1827</v>
      </c>
      <c r="B1435" s="3">
        <v>45605</v>
      </c>
      <c r="C1435" t="s">
        <v>33</v>
      </c>
      <c r="D1435" t="s">
        <v>57</v>
      </c>
      <c r="E1435" t="s">
        <v>238</v>
      </c>
      <c r="F1435" t="s">
        <v>21</v>
      </c>
      <c r="G1435" t="s">
        <v>167</v>
      </c>
      <c r="H1435">
        <v>10</v>
      </c>
      <c r="I1435">
        <v>153.37</v>
      </c>
      <c r="J1435">
        <v>0</v>
      </c>
      <c r="K1435">
        <v>1533.7</v>
      </c>
      <c r="M1435" t="str">
        <f t="shared" si="88"/>
        <v>Nov</v>
      </c>
      <c r="N1435">
        <f t="shared" si="89"/>
        <v>11</v>
      </c>
      <c r="O1435">
        <f t="shared" si="90"/>
        <v>1533.7</v>
      </c>
      <c r="P1435" t="str">
        <f t="shared" si="91"/>
        <v>OK</v>
      </c>
    </row>
    <row r="1436" spans="1:16" x14ac:dyDescent="0.35">
      <c r="A1436" t="s">
        <v>1828</v>
      </c>
      <c r="B1436" s="3">
        <v>45375</v>
      </c>
      <c r="C1436" t="s">
        <v>65</v>
      </c>
      <c r="D1436" t="s">
        <v>25</v>
      </c>
      <c r="E1436" t="s">
        <v>1037</v>
      </c>
      <c r="F1436" t="s">
        <v>35</v>
      </c>
      <c r="G1436" t="s">
        <v>134</v>
      </c>
      <c r="H1436">
        <v>11</v>
      </c>
      <c r="I1436">
        <v>98.48</v>
      </c>
      <c r="J1436">
        <v>0.15</v>
      </c>
      <c r="K1436">
        <v>920.79</v>
      </c>
      <c r="M1436" t="str">
        <f t="shared" si="88"/>
        <v>Mar</v>
      </c>
      <c r="N1436">
        <f t="shared" si="89"/>
        <v>3</v>
      </c>
      <c r="O1436">
        <f t="shared" si="90"/>
        <v>920.7879999999999</v>
      </c>
      <c r="P1436" t="str">
        <f t="shared" si="91"/>
        <v>OK</v>
      </c>
    </row>
    <row r="1437" spans="1:16" x14ac:dyDescent="0.35">
      <c r="A1437" t="s">
        <v>1829</v>
      </c>
      <c r="B1437" s="3">
        <v>45404</v>
      </c>
      <c r="C1437" t="s">
        <v>18</v>
      </c>
      <c r="D1437" t="s">
        <v>42</v>
      </c>
      <c r="E1437" t="s">
        <v>407</v>
      </c>
      <c r="F1437" t="s">
        <v>15</v>
      </c>
      <c r="G1437" t="s">
        <v>27</v>
      </c>
      <c r="H1437">
        <v>5</v>
      </c>
      <c r="I1437">
        <v>166.2</v>
      </c>
      <c r="J1437">
        <v>0.15</v>
      </c>
      <c r="K1437">
        <v>706.35</v>
      </c>
      <c r="M1437" t="str">
        <f t="shared" si="88"/>
        <v>Apr</v>
      </c>
      <c r="N1437">
        <f t="shared" si="89"/>
        <v>4</v>
      </c>
      <c r="O1437">
        <f t="shared" si="90"/>
        <v>706.35</v>
      </c>
      <c r="P1437" t="str">
        <f t="shared" si="91"/>
        <v>OK</v>
      </c>
    </row>
    <row r="1438" spans="1:16" x14ac:dyDescent="0.35">
      <c r="A1438" t="s">
        <v>1830</v>
      </c>
      <c r="B1438" s="3">
        <v>45456</v>
      </c>
      <c r="C1438" t="s">
        <v>33</v>
      </c>
      <c r="D1438" t="s">
        <v>13</v>
      </c>
      <c r="E1438" t="s">
        <v>171</v>
      </c>
      <c r="F1438" t="s">
        <v>44</v>
      </c>
      <c r="G1438" t="s">
        <v>86</v>
      </c>
      <c r="H1438">
        <v>1</v>
      </c>
      <c r="I1438">
        <v>127.83</v>
      </c>
      <c r="J1438">
        <v>0.05</v>
      </c>
      <c r="K1438">
        <v>121.44</v>
      </c>
      <c r="M1438" t="str">
        <f t="shared" si="88"/>
        <v>Jun</v>
      </c>
      <c r="N1438">
        <f t="shared" si="89"/>
        <v>6</v>
      </c>
      <c r="O1438">
        <f t="shared" si="90"/>
        <v>121.43849999999999</v>
      </c>
      <c r="P1438" t="str">
        <f t="shared" si="91"/>
        <v>OK</v>
      </c>
    </row>
    <row r="1439" spans="1:16" x14ac:dyDescent="0.35">
      <c r="A1439" t="s">
        <v>1831</v>
      </c>
      <c r="B1439" s="3">
        <v>45385</v>
      </c>
      <c r="C1439" t="s">
        <v>33</v>
      </c>
      <c r="D1439" t="s">
        <v>25</v>
      </c>
      <c r="E1439" t="s">
        <v>160</v>
      </c>
      <c r="F1439" t="s">
        <v>53</v>
      </c>
      <c r="G1439" t="s">
        <v>54</v>
      </c>
      <c r="H1439">
        <v>4</v>
      </c>
      <c r="I1439">
        <v>165.34</v>
      </c>
      <c r="J1439">
        <v>0</v>
      </c>
      <c r="K1439">
        <v>661.36</v>
      </c>
      <c r="M1439" t="str">
        <f t="shared" si="88"/>
        <v>Apr</v>
      </c>
      <c r="N1439">
        <f t="shared" si="89"/>
        <v>4</v>
      </c>
      <c r="O1439">
        <f t="shared" si="90"/>
        <v>661.36</v>
      </c>
      <c r="P1439" t="str">
        <f t="shared" si="91"/>
        <v>OK</v>
      </c>
    </row>
    <row r="1440" spans="1:16" x14ac:dyDescent="0.35">
      <c r="A1440" t="s">
        <v>227</v>
      </c>
      <c r="B1440" s="3">
        <v>45462</v>
      </c>
      <c r="C1440" t="s">
        <v>33</v>
      </c>
      <c r="D1440" t="s">
        <v>19</v>
      </c>
      <c r="E1440" t="s">
        <v>229</v>
      </c>
      <c r="F1440" t="s">
        <v>15</v>
      </c>
      <c r="G1440" t="s">
        <v>16</v>
      </c>
      <c r="H1440">
        <v>12</v>
      </c>
      <c r="I1440">
        <v>171.03</v>
      </c>
      <c r="J1440">
        <v>0</v>
      </c>
      <c r="K1440">
        <v>2052.36</v>
      </c>
      <c r="M1440" t="str">
        <f t="shared" si="88"/>
        <v>Jun</v>
      </c>
      <c r="N1440">
        <f t="shared" si="89"/>
        <v>6</v>
      </c>
      <c r="O1440">
        <f t="shared" si="90"/>
        <v>2052.36</v>
      </c>
      <c r="P1440" t="str">
        <f t="shared" si="91"/>
        <v>OK</v>
      </c>
    </row>
    <row r="1441" spans="1:16" x14ac:dyDescent="0.35">
      <c r="A1441" t="s">
        <v>1832</v>
      </c>
      <c r="B1441" s="3">
        <v>45620</v>
      </c>
      <c r="C1441" t="s">
        <v>18</v>
      </c>
      <c r="D1441" t="s">
        <v>25</v>
      </c>
      <c r="E1441" t="s">
        <v>683</v>
      </c>
      <c r="F1441" t="s">
        <v>15</v>
      </c>
      <c r="G1441" t="s">
        <v>27</v>
      </c>
      <c r="H1441">
        <v>4</v>
      </c>
      <c r="I1441">
        <v>147.94</v>
      </c>
      <c r="J1441">
        <v>0</v>
      </c>
      <c r="K1441">
        <v>591.76</v>
      </c>
      <c r="M1441" t="str">
        <f t="shared" si="88"/>
        <v>Nov</v>
      </c>
      <c r="N1441">
        <f t="shared" si="89"/>
        <v>11</v>
      </c>
      <c r="O1441">
        <f t="shared" si="90"/>
        <v>591.76</v>
      </c>
      <c r="P1441" t="str">
        <f t="shared" si="91"/>
        <v>OK</v>
      </c>
    </row>
    <row r="1442" spans="1:16" x14ac:dyDescent="0.35">
      <c r="A1442" t="s">
        <v>1833</v>
      </c>
      <c r="B1442" s="3">
        <v>45464</v>
      </c>
      <c r="C1442" t="s">
        <v>24</v>
      </c>
      <c r="D1442" t="s">
        <v>42</v>
      </c>
      <c r="E1442" t="s">
        <v>835</v>
      </c>
      <c r="F1442" t="s">
        <v>53</v>
      </c>
      <c r="G1442" t="s">
        <v>104</v>
      </c>
      <c r="H1442">
        <v>1</v>
      </c>
      <c r="I1442">
        <v>192.87</v>
      </c>
      <c r="J1442">
        <v>0.1</v>
      </c>
      <c r="K1442">
        <v>173.58</v>
      </c>
      <c r="M1442" t="str">
        <f t="shared" si="88"/>
        <v>Jun</v>
      </c>
      <c r="N1442">
        <f t="shared" si="89"/>
        <v>6</v>
      </c>
      <c r="O1442">
        <f t="shared" si="90"/>
        <v>173.583</v>
      </c>
      <c r="P1442" t="str">
        <f t="shared" si="91"/>
        <v>OK</v>
      </c>
    </row>
    <row r="1443" spans="1:16" x14ac:dyDescent="0.35">
      <c r="A1443" t="s">
        <v>1834</v>
      </c>
      <c r="B1443" s="3">
        <v>45602</v>
      </c>
      <c r="C1443" t="s">
        <v>33</v>
      </c>
      <c r="D1443" t="s">
        <v>42</v>
      </c>
      <c r="E1443" t="s">
        <v>462</v>
      </c>
      <c r="F1443" t="s">
        <v>21</v>
      </c>
      <c r="G1443" t="s">
        <v>129</v>
      </c>
      <c r="H1443">
        <v>9</v>
      </c>
      <c r="I1443">
        <v>106.88</v>
      </c>
      <c r="J1443">
        <v>0.05</v>
      </c>
      <c r="K1443">
        <v>913.82</v>
      </c>
      <c r="M1443" t="str">
        <f t="shared" si="88"/>
        <v>Nov</v>
      </c>
      <c r="N1443">
        <f t="shared" si="89"/>
        <v>11</v>
      </c>
      <c r="O1443">
        <f t="shared" si="90"/>
        <v>913.82399999999996</v>
      </c>
      <c r="P1443" t="str">
        <f t="shared" si="91"/>
        <v>OK</v>
      </c>
    </row>
    <row r="1444" spans="1:16" x14ac:dyDescent="0.35">
      <c r="A1444" t="s">
        <v>1835</v>
      </c>
      <c r="B1444" s="3">
        <v>45450</v>
      </c>
      <c r="C1444" t="s">
        <v>65</v>
      </c>
      <c r="D1444" t="s">
        <v>25</v>
      </c>
      <c r="E1444" t="s">
        <v>404</v>
      </c>
      <c r="F1444" t="s">
        <v>15</v>
      </c>
      <c r="G1444" t="s">
        <v>27</v>
      </c>
      <c r="H1444">
        <v>9</v>
      </c>
      <c r="I1444">
        <v>190.41</v>
      </c>
      <c r="J1444">
        <v>0</v>
      </c>
      <c r="K1444">
        <v>1713.69</v>
      </c>
      <c r="M1444" t="str">
        <f t="shared" si="88"/>
        <v>Jun</v>
      </c>
      <c r="N1444">
        <f t="shared" si="89"/>
        <v>6</v>
      </c>
      <c r="O1444">
        <f t="shared" si="90"/>
        <v>1713.69</v>
      </c>
      <c r="P1444" t="str">
        <f t="shared" si="91"/>
        <v>OK</v>
      </c>
    </row>
    <row r="1445" spans="1:16" x14ac:dyDescent="0.35">
      <c r="A1445" t="s">
        <v>1836</v>
      </c>
      <c r="B1445" s="3">
        <v>45624</v>
      </c>
      <c r="C1445" t="s">
        <v>41</v>
      </c>
      <c r="D1445" t="s">
        <v>57</v>
      </c>
      <c r="E1445" t="s">
        <v>201</v>
      </c>
      <c r="F1445" t="s">
        <v>53</v>
      </c>
      <c r="G1445" t="s">
        <v>104</v>
      </c>
      <c r="H1445">
        <v>11</v>
      </c>
      <c r="I1445">
        <v>234.62</v>
      </c>
      <c r="J1445">
        <v>0.05</v>
      </c>
      <c r="K1445">
        <v>2451.7800000000002</v>
      </c>
      <c r="M1445" t="str">
        <f t="shared" si="88"/>
        <v>Nov</v>
      </c>
      <c r="N1445">
        <f t="shared" si="89"/>
        <v>11</v>
      </c>
      <c r="O1445">
        <f t="shared" si="90"/>
        <v>2451.779</v>
      </c>
      <c r="P1445" t="str">
        <f t="shared" si="91"/>
        <v>OK</v>
      </c>
    </row>
    <row r="1446" spans="1:16" x14ac:dyDescent="0.35">
      <c r="A1446" t="s">
        <v>1837</v>
      </c>
      <c r="B1446" s="3">
        <v>45610</v>
      </c>
      <c r="C1446" t="s">
        <v>18</v>
      </c>
      <c r="D1446" t="s">
        <v>57</v>
      </c>
      <c r="E1446" t="s">
        <v>206</v>
      </c>
      <c r="F1446" t="s">
        <v>44</v>
      </c>
      <c r="G1446" t="s">
        <v>50</v>
      </c>
      <c r="H1446">
        <v>4</v>
      </c>
      <c r="I1446">
        <v>41.14</v>
      </c>
      <c r="J1446">
        <v>0.15</v>
      </c>
      <c r="K1446">
        <v>139.88</v>
      </c>
      <c r="M1446" t="str">
        <f t="shared" si="88"/>
        <v>Nov</v>
      </c>
      <c r="N1446">
        <f t="shared" si="89"/>
        <v>11</v>
      </c>
      <c r="O1446">
        <f t="shared" si="90"/>
        <v>139.876</v>
      </c>
      <c r="P1446" t="str">
        <f t="shared" si="91"/>
        <v>OK</v>
      </c>
    </row>
    <row r="1447" spans="1:16" x14ac:dyDescent="0.35">
      <c r="A1447" t="s">
        <v>1838</v>
      </c>
      <c r="B1447" s="3">
        <v>45643</v>
      </c>
      <c r="C1447" t="s">
        <v>33</v>
      </c>
      <c r="D1447" t="s">
        <v>2216</v>
      </c>
      <c r="E1447" t="s">
        <v>334</v>
      </c>
      <c r="F1447" t="s">
        <v>21</v>
      </c>
      <c r="G1447" t="s">
        <v>22</v>
      </c>
      <c r="H1447">
        <v>2</v>
      </c>
      <c r="I1447">
        <v>125.5</v>
      </c>
      <c r="J1447">
        <v>0</v>
      </c>
      <c r="K1447">
        <v>251</v>
      </c>
      <c r="M1447" t="str">
        <f t="shared" si="88"/>
        <v>Dec</v>
      </c>
      <c r="N1447">
        <f t="shared" si="89"/>
        <v>12</v>
      </c>
      <c r="O1447">
        <f t="shared" si="90"/>
        <v>251</v>
      </c>
      <c r="P1447" t="str">
        <f t="shared" si="91"/>
        <v>OK</v>
      </c>
    </row>
    <row r="1448" spans="1:16" x14ac:dyDescent="0.35">
      <c r="A1448" t="s">
        <v>1839</v>
      </c>
      <c r="B1448" s="3">
        <v>45329</v>
      </c>
      <c r="C1448" t="s">
        <v>65</v>
      </c>
      <c r="D1448" t="s">
        <v>13</v>
      </c>
      <c r="E1448" t="s">
        <v>429</v>
      </c>
      <c r="F1448" t="s">
        <v>21</v>
      </c>
      <c r="G1448" t="s">
        <v>194</v>
      </c>
      <c r="H1448">
        <v>1</v>
      </c>
      <c r="I1448">
        <v>148.35</v>
      </c>
      <c r="J1448">
        <v>0.05</v>
      </c>
      <c r="K1448">
        <v>140.93</v>
      </c>
      <c r="M1448" t="str">
        <f t="shared" si="88"/>
        <v>Feb</v>
      </c>
      <c r="N1448">
        <f t="shared" si="89"/>
        <v>2</v>
      </c>
      <c r="O1448">
        <f t="shared" si="90"/>
        <v>140.93249999999998</v>
      </c>
      <c r="P1448" t="str">
        <f t="shared" si="91"/>
        <v>OK</v>
      </c>
    </row>
    <row r="1449" spans="1:16" x14ac:dyDescent="0.35">
      <c r="A1449" t="s">
        <v>1840</v>
      </c>
      <c r="B1449" s="3">
        <v>45575</v>
      </c>
      <c r="C1449" t="s">
        <v>18</v>
      </c>
      <c r="D1449" t="s">
        <v>57</v>
      </c>
      <c r="E1449" t="s">
        <v>69</v>
      </c>
      <c r="F1449" t="s">
        <v>21</v>
      </c>
      <c r="G1449" t="s">
        <v>129</v>
      </c>
      <c r="H1449">
        <v>4</v>
      </c>
      <c r="I1449">
        <v>148.66</v>
      </c>
      <c r="J1449">
        <v>0</v>
      </c>
      <c r="K1449">
        <v>594.64</v>
      </c>
      <c r="M1449" t="str">
        <f t="shared" si="88"/>
        <v>Oct</v>
      </c>
      <c r="N1449">
        <f t="shared" si="89"/>
        <v>10</v>
      </c>
      <c r="O1449">
        <f t="shared" si="90"/>
        <v>594.64</v>
      </c>
      <c r="P1449" t="str">
        <f t="shared" si="91"/>
        <v>OK</v>
      </c>
    </row>
    <row r="1450" spans="1:16" x14ac:dyDescent="0.35">
      <c r="A1450" t="s">
        <v>1841</v>
      </c>
      <c r="B1450" s="3">
        <v>45518</v>
      </c>
      <c r="C1450" t="s">
        <v>65</v>
      </c>
      <c r="D1450" t="s">
        <v>57</v>
      </c>
      <c r="E1450" t="s">
        <v>842</v>
      </c>
      <c r="F1450" t="s">
        <v>44</v>
      </c>
      <c r="G1450" t="s">
        <v>107</v>
      </c>
      <c r="H1450">
        <v>2</v>
      </c>
      <c r="I1450">
        <v>106.36</v>
      </c>
      <c r="J1450">
        <v>0</v>
      </c>
      <c r="K1450">
        <v>212.72</v>
      </c>
      <c r="M1450" t="str">
        <f t="shared" si="88"/>
        <v>Aug</v>
      </c>
      <c r="N1450">
        <f t="shared" si="89"/>
        <v>8</v>
      </c>
      <c r="O1450">
        <f t="shared" si="90"/>
        <v>212.72</v>
      </c>
      <c r="P1450" t="str">
        <f t="shared" si="91"/>
        <v>OK</v>
      </c>
    </row>
    <row r="1451" spans="1:16" x14ac:dyDescent="0.35">
      <c r="A1451" t="s">
        <v>1842</v>
      </c>
      <c r="B1451" s="3">
        <v>45656</v>
      </c>
      <c r="C1451" t="s">
        <v>41</v>
      </c>
      <c r="D1451" t="s">
        <v>42</v>
      </c>
      <c r="E1451" t="s">
        <v>506</v>
      </c>
      <c r="F1451" t="s">
        <v>35</v>
      </c>
      <c r="G1451" t="s">
        <v>83</v>
      </c>
      <c r="H1451">
        <v>3</v>
      </c>
      <c r="I1451">
        <v>247.95</v>
      </c>
      <c r="J1451">
        <v>0</v>
      </c>
      <c r="K1451">
        <v>743.85</v>
      </c>
      <c r="M1451" t="str">
        <f t="shared" si="88"/>
        <v>Dec</v>
      </c>
      <c r="N1451">
        <f t="shared" si="89"/>
        <v>12</v>
      </c>
      <c r="O1451">
        <f t="shared" si="90"/>
        <v>743.84999999999991</v>
      </c>
      <c r="P1451" t="str">
        <f t="shared" si="91"/>
        <v>OK</v>
      </c>
    </row>
    <row r="1452" spans="1:16" x14ac:dyDescent="0.35">
      <c r="A1452" t="s">
        <v>1843</v>
      </c>
      <c r="B1452" s="3">
        <v>45585</v>
      </c>
      <c r="C1452" t="s">
        <v>33</v>
      </c>
      <c r="D1452" t="s">
        <v>19</v>
      </c>
      <c r="E1452" t="s">
        <v>825</v>
      </c>
      <c r="F1452" t="s">
        <v>53</v>
      </c>
      <c r="G1452" t="s">
        <v>260</v>
      </c>
      <c r="H1452">
        <v>4</v>
      </c>
      <c r="I1452">
        <v>116.02</v>
      </c>
      <c r="J1452">
        <v>0.15</v>
      </c>
      <c r="K1452">
        <v>394.47</v>
      </c>
      <c r="M1452" t="str">
        <f t="shared" si="88"/>
        <v>Oct</v>
      </c>
      <c r="N1452">
        <f t="shared" si="89"/>
        <v>10</v>
      </c>
      <c r="O1452">
        <f t="shared" si="90"/>
        <v>394.46799999999996</v>
      </c>
      <c r="P1452" t="str">
        <f t="shared" si="91"/>
        <v>OK</v>
      </c>
    </row>
    <row r="1453" spans="1:16" x14ac:dyDescent="0.35">
      <c r="A1453" t="s">
        <v>1844</v>
      </c>
      <c r="B1453" s="3">
        <v>45515</v>
      </c>
      <c r="C1453" t="s">
        <v>33</v>
      </c>
      <c r="D1453" t="s">
        <v>25</v>
      </c>
      <c r="E1453" t="s">
        <v>122</v>
      </c>
      <c r="F1453" t="s">
        <v>35</v>
      </c>
      <c r="G1453" t="s">
        <v>67</v>
      </c>
      <c r="H1453">
        <v>10</v>
      </c>
      <c r="I1453">
        <v>51.22</v>
      </c>
      <c r="J1453">
        <v>0.15</v>
      </c>
      <c r="K1453">
        <v>435.37</v>
      </c>
      <c r="M1453" t="str">
        <f t="shared" si="88"/>
        <v>Aug</v>
      </c>
      <c r="N1453">
        <f t="shared" si="89"/>
        <v>8</v>
      </c>
      <c r="O1453">
        <f t="shared" si="90"/>
        <v>435.37</v>
      </c>
      <c r="P1453" t="str">
        <f t="shared" si="91"/>
        <v>OK</v>
      </c>
    </row>
    <row r="1454" spans="1:16" x14ac:dyDescent="0.35">
      <c r="A1454" t="s">
        <v>1845</v>
      </c>
      <c r="B1454" s="3">
        <v>45372</v>
      </c>
      <c r="C1454" t="s">
        <v>65</v>
      </c>
      <c r="D1454" t="s">
        <v>25</v>
      </c>
      <c r="E1454" t="s">
        <v>448</v>
      </c>
      <c r="F1454" t="s">
        <v>21</v>
      </c>
      <c r="G1454" t="s">
        <v>22</v>
      </c>
      <c r="H1454">
        <v>2</v>
      </c>
      <c r="I1454">
        <v>67.36</v>
      </c>
      <c r="J1454">
        <v>0</v>
      </c>
      <c r="K1454">
        <v>134.72</v>
      </c>
      <c r="M1454" t="str">
        <f t="shared" si="88"/>
        <v>Mar</v>
      </c>
      <c r="N1454">
        <f t="shared" si="89"/>
        <v>3</v>
      </c>
      <c r="O1454">
        <f t="shared" si="90"/>
        <v>134.72</v>
      </c>
      <c r="P1454" t="str">
        <f t="shared" si="91"/>
        <v>OK</v>
      </c>
    </row>
    <row r="1455" spans="1:16" x14ac:dyDescent="0.35">
      <c r="A1455" t="s">
        <v>1846</v>
      </c>
      <c r="B1455" s="3">
        <v>45639</v>
      </c>
      <c r="C1455" t="s">
        <v>33</v>
      </c>
      <c r="D1455" t="s">
        <v>42</v>
      </c>
      <c r="E1455" t="s">
        <v>620</v>
      </c>
      <c r="F1455" t="s">
        <v>44</v>
      </c>
      <c r="G1455" t="s">
        <v>86</v>
      </c>
      <c r="H1455">
        <v>2</v>
      </c>
      <c r="I1455">
        <v>231.87</v>
      </c>
      <c r="J1455">
        <v>0</v>
      </c>
      <c r="K1455">
        <v>463.74</v>
      </c>
      <c r="M1455" t="str">
        <f t="shared" si="88"/>
        <v>Dec</v>
      </c>
      <c r="N1455">
        <f t="shared" si="89"/>
        <v>12</v>
      </c>
      <c r="O1455">
        <f t="shared" si="90"/>
        <v>463.74</v>
      </c>
      <c r="P1455" t="str">
        <f t="shared" si="91"/>
        <v>OK</v>
      </c>
    </row>
    <row r="1456" spans="1:16" x14ac:dyDescent="0.35">
      <c r="A1456" t="s">
        <v>1847</v>
      </c>
      <c r="B1456" s="3">
        <v>45293</v>
      </c>
      <c r="C1456" t="s">
        <v>41</v>
      </c>
      <c r="D1456" t="s">
        <v>25</v>
      </c>
      <c r="E1456" t="s">
        <v>517</v>
      </c>
      <c r="F1456" t="s">
        <v>15</v>
      </c>
      <c r="G1456" t="s">
        <v>74</v>
      </c>
      <c r="H1456">
        <v>7</v>
      </c>
      <c r="I1456">
        <v>186.48</v>
      </c>
      <c r="J1456">
        <v>0.05</v>
      </c>
      <c r="K1456">
        <v>1240.0899999999999</v>
      </c>
      <c r="M1456" t="str">
        <f t="shared" si="88"/>
        <v>Jan</v>
      </c>
      <c r="N1456">
        <f t="shared" si="89"/>
        <v>1</v>
      </c>
      <c r="O1456">
        <f t="shared" si="90"/>
        <v>1240.0919999999999</v>
      </c>
      <c r="P1456" t="str">
        <f t="shared" si="91"/>
        <v>OK</v>
      </c>
    </row>
    <row r="1457" spans="1:16" x14ac:dyDescent="0.35">
      <c r="A1457" t="s">
        <v>1848</v>
      </c>
      <c r="B1457" s="3">
        <v>45408</v>
      </c>
      <c r="C1457" t="s">
        <v>41</v>
      </c>
      <c r="D1457" t="s">
        <v>42</v>
      </c>
      <c r="E1457" t="s">
        <v>751</v>
      </c>
      <c r="F1457" t="s">
        <v>15</v>
      </c>
      <c r="G1457" t="s">
        <v>27</v>
      </c>
      <c r="H1457">
        <v>7</v>
      </c>
      <c r="I1457">
        <v>140.49</v>
      </c>
      <c r="J1457">
        <v>0.05</v>
      </c>
      <c r="K1457">
        <v>934.26</v>
      </c>
      <c r="M1457" t="str">
        <f t="shared" si="88"/>
        <v>Apr</v>
      </c>
      <c r="N1457">
        <f t="shared" si="89"/>
        <v>4</v>
      </c>
      <c r="O1457">
        <f t="shared" si="90"/>
        <v>934.25850000000003</v>
      </c>
      <c r="P1457" t="str">
        <f t="shared" si="91"/>
        <v>OK</v>
      </c>
    </row>
    <row r="1458" spans="1:16" x14ac:dyDescent="0.35">
      <c r="A1458" t="s">
        <v>1849</v>
      </c>
      <c r="B1458" s="3">
        <v>45522</v>
      </c>
      <c r="C1458" t="s">
        <v>33</v>
      </c>
      <c r="D1458" t="s">
        <v>13</v>
      </c>
      <c r="E1458" t="s">
        <v>206</v>
      </c>
      <c r="F1458" t="s">
        <v>53</v>
      </c>
      <c r="G1458" t="s">
        <v>54</v>
      </c>
      <c r="H1458">
        <v>11</v>
      </c>
      <c r="I1458">
        <v>8.81</v>
      </c>
      <c r="J1458">
        <v>0.15</v>
      </c>
      <c r="K1458">
        <v>82.37</v>
      </c>
      <c r="M1458" t="str">
        <f t="shared" si="88"/>
        <v>Aug</v>
      </c>
      <c r="N1458">
        <f t="shared" si="89"/>
        <v>8</v>
      </c>
      <c r="O1458">
        <f t="shared" si="90"/>
        <v>82.373500000000007</v>
      </c>
      <c r="P1458" t="str">
        <f t="shared" si="91"/>
        <v>OK</v>
      </c>
    </row>
    <row r="1459" spans="1:16" x14ac:dyDescent="0.35">
      <c r="A1459" t="s">
        <v>1850</v>
      </c>
      <c r="B1459" s="3">
        <v>45530</v>
      </c>
      <c r="C1459" t="s">
        <v>18</v>
      </c>
      <c r="D1459" t="s">
        <v>42</v>
      </c>
      <c r="E1459" t="s">
        <v>385</v>
      </c>
      <c r="F1459" t="s">
        <v>44</v>
      </c>
      <c r="G1459" t="s">
        <v>107</v>
      </c>
      <c r="H1459">
        <v>7</v>
      </c>
      <c r="I1459">
        <v>84.47</v>
      </c>
      <c r="J1459">
        <v>0.05</v>
      </c>
      <c r="K1459">
        <v>561.73</v>
      </c>
      <c r="M1459" t="str">
        <f t="shared" si="88"/>
        <v>Aug</v>
      </c>
      <c r="N1459">
        <f t="shared" si="89"/>
        <v>8</v>
      </c>
      <c r="O1459">
        <f t="shared" si="90"/>
        <v>561.7254999999999</v>
      </c>
      <c r="P1459" t="str">
        <f t="shared" si="91"/>
        <v>OK</v>
      </c>
    </row>
    <row r="1460" spans="1:16" x14ac:dyDescent="0.35">
      <c r="A1460" t="s">
        <v>1851</v>
      </c>
      <c r="B1460" s="3">
        <v>45464</v>
      </c>
      <c r="C1460" t="s">
        <v>33</v>
      </c>
      <c r="D1460" t="s">
        <v>13</v>
      </c>
      <c r="E1460" t="s">
        <v>547</v>
      </c>
      <c r="F1460" t="s">
        <v>44</v>
      </c>
      <c r="G1460" t="s">
        <v>50</v>
      </c>
      <c r="H1460">
        <v>9</v>
      </c>
      <c r="I1460">
        <v>166.61</v>
      </c>
      <c r="J1460">
        <v>0.05</v>
      </c>
      <c r="K1460">
        <v>1424.52</v>
      </c>
      <c r="M1460" t="str">
        <f t="shared" si="88"/>
        <v>Jun</v>
      </c>
      <c r="N1460">
        <f t="shared" si="89"/>
        <v>6</v>
      </c>
      <c r="O1460">
        <f t="shared" si="90"/>
        <v>1424.5155000000002</v>
      </c>
      <c r="P1460" t="str">
        <f t="shared" si="91"/>
        <v>OK</v>
      </c>
    </row>
    <row r="1461" spans="1:16" x14ac:dyDescent="0.35">
      <c r="A1461" t="s">
        <v>1853</v>
      </c>
      <c r="B1461" s="3">
        <v>45640</v>
      </c>
      <c r="C1461" t="s">
        <v>18</v>
      </c>
      <c r="D1461" t="s">
        <v>42</v>
      </c>
      <c r="E1461" t="s">
        <v>197</v>
      </c>
      <c r="F1461" t="s">
        <v>35</v>
      </c>
      <c r="G1461" t="s">
        <v>177</v>
      </c>
      <c r="H1461">
        <v>11</v>
      </c>
      <c r="I1461">
        <v>216.74</v>
      </c>
      <c r="J1461">
        <v>0</v>
      </c>
      <c r="K1461">
        <v>2384.14</v>
      </c>
      <c r="M1461" t="str">
        <f t="shared" si="88"/>
        <v>Dec</v>
      </c>
      <c r="N1461">
        <f t="shared" si="89"/>
        <v>12</v>
      </c>
      <c r="O1461">
        <f t="shared" si="90"/>
        <v>2384.1400000000003</v>
      </c>
      <c r="P1461" t="str">
        <f t="shared" si="91"/>
        <v>OK</v>
      </c>
    </row>
    <row r="1462" spans="1:16" x14ac:dyDescent="0.35">
      <c r="A1462" t="s">
        <v>1854</v>
      </c>
      <c r="B1462" s="3">
        <v>45374</v>
      </c>
      <c r="C1462" t="s">
        <v>18</v>
      </c>
      <c r="D1462" t="s">
        <v>25</v>
      </c>
      <c r="E1462" t="s">
        <v>158</v>
      </c>
      <c r="F1462" t="s">
        <v>21</v>
      </c>
      <c r="G1462" t="s">
        <v>167</v>
      </c>
      <c r="H1462">
        <v>1</v>
      </c>
      <c r="I1462">
        <v>159.24</v>
      </c>
      <c r="J1462">
        <v>0.1</v>
      </c>
      <c r="K1462">
        <v>143.32</v>
      </c>
      <c r="M1462" t="str">
        <f t="shared" si="88"/>
        <v>Mar</v>
      </c>
      <c r="N1462">
        <f t="shared" si="89"/>
        <v>3</v>
      </c>
      <c r="O1462">
        <f t="shared" si="90"/>
        <v>143.316</v>
      </c>
      <c r="P1462" t="str">
        <f t="shared" si="91"/>
        <v>OK</v>
      </c>
    </row>
    <row r="1463" spans="1:16" x14ac:dyDescent="0.35">
      <c r="A1463" t="s">
        <v>1855</v>
      </c>
      <c r="B1463" s="3">
        <v>45618</v>
      </c>
      <c r="C1463" t="s">
        <v>33</v>
      </c>
      <c r="D1463" t="s">
        <v>42</v>
      </c>
      <c r="E1463" t="s">
        <v>420</v>
      </c>
      <c r="F1463" t="s">
        <v>35</v>
      </c>
      <c r="G1463" t="s">
        <v>177</v>
      </c>
      <c r="H1463">
        <v>4</v>
      </c>
      <c r="I1463">
        <v>55.76</v>
      </c>
      <c r="J1463">
        <v>0.05</v>
      </c>
      <c r="K1463">
        <v>211.89</v>
      </c>
      <c r="M1463" t="str">
        <f t="shared" si="88"/>
        <v>Nov</v>
      </c>
      <c r="N1463">
        <f t="shared" si="89"/>
        <v>11</v>
      </c>
      <c r="O1463">
        <f t="shared" si="90"/>
        <v>211.88799999999998</v>
      </c>
      <c r="P1463" t="str">
        <f t="shared" si="91"/>
        <v>OK</v>
      </c>
    </row>
    <row r="1464" spans="1:16" x14ac:dyDescent="0.35">
      <c r="A1464" t="s">
        <v>1856</v>
      </c>
      <c r="B1464" s="3">
        <v>45648</v>
      </c>
      <c r="C1464" t="s">
        <v>18</v>
      </c>
      <c r="D1464" t="s">
        <v>19</v>
      </c>
      <c r="E1464" t="s">
        <v>263</v>
      </c>
      <c r="F1464" t="s">
        <v>15</v>
      </c>
      <c r="G1464" t="s">
        <v>147</v>
      </c>
      <c r="H1464">
        <v>7</v>
      </c>
      <c r="I1464">
        <v>164.47</v>
      </c>
      <c r="J1464">
        <v>0.15</v>
      </c>
      <c r="K1464">
        <v>978.6</v>
      </c>
      <c r="M1464" t="str">
        <f t="shared" si="88"/>
        <v>Dec</v>
      </c>
      <c r="N1464">
        <f t="shared" si="89"/>
        <v>12</v>
      </c>
      <c r="O1464">
        <f t="shared" si="90"/>
        <v>978.59649999999999</v>
      </c>
      <c r="P1464" t="str">
        <f t="shared" si="91"/>
        <v>OK</v>
      </c>
    </row>
    <row r="1465" spans="1:16" x14ac:dyDescent="0.35">
      <c r="A1465" t="s">
        <v>1857</v>
      </c>
      <c r="B1465" s="3">
        <v>45379</v>
      </c>
      <c r="C1465" t="s">
        <v>65</v>
      </c>
      <c r="D1465" t="s">
        <v>25</v>
      </c>
      <c r="E1465" t="s">
        <v>14</v>
      </c>
      <c r="F1465" t="s">
        <v>21</v>
      </c>
      <c r="G1465" t="s">
        <v>194</v>
      </c>
      <c r="H1465">
        <v>12</v>
      </c>
      <c r="I1465">
        <v>70.17</v>
      </c>
      <c r="J1465">
        <v>0.05</v>
      </c>
      <c r="K1465">
        <v>799.94</v>
      </c>
      <c r="M1465" t="str">
        <f t="shared" si="88"/>
        <v>Mar</v>
      </c>
      <c r="N1465">
        <f t="shared" si="89"/>
        <v>3</v>
      </c>
      <c r="O1465">
        <f t="shared" si="90"/>
        <v>799.93799999999987</v>
      </c>
      <c r="P1465" t="str">
        <f t="shared" si="91"/>
        <v>OK</v>
      </c>
    </row>
    <row r="1466" spans="1:16" x14ac:dyDescent="0.35">
      <c r="A1466" t="s">
        <v>1858</v>
      </c>
      <c r="B1466" s="3">
        <v>45646</v>
      </c>
      <c r="C1466" t="s">
        <v>18</v>
      </c>
      <c r="D1466" t="s">
        <v>2216</v>
      </c>
      <c r="E1466" t="s">
        <v>720</v>
      </c>
      <c r="F1466" t="s">
        <v>21</v>
      </c>
      <c r="G1466" t="s">
        <v>129</v>
      </c>
      <c r="H1466">
        <v>7</v>
      </c>
      <c r="I1466">
        <v>118.02</v>
      </c>
      <c r="J1466">
        <v>0</v>
      </c>
      <c r="K1466">
        <v>826.14</v>
      </c>
      <c r="M1466" t="str">
        <f t="shared" si="88"/>
        <v>Dec</v>
      </c>
      <c r="N1466">
        <f t="shared" si="89"/>
        <v>12</v>
      </c>
      <c r="O1466">
        <f t="shared" si="90"/>
        <v>826.14</v>
      </c>
      <c r="P1466" t="str">
        <f t="shared" si="91"/>
        <v>OK</v>
      </c>
    </row>
    <row r="1467" spans="1:16" x14ac:dyDescent="0.35">
      <c r="A1467" t="s">
        <v>1859</v>
      </c>
      <c r="B1467" s="3">
        <v>45440</v>
      </c>
      <c r="C1467" t="s">
        <v>24</v>
      </c>
      <c r="D1467" t="s">
        <v>57</v>
      </c>
      <c r="E1467" t="s">
        <v>82</v>
      </c>
      <c r="F1467" t="s">
        <v>44</v>
      </c>
      <c r="G1467" t="s">
        <v>86</v>
      </c>
      <c r="H1467">
        <v>1</v>
      </c>
      <c r="I1467">
        <v>228.41</v>
      </c>
      <c r="J1467">
        <v>0</v>
      </c>
      <c r="K1467">
        <v>228.41</v>
      </c>
      <c r="M1467" t="str">
        <f t="shared" si="88"/>
        <v>May</v>
      </c>
      <c r="N1467">
        <f t="shared" si="89"/>
        <v>5</v>
      </c>
      <c r="O1467">
        <f t="shared" si="90"/>
        <v>228.41</v>
      </c>
      <c r="P1467" t="str">
        <f t="shared" si="91"/>
        <v>OK</v>
      </c>
    </row>
    <row r="1468" spans="1:16" x14ac:dyDescent="0.35">
      <c r="A1468" t="s">
        <v>1860</v>
      </c>
      <c r="B1468" s="3">
        <v>45564</v>
      </c>
      <c r="C1468" t="s">
        <v>33</v>
      </c>
      <c r="D1468" t="s">
        <v>25</v>
      </c>
      <c r="E1468" t="s">
        <v>155</v>
      </c>
      <c r="F1468" t="s">
        <v>53</v>
      </c>
      <c r="G1468" t="s">
        <v>63</v>
      </c>
      <c r="H1468">
        <v>7</v>
      </c>
      <c r="I1468">
        <v>60.15</v>
      </c>
      <c r="J1468">
        <v>0.05</v>
      </c>
      <c r="K1468">
        <v>400</v>
      </c>
      <c r="M1468" t="str">
        <f t="shared" si="88"/>
        <v>Sep</v>
      </c>
      <c r="N1468">
        <f t="shared" si="89"/>
        <v>9</v>
      </c>
      <c r="O1468">
        <f t="shared" si="90"/>
        <v>399.9975</v>
      </c>
      <c r="P1468" t="str">
        <f t="shared" si="91"/>
        <v>OK</v>
      </c>
    </row>
    <row r="1469" spans="1:16" x14ac:dyDescent="0.35">
      <c r="A1469" t="s">
        <v>1861</v>
      </c>
      <c r="B1469" s="3">
        <v>45592</v>
      </c>
      <c r="C1469" t="s">
        <v>65</v>
      </c>
      <c r="D1469" t="s">
        <v>13</v>
      </c>
      <c r="E1469" t="s">
        <v>390</v>
      </c>
      <c r="F1469" t="s">
        <v>21</v>
      </c>
      <c r="G1469" t="s">
        <v>22</v>
      </c>
      <c r="H1469">
        <v>9</v>
      </c>
      <c r="I1469">
        <v>194.72</v>
      </c>
      <c r="J1469">
        <v>0</v>
      </c>
      <c r="K1469">
        <v>1752.48</v>
      </c>
      <c r="M1469" t="str">
        <f t="shared" si="88"/>
        <v>Oct</v>
      </c>
      <c r="N1469">
        <f t="shared" si="89"/>
        <v>10</v>
      </c>
      <c r="O1469">
        <f t="shared" si="90"/>
        <v>1752.48</v>
      </c>
      <c r="P1469" t="str">
        <f t="shared" si="91"/>
        <v>OK</v>
      </c>
    </row>
    <row r="1470" spans="1:16" x14ac:dyDescent="0.35">
      <c r="A1470" t="s">
        <v>1862</v>
      </c>
      <c r="B1470" s="3">
        <v>45487</v>
      </c>
      <c r="C1470" t="s">
        <v>18</v>
      </c>
      <c r="D1470" t="s">
        <v>13</v>
      </c>
      <c r="E1470" t="s">
        <v>835</v>
      </c>
      <c r="F1470" t="s">
        <v>53</v>
      </c>
      <c r="G1470" t="s">
        <v>59</v>
      </c>
      <c r="H1470">
        <v>11</v>
      </c>
      <c r="I1470">
        <v>162.19</v>
      </c>
      <c r="J1470">
        <v>0</v>
      </c>
      <c r="K1470">
        <v>1784.09</v>
      </c>
      <c r="M1470" t="str">
        <f t="shared" si="88"/>
        <v>Jul</v>
      </c>
      <c r="N1470">
        <f t="shared" si="89"/>
        <v>7</v>
      </c>
      <c r="O1470">
        <f t="shared" si="90"/>
        <v>1784.09</v>
      </c>
      <c r="P1470" t="str">
        <f t="shared" si="91"/>
        <v>OK</v>
      </c>
    </row>
    <row r="1471" spans="1:16" x14ac:dyDescent="0.35">
      <c r="A1471" t="s">
        <v>1863</v>
      </c>
      <c r="B1471" s="3">
        <v>45522</v>
      </c>
      <c r="C1471" t="s">
        <v>33</v>
      </c>
      <c r="D1471" t="s">
        <v>25</v>
      </c>
      <c r="E1471" t="s">
        <v>506</v>
      </c>
      <c r="F1471" t="s">
        <v>21</v>
      </c>
      <c r="G1471" t="s">
        <v>194</v>
      </c>
      <c r="H1471">
        <v>3</v>
      </c>
      <c r="I1471">
        <v>92.05</v>
      </c>
      <c r="J1471">
        <v>0.05</v>
      </c>
      <c r="K1471">
        <v>262.33999999999997</v>
      </c>
      <c r="M1471" t="str">
        <f t="shared" si="88"/>
        <v>Aug</v>
      </c>
      <c r="N1471">
        <f t="shared" si="89"/>
        <v>8</v>
      </c>
      <c r="O1471">
        <f t="shared" si="90"/>
        <v>262.34249999999997</v>
      </c>
      <c r="P1471" t="str">
        <f t="shared" si="91"/>
        <v>OK</v>
      </c>
    </row>
    <row r="1472" spans="1:16" x14ac:dyDescent="0.35">
      <c r="A1472" t="s">
        <v>1864</v>
      </c>
      <c r="B1472" s="3">
        <v>45652</v>
      </c>
      <c r="C1472" t="s">
        <v>65</v>
      </c>
      <c r="D1472" t="s">
        <v>25</v>
      </c>
      <c r="E1472" t="s">
        <v>638</v>
      </c>
      <c r="F1472" t="s">
        <v>53</v>
      </c>
      <c r="G1472" t="s">
        <v>63</v>
      </c>
      <c r="H1472">
        <v>4</v>
      </c>
      <c r="I1472">
        <v>102.17</v>
      </c>
      <c r="J1472">
        <v>0.1</v>
      </c>
      <c r="K1472">
        <v>367.81</v>
      </c>
      <c r="M1472" t="str">
        <f t="shared" si="88"/>
        <v>Dec</v>
      </c>
      <c r="N1472">
        <f t="shared" si="89"/>
        <v>12</v>
      </c>
      <c r="O1472">
        <f t="shared" si="90"/>
        <v>367.81200000000001</v>
      </c>
      <c r="P1472" t="str">
        <f t="shared" si="91"/>
        <v>OK</v>
      </c>
    </row>
    <row r="1473" spans="1:16" x14ac:dyDescent="0.35">
      <c r="A1473" t="s">
        <v>1865</v>
      </c>
      <c r="B1473" s="3">
        <v>45525</v>
      </c>
      <c r="C1473" t="s">
        <v>24</v>
      </c>
      <c r="D1473" t="s">
        <v>25</v>
      </c>
      <c r="E1473" t="s">
        <v>142</v>
      </c>
      <c r="F1473" t="s">
        <v>44</v>
      </c>
      <c r="G1473" t="s">
        <v>107</v>
      </c>
      <c r="H1473">
        <v>4</v>
      </c>
      <c r="I1473">
        <v>79.34</v>
      </c>
      <c r="J1473">
        <v>0</v>
      </c>
      <c r="K1473">
        <v>317.36</v>
      </c>
      <c r="M1473" t="str">
        <f t="shared" si="88"/>
        <v>Aug</v>
      </c>
      <c r="N1473">
        <f t="shared" si="89"/>
        <v>8</v>
      </c>
      <c r="O1473">
        <f t="shared" si="90"/>
        <v>317.36</v>
      </c>
      <c r="P1473" t="str">
        <f t="shared" si="91"/>
        <v>OK</v>
      </c>
    </row>
    <row r="1474" spans="1:16" x14ac:dyDescent="0.35">
      <c r="A1474" t="s">
        <v>1866</v>
      </c>
      <c r="B1474" s="3">
        <v>45569</v>
      </c>
      <c r="C1474" t="s">
        <v>18</v>
      </c>
      <c r="D1474" t="s">
        <v>25</v>
      </c>
      <c r="E1474" t="s">
        <v>2217</v>
      </c>
      <c r="F1474" t="s">
        <v>44</v>
      </c>
      <c r="G1474" t="s">
        <v>86</v>
      </c>
      <c r="H1474">
        <v>3</v>
      </c>
      <c r="I1474">
        <v>58.73</v>
      </c>
      <c r="J1474">
        <v>0</v>
      </c>
      <c r="K1474">
        <v>176.19</v>
      </c>
      <c r="M1474" t="str">
        <f t="shared" si="88"/>
        <v>Oct</v>
      </c>
      <c r="N1474">
        <f t="shared" si="89"/>
        <v>10</v>
      </c>
      <c r="O1474">
        <f t="shared" si="90"/>
        <v>176.19</v>
      </c>
      <c r="P1474" t="str">
        <f t="shared" si="91"/>
        <v>OK</v>
      </c>
    </row>
    <row r="1475" spans="1:16" x14ac:dyDescent="0.35">
      <c r="A1475" t="s">
        <v>1867</v>
      </c>
      <c r="B1475" s="3">
        <v>45323</v>
      </c>
      <c r="C1475" t="s">
        <v>33</v>
      </c>
      <c r="D1475" t="s">
        <v>19</v>
      </c>
      <c r="E1475" t="s">
        <v>34</v>
      </c>
      <c r="F1475" t="s">
        <v>44</v>
      </c>
      <c r="G1475" t="s">
        <v>107</v>
      </c>
      <c r="H1475">
        <v>1</v>
      </c>
      <c r="I1475">
        <v>248.51</v>
      </c>
      <c r="J1475">
        <v>0</v>
      </c>
      <c r="K1475">
        <v>248.51</v>
      </c>
      <c r="M1475" t="str">
        <f t="shared" ref="M1475:M1538" si="92">TEXT(B1475,"mmm")</f>
        <v>Feb</v>
      </c>
      <c r="N1475">
        <f t="shared" ref="N1475:N1538" si="93">MONTH(B1475)</f>
        <v>2</v>
      </c>
      <c r="O1475">
        <f t="shared" ref="O1475:O1538" si="94">H1475*I1475*(1-J1475)</f>
        <v>248.51</v>
      </c>
      <c r="P1475" t="str">
        <f t="shared" ref="P1475:P1538" si="95">IF(ROUND(K1475,2)=ROUND(O1475,2),"OK","MISMATCH")</f>
        <v>OK</v>
      </c>
    </row>
    <row r="1476" spans="1:16" x14ac:dyDescent="0.35">
      <c r="A1476" t="s">
        <v>1868</v>
      </c>
      <c r="B1476" s="3">
        <v>45421</v>
      </c>
      <c r="C1476" t="s">
        <v>24</v>
      </c>
      <c r="D1476" t="s">
        <v>57</v>
      </c>
      <c r="E1476" t="s">
        <v>225</v>
      </c>
      <c r="F1476" t="s">
        <v>15</v>
      </c>
      <c r="G1476" t="s">
        <v>111</v>
      </c>
      <c r="H1476">
        <v>7</v>
      </c>
      <c r="I1476">
        <v>79.11</v>
      </c>
      <c r="J1476">
        <v>0.15</v>
      </c>
      <c r="K1476">
        <v>470.7</v>
      </c>
      <c r="M1476" t="str">
        <f t="shared" si="92"/>
        <v>May</v>
      </c>
      <c r="N1476">
        <f t="shared" si="93"/>
        <v>5</v>
      </c>
      <c r="O1476">
        <f t="shared" si="94"/>
        <v>470.7045</v>
      </c>
      <c r="P1476" t="str">
        <f t="shared" si="95"/>
        <v>OK</v>
      </c>
    </row>
    <row r="1477" spans="1:16" x14ac:dyDescent="0.35">
      <c r="A1477" t="s">
        <v>1869</v>
      </c>
      <c r="B1477" s="3">
        <v>45562</v>
      </c>
      <c r="C1477" t="s">
        <v>33</v>
      </c>
      <c r="D1477" t="s">
        <v>25</v>
      </c>
      <c r="E1477" t="s">
        <v>34</v>
      </c>
      <c r="F1477" t="s">
        <v>53</v>
      </c>
      <c r="G1477" t="s">
        <v>54</v>
      </c>
      <c r="H1477">
        <v>3</v>
      </c>
      <c r="I1477">
        <v>141.43</v>
      </c>
      <c r="J1477">
        <v>0.1</v>
      </c>
      <c r="K1477">
        <v>381.86</v>
      </c>
      <c r="M1477" t="str">
        <f t="shared" si="92"/>
        <v>Sep</v>
      </c>
      <c r="N1477">
        <f t="shared" si="93"/>
        <v>9</v>
      </c>
      <c r="O1477">
        <f t="shared" si="94"/>
        <v>381.86100000000005</v>
      </c>
      <c r="P1477" t="str">
        <f t="shared" si="95"/>
        <v>OK</v>
      </c>
    </row>
    <row r="1478" spans="1:16" x14ac:dyDescent="0.35">
      <c r="A1478" t="s">
        <v>1870</v>
      </c>
      <c r="B1478" s="3">
        <v>45595</v>
      </c>
      <c r="C1478" t="s">
        <v>33</v>
      </c>
      <c r="D1478" t="s">
        <v>13</v>
      </c>
      <c r="E1478" t="s">
        <v>139</v>
      </c>
      <c r="F1478" t="s">
        <v>21</v>
      </c>
      <c r="G1478" t="s">
        <v>129</v>
      </c>
      <c r="H1478">
        <v>2</v>
      </c>
      <c r="I1478">
        <v>62.9</v>
      </c>
      <c r="J1478">
        <v>0.05</v>
      </c>
      <c r="K1478">
        <v>119.51</v>
      </c>
      <c r="M1478" t="str">
        <f t="shared" si="92"/>
        <v>Oct</v>
      </c>
      <c r="N1478">
        <f t="shared" si="93"/>
        <v>10</v>
      </c>
      <c r="O1478">
        <f t="shared" si="94"/>
        <v>119.50999999999999</v>
      </c>
      <c r="P1478" t="str">
        <f t="shared" si="95"/>
        <v>OK</v>
      </c>
    </row>
    <row r="1479" spans="1:16" x14ac:dyDescent="0.35">
      <c r="A1479" t="s">
        <v>1871</v>
      </c>
      <c r="B1479" s="3">
        <v>45425</v>
      </c>
      <c r="C1479" t="s">
        <v>41</v>
      </c>
      <c r="D1479" t="s">
        <v>13</v>
      </c>
      <c r="E1479" t="s">
        <v>122</v>
      </c>
      <c r="F1479" t="s">
        <v>35</v>
      </c>
      <c r="G1479" t="s">
        <v>134</v>
      </c>
      <c r="H1479">
        <v>6</v>
      </c>
      <c r="I1479">
        <v>54.15</v>
      </c>
      <c r="J1479">
        <v>0.15</v>
      </c>
      <c r="K1479">
        <v>276.16000000000003</v>
      </c>
      <c r="M1479" t="str">
        <f t="shared" si="92"/>
        <v>May</v>
      </c>
      <c r="N1479">
        <f t="shared" si="93"/>
        <v>5</v>
      </c>
      <c r="O1479">
        <f t="shared" si="94"/>
        <v>276.16499999999996</v>
      </c>
      <c r="P1479" t="str">
        <f t="shared" si="95"/>
        <v>MISMATCH</v>
      </c>
    </row>
    <row r="1480" spans="1:16" x14ac:dyDescent="0.35">
      <c r="A1480" t="s">
        <v>1872</v>
      </c>
      <c r="B1480" s="3">
        <v>45294</v>
      </c>
      <c r="C1480" t="s">
        <v>18</v>
      </c>
      <c r="D1480" t="s">
        <v>42</v>
      </c>
      <c r="E1480" t="s">
        <v>1155</v>
      </c>
      <c r="F1480" t="s">
        <v>35</v>
      </c>
      <c r="G1480" t="s">
        <v>177</v>
      </c>
      <c r="H1480">
        <v>12</v>
      </c>
      <c r="I1480">
        <v>135.78</v>
      </c>
      <c r="J1480">
        <v>0</v>
      </c>
      <c r="K1480">
        <v>1629.36</v>
      </c>
      <c r="M1480" t="str">
        <f t="shared" si="92"/>
        <v>Jan</v>
      </c>
      <c r="N1480">
        <f t="shared" si="93"/>
        <v>1</v>
      </c>
      <c r="O1480">
        <f t="shared" si="94"/>
        <v>1629.3600000000001</v>
      </c>
      <c r="P1480" t="str">
        <f t="shared" si="95"/>
        <v>OK</v>
      </c>
    </row>
    <row r="1481" spans="1:16" x14ac:dyDescent="0.35">
      <c r="A1481" t="s">
        <v>1873</v>
      </c>
      <c r="B1481" s="3">
        <v>45472</v>
      </c>
      <c r="C1481" t="s">
        <v>24</v>
      </c>
      <c r="D1481" t="s">
        <v>42</v>
      </c>
      <c r="E1481" t="s">
        <v>693</v>
      </c>
      <c r="F1481" t="s">
        <v>44</v>
      </c>
      <c r="G1481" t="s">
        <v>50</v>
      </c>
      <c r="H1481">
        <v>1</v>
      </c>
      <c r="I1481">
        <v>75.86</v>
      </c>
      <c r="J1481">
        <v>0.15</v>
      </c>
      <c r="K1481">
        <v>64.48</v>
      </c>
      <c r="M1481" t="str">
        <f t="shared" si="92"/>
        <v>Jun</v>
      </c>
      <c r="N1481">
        <f t="shared" si="93"/>
        <v>6</v>
      </c>
      <c r="O1481">
        <f t="shared" si="94"/>
        <v>64.480999999999995</v>
      </c>
      <c r="P1481" t="str">
        <f t="shared" si="95"/>
        <v>OK</v>
      </c>
    </row>
    <row r="1482" spans="1:16" x14ac:dyDescent="0.35">
      <c r="A1482" t="s">
        <v>1874</v>
      </c>
      <c r="B1482" s="3">
        <v>45473</v>
      </c>
      <c r="C1482" t="s">
        <v>24</v>
      </c>
      <c r="D1482" t="s">
        <v>57</v>
      </c>
      <c r="E1482" t="s">
        <v>448</v>
      </c>
      <c r="F1482" t="s">
        <v>53</v>
      </c>
      <c r="G1482" t="s">
        <v>54</v>
      </c>
      <c r="H1482">
        <v>2</v>
      </c>
      <c r="I1482">
        <v>236.7</v>
      </c>
      <c r="J1482">
        <v>0.05</v>
      </c>
      <c r="K1482">
        <v>449.73</v>
      </c>
      <c r="M1482" t="str">
        <f t="shared" si="92"/>
        <v>Jun</v>
      </c>
      <c r="N1482">
        <f t="shared" si="93"/>
        <v>6</v>
      </c>
      <c r="O1482">
        <f t="shared" si="94"/>
        <v>449.72999999999996</v>
      </c>
      <c r="P1482" t="str">
        <f t="shared" si="95"/>
        <v>OK</v>
      </c>
    </row>
    <row r="1483" spans="1:16" x14ac:dyDescent="0.35">
      <c r="A1483" t="s">
        <v>1875</v>
      </c>
      <c r="B1483" s="3">
        <v>45628</v>
      </c>
      <c r="C1483" t="s">
        <v>41</v>
      </c>
      <c r="D1483" t="s">
        <v>13</v>
      </c>
      <c r="E1483" t="s">
        <v>833</v>
      </c>
      <c r="F1483" t="s">
        <v>21</v>
      </c>
      <c r="G1483" t="s">
        <v>167</v>
      </c>
      <c r="H1483">
        <v>8</v>
      </c>
      <c r="I1483">
        <v>70.56</v>
      </c>
      <c r="J1483">
        <v>0</v>
      </c>
      <c r="K1483">
        <v>564.48</v>
      </c>
      <c r="M1483" t="str">
        <f t="shared" si="92"/>
        <v>Dec</v>
      </c>
      <c r="N1483">
        <f t="shared" si="93"/>
        <v>12</v>
      </c>
      <c r="O1483">
        <f t="shared" si="94"/>
        <v>564.48</v>
      </c>
      <c r="P1483" t="str">
        <f t="shared" si="95"/>
        <v>OK</v>
      </c>
    </row>
    <row r="1484" spans="1:16" x14ac:dyDescent="0.35">
      <c r="A1484" t="s">
        <v>1876</v>
      </c>
      <c r="B1484" s="3">
        <v>45575</v>
      </c>
      <c r="C1484" t="s">
        <v>41</v>
      </c>
      <c r="D1484" t="s">
        <v>42</v>
      </c>
      <c r="E1484" t="s">
        <v>716</v>
      </c>
      <c r="F1484" t="s">
        <v>21</v>
      </c>
      <c r="G1484" t="s">
        <v>22</v>
      </c>
      <c r="H1484">
        <v>9</v>
      </c>
      <c r="I1484">
        <v>241.74</v>
      </c>
      <c r="J1484">
        <v>0</v>
      </c>
      <c r="K1484">
        <v>2175.66</v>
      </c>
      <c r="M1484" t="str">
        <f t="shared" si="92"/>
        <v>Oct</v>
      </c>
      <c r="N1484">
        <f t="shared" si="93"/>
        <v>10</v>
      </c>
      <c r="O1484">
        <f t="shared" si="94"/>
        <v>2175.66</v>
      </c>
      <c r="P1484" t="str">
        <f t="shared" si="95"/>
        <v>OK</v>
      </c>
    </row>
    <row r="1485" spans="1:16" x14ac:dyDescent="0.35">
      <c r="A1485" t="s">
        <v>1877</v>
      </c>
      <c r="B1485" s="3">
        <v>45380</v>
      </c>
      <c r="C1485" t="s">
        <v>41</v>
      </c>
      <c r="D1485" t="s">
        <v>42</v>
      </c>
      <c r="E1485" t="s">
        <v>62</v>
      </c>
      <c r="F1485" t="s">
        <v>35</v>
      </c>
      <c r="G1485" t="s">
        <v>177</v>
      </c>
      <c r="H1485">
        <v>3</v>
      </c>
      <c r="I1485">
        <v>57.61</v>
      </c>
      <c r="J1485">
        <v>0</v>
      </c>
      <c r="K1485">
        <v>172.83</v>
      </c>
      <c r="M1485" t="str">
        <f t="shared" si="92"/>
        <v>Mar</v>
      </c>
      <c r="N1485">
        <f t="shared" si="93"/>
        <v>3</v>
      </c>
      <c r="O1485">
        <f t="shared" si="94"/>
        <v>172.82999999999998</v>
      </c>
      <c r="P1485" t="str">
        <f t="shared" si="95"/>
        <v>OK</v>
      </c>
    </row>
    <row r="1486" spans="1:16" x14ac:dyDescent="0.35">
      <c r="A1486" t="s">
        <v>1878</v>
      </c>
      <c r="B1486" s="3">
        <v>45627</v>
      </c>
      <c r="C1486" t="s">
        <v>24</v>
      </c>
      <c r="D1486" t="s">
        <v>13</v>
      </c>
      <c r="E1486" t="s">
        <v>164</v>
      </c>
      <c r="F1486" t="s">
        <v>53</v>
      </c>
      <c r="G1486" t="s">
        <v>54</v>
      </c>
      <c r="H1486">
        <v>7</v>
      </c>
      <c r="I1486">
        <v>117.74</v>
      </c>
      <c r="J1486">
        <v>0.15</v>
      </c>
      <c r="K1486">
        <v>700.55</v>
      </c>
      <c r="M1486" t="str">
        <f t="shared" si="92"/>
        <v>Dec</v>
      </c>
      <c r="N1486">
        <f t="shared" si="93"/>
        <v>12</v>
      </c>
      <c r="O1486">
        <f t="shared" si="94"/>
        <v>700.55299999999988</v>
      </c>
      <c r="P1486" t="str">
        <f t="shared" si="95"/>
        <v>OK</v>
      </c>
    </row>
    <row r="1487" spans="1:16" x14ac:dyDescent="0.35">
      <c r="A1487" t="s">
        <v>1879</v>
      </c>
      <c r="B1487" s="3">
        <v>45522</v>
      </c>
      <c r="C1487" t="s">
        <v>18</v>
      </c>
      <c r="D1487" t="s">
        <v>19</v>
      </c>
      <c r="E1487" t="s">
        <v>437</v>
      </c>
      <c r="F1487" t="s">
        <v>21</v>
      </c>
      <c r="G1487" t="s">
        <v>194</v>
      </c>
      <c r="H1487">
        <v>12</v>
      </c>
      <c r="I1487">
        <v>204.87</v>
      </c>
      <c r="J1487">
        <v>0.15</v>
      </c>
      <c r="K1487">
        <v>2089.67</v>
      </c>
      <c r="M1487" t="str">
        <f t="shared" si="92"/>
        <v>Aug</v>
      </c>
      <c r="N1487">
        <f t="shared" si="93"/>
        <v>8</v>
      </c>
      <c r="O1487">
        <f t="shared" si="94"/>
        <v>2089.674</v>
      </c>
      <c r="P1487" t="str">
        <f t="shared" si="95"/>
        <v>OK</v>
      </c>
    </row>
    <row r="1488" spans="1:16" x14ac:dyDescent="0.35">
      <c r="A1488" t="s">
        <v>1881</v>
      </c>
      <c r="B1488" s="3">
        <v>45409</v>
      </c>
      <c r="C1488" t="s">
        <v>24</v>
      </c>
      <c r="D1488" t="s">
        <v>57</v>
      </c>
      <c r="E1488" t="s">
        <v>951</v>
      </c>
      <c r="F1488" t="s">
        <v>15</v>
      </c>
      <c r="G1488" t="s">
        <v>111</v>
      </c>
      <c r="H1488">
        <v>11</v>
      </c>
      <c r="I1488">
        <v>249.9</v>
      </c>
      <c r="J1488">
        <v>0</v>
      </c>
      <c r="K1488">
        <v>2748.9</v>
      </c>
      <c r="M1488" t="str">
        <f t="shared" si="92"/>
        <v>Apr</v>
      </c>
      <c r="N1488">
        <f t="shared" si="93"/>
        <v>4</v>
      </c>
      <c r="O1488">
        <f t="shared" si="94"/>
        <v>2748.9</v>
      </c>
      <c r="P1488" t="str">
        <f t="shared" si="95"/>
        <v>OK</v>
      </c>
    </row>
    <row r="1489" spans="1:16" x14ac:dyDescent="0.35">
      <c r="A1489" t="s">
        <v>1882</v>
      </c>
      <c r="B1489" s="3">
        <v>45304</v>
      </c>
      <c r="C1489" t="s">
        <v>33</v>
      </c>
      <c r="D1489" t="s">
        <v>57</v>
      </c>
      <c r="E1489" t="s">
        <v>88</v>
      </c>
      <c r="F1489" t="s">
        <v>44</v>
      </c>
      <c r="G1489" t="s">
        <v>107</v>
      </c>
      <c r="H1489">
        <v>3</v>
      </c>
      <c r="I1489">
        <v>233.11</v>
      </c>
      <c r="J1489">
        <v>0.05</v>
      </c>
      <c r="K1489">
        <v>664.36</v>
      </c>
      <c r="M1489" t="str">
        <f t="shared" si="92"/>
        <v>Jan</v>
      </c>
      <c r="N1489">
        <f t="shared" si="93"/>
        <v>1</v>
      </c>
      <c r="O1489">
        <f t="shared" si="94"/>
        <v>664.36350000000004</v>
      </c>
      <c r="P1489" t="str">
        <f t="shared" si="95"/>
        <v>OK</v>
      </c>
    </row>
    <row r="1490" spans="1:16" x14ac:dyDescent="0.35">
      <c r="A1490" t="s">
        <v>1883</v>
      </c>
      <c r="B1490" s="3">
        <v>45509</v>
      </c>
      <c r="C1490" t="s">
        <v>65</v>
      </c>
      <c r="D1490" t="s">
        <v>25</v>
      </c>
      <c r="E1490" t="s">
        <v>238</v>
      </c>
      <c r="F1490" t="s">
        <v>53</v>
      </c>
      <c r="G1490" t="s">
        <v>59</v>
      </c>
      <c r="H1490">
        <v>1</v>
      </c>
      <c r="I1490">
        <v>31.93</v>
      </c>
      <c r="J1490">
        <v>0</v>
      </c>
      <c r="K1490">
        <v>31.93</v>
      </c>
      <c r="M1490" t="str">
        <f t="shared" si="92"/>
        <v>Aug</v>
      </c>
      <c r="N1490">
        <f t="shared" si="93"/>
        <v>8</v>
      </c>
      <c r="O1490">
        <f t="shared" si="94"/>
        <v>31.93</v>
      </c>
      <c r="P1490" t="str">
        <f t="shared" si="95"/>
        <v>OK</v>
      </c>
    </row>
    <row r="1491" spans="1:16" x14ac:dyDescent="0.35">
      <c r="A1491" t="s">
        <v>1884</v>
      </c>
      <c r="B1491" s="3">
        <v>45302</v>
      </c>
      <c r="C1491" t="s">
        <v>33</v>
      </c>
      <c r="D1491" t="s">
        <v>19</v>
      </c>
      <c r="E1491" t="s">
        <v>506</v>
      </c>
      <c r="F1491" t="s">
        <v>35</v>
      </c>
      <c r="G1491" t="s">
        <v>83</v>
      </c>
      <c r="H1491">
        <v>6</v>
      </c>
      <c r="I1491">
        <v>149.06</v>
      </c>
      <c r="J1491">
        <v>0.05</v>
      </c>
      <c r="K1491">
        <v>849.64</v>
      </c>
      <c r="M1491" t="str">
        <f t="shared" si="92"/>
        <v>Jan</v>
      </c>
      <c r="N1491">
        <f t="shared" si="93"/>
        <v>1</v>
      </c>
      <c r="O1491">
        <f t="shared" si="94"/>
        <v>849.64199999999994</v>
      </c>
      <c r="P1491" t="str">
        <f t="shared" si="95"/>
        <v>OK</v>
      </c>
    </row>
    <row r="1492" spans="1:16" x14ac:dyDescent="0.35">
      <c r="A1492" t="s">
        <v>1885</v>
      </c>
      <c r="B1492" s="3">
        <v>45296</v>
      </c>
      <c r="C1492" t="s">
        <v>65</v>
      </c>
      <c r="D1492" t="s">
        <v>19</v>
      </c>
      <c r="E1492" t="s">
        <v>477</v>
      </c>
      <c r="F1492" t="s">
        <v>44</v>
      </c>
      <c r="G1492" t="s">
        <v>45</v>
      </c>
      <c r="H1492">
        <v>10</v>
      </c>
      <c r="I1492">
        <v>10.62</v>
      </c>
      <c r="J1492">
        <v>0</v>
      </c>
      <c r="K1492">
        <v>106.2</v>
      </c>
      <c r="M1492" t="str">
        <f t="shared" si="92"/>
        <v>Jan</v>
      </c>
      <c r="N1492">
        <f t="shared" si="93"/>
        <v>1</v>
      </c>
      <c r="O1492">
        <f t="shared" si="94"/>
        <v>106.19999999999999</v>
      </c>
      <c r="P1492" t="str">
        <f t="shared" si="95"/>
        <v>OK</v>
      </c>
    </row>
    <row r="1493" spans="1:16" x14ac:dyDescent="0.35">
      <c r="A1493" t="s">
        <v>1886</v>
      </c>
      <c r="B1493" s="3">
        <v>45648</v>
      </c>
      <c r="C1493" t="s">
        <v>65</v>
      </c>
      <c r="D1493" t="s">
        <v>19</v>
      </c>
      <c r="E1493" t="s">
        <v>771</v>
      </c>
      <c r="F1493" t="s">
        <v>53</v>
      </c>
      <c r="G1493" t="s">
        <v>63</v>
      </c>
      <c r="H1493">
        <v>3</v>
      </c>
      <c r="I1493">
        <v>58.66</v>
      </c>
      <c r="J1493">
        <v>0</v>
      </c>
      <c r="K1493">
        <v>175.98</v>
      </c>
      <c r="M1493" t="str">
        <f t="shared" si="92"/>
        <v>Dec</v>
      </c>
      <c r="N1493">
        <f t="shared" si="93"/>
        <v>12</v>
      </c>
      <c r="O1493">
        <f t="shared" si="94"/>
        <v>175.98</v>
      </c>
      <c r="P1493" t="str">
        <f t="shared" si="95"/>
        <v>OK</v>
      </c>
    </row>
    <row r="1494" spans="1:16" x14ac:dyDescent="0.35">
      <c r="A1494" t="s">
        <v>1888</v>
      </c>
      <c r="B1494" s="3">
        <v>45296</v>
      </c>
      <c r="C1494" t="s">
        <v>24</v>
      </c>
      <c r="D1494" t="s">
        <v>57</v>
      </c>
      <c r="E1494" t="s">
        <v>663</v>
      </c>
      <c r="F1494" t="s">
        <v>15</v>
      </c>
      <c r="G1494" t="s">
        <v>74</v>
      </c>
      <c r="H1494">
        <v>1</v>
      </c>
      <c r="I1494">
        <v>27.54</v>
      </c>
      <c r="J1494">
        <v>0</v>
      </c>
      <c r="K1494">
        <v>27.54</v>
      </c>
      <c r="M1494" t="str">
        <f t="shared" si="92"/>
        <v>Jan</v>
      </c>
      <c r="N1494">
        <f t="shared" si="93"/>
        <v>1</v>
      </c>
      <c r="O1494">
        <f t="shared" si="94"/>
        <v>27.54</v>
      </c>
      <c r="P1494" t="str">
        <f t="shared" si="95"/>
        <v>OK</v>
      </c>
    </row>
    <row r="1495" spans="1:16" x14ac:dyDescent="0.35">
      <c r="A1495" t="s">
        <v>1890</v>
      </c>
      <c r="B1495" s="3">
        <v>45529</v>
      </c>
      <c r="C1495" t="s">
        <v>18</v>
      </c>
      <c r="D1495" t="s">
        <v>57</v>
      </c>
      <c r="E1495" t="s">
        <v>166</v>
      </c>
      <c r="F1495" t="s">
        <v>15</v>
      </c>
      <c r="G1495" t="s">
        <v>147</v>
      </c>
      <c r="H1495">
        <v>3</v>
      </c>
      <c r="I1495">
        <v>204.31</v>
      </c>
      <c r="J1495">
        <v>0</v>
      </c>
      <c r="K1495">
        <v>612.92999999999995</v>
      </c>
      <c r="M1495" t="str">
        <f t="shared" si="92"/>
        <v>Aug</v>
      </c>
      <c r="N1495">
        <f t="shared" si="93"/>
        <v>8</v>
      </c>
      <c r="O1495">
        <f t="shared" si="94"/>
        <v>612.93000000000006</v>
      </c>
      <c r="P1495" t="str">
        <f t="shared" si="95"/>
        <v>OK</v>
      </c>
    </row>
    <row r="1496" spans="1:16" x14ac:dyDescent="0.35">
      <c r="A1496" t="s">
        <v>1891</v>
      </c>
      <c r="B1496" s="3">
        <v>45539</v>
      </c>
      <c r="C1496" t="s">
        <v>24</v>
      </c>
      <c r="D1496" t="s">
        <v>42</v>
      </c>
      <c r="E1496" t="s">
        <v>334</v>
      </c>
      <c r="F1496" t="s">
        <v>15</v>
      </c>
      <c r="G1496" t="s">
        <v>16</v>
      </c>
      <c r="H1496">
        <v>10</v>
      </c>
      <c r="I1496">
        <v>63.12</v>
      </c>
      <c r="J1496">
        <v>0</v>
      </c>
      <c r="K1496">
        <v>631.20000000000005</v>
      </c>
      <c r="M1496" t="str">
        <f t="shared" si="92"/>
        <v>Sep</v>
      </c>
      <c r="N1496">
        <f t="shared" si="93"/>
        <v>9</v>
      </c>
      <c r="O1496">
        <f t="shared" si="94"/>
        <v>631.19999999999993</v>
      </c>
      <c r="P1496" t="str">
        <f t="shared" si="95"/>
        <v>OK</v>
      </c>
    </row>
    <row r="1497" spans="1:16" x14ac:dyDescent="0.35">
      <c r="A1497" t="s">
        <v>1892</v>
      </c>
      <c r="B1497" s="3">
        <v>45632</v>
      </c>
      <c r="C1497" t="s">
        <v>65</v>
      </c>
      <c r="D1497" t="s">
        <v>42</v>
      </c>
      <c r="E1497" t="s">
        <v>263</v>
      </c>
      <c r="F1497" t="s">
        <v>53</v>
      </c>
      <c r="G1497" t="s">
        <v>125</v>
      </c>
      <c r="H1497">
        <v>9</v>
      </c>
      <c r="I1497">
        <v>85.14</v>
      </c>
      <c r="J1497">
        <v>0</v>
      </c>
      <c r="K1497">
        <v>766.26</v>
      </c>
      <c r="M1497" t="str">
        <f t="shared" si="92"/>
        <v>Dec</v>
      </c>
      <c r="N1497">
        <f t="shared" si="93"/>
        <v>12</v>
      </c>
      <c r="O1497">
        <f t="shared" si="94"/>
        <v>766.26</v>
      </c>
      <c r="P1497" t="str">
        <f t="shared" si="95"/>
        <v>OK</v>
      </c>
    </row>
    <row r="1498" spans="1:16" x14ac:dyDescent="0.35">
      <c r="A1498" t="s">
        <v>1893</v>
      </c>
      <c r="B1498" s="3">
        <v>45535</v>
      </c>
      <c r="C1498" t="s">
        <v>65</v>
      </c>
      <c r="D1498" t="s">
        <v>42</v>
      </c>
      <c r="E1498" t="s">
        <v>77</v>
      </c>
      <c r="F1498" t="s">
        <v>21</v>
      </c>
      <c r="G1498" t="s">
        <v>22</v>
      </c>
      <c r="H1498">
        <v>7</v>
      </c>
      <c r="I1498">
        <v>63.35</v>
      </c>
      <c r="J1498">
        <v>0.05</v>
      </c>
      <c r="K1498">
        <v>421.28</v>
      </c>
      <c r="M1498" t="str">
        <f t="shared" si="92"/>
        <v>Aug</v>
      </c>
      <c r="N1498">
        <f t="shared" si="93"/>
        <v>8</v>
      </c>
      <c r="O1498">
        <f t="shared" si="94"/>
        <v>421.27749999999997</v>
      </c>
      <c r="P1498" t="str">
        <f t="shared" si="95"/>
        <v>OK</v>
      </c>
    </row>
    <row r="1499" spans="1:16" x14ac:dyDescent="0.35">
      <c r="A1499" t="s">
        <v>1894</v>
      </c>
      <c r="B1499" s="3">
        <v>45364</v>
      </c>
      <c r="C1499" t="s">
        <v>18</v>
      </c>
      <c r="D1499" t="s">
        <v>42</v>
      </c>
      <c r="E1499" t="s">
        <v>865</v>
      </c>
      <c r="F1499" t="s">
        <v>44</v>
      </c>
      <c r="G1499" t="s">
        <v>94</v>
      </c>
      <c r="H1499">
        <v>1</v>
      </c>
      <c r="I1499">
        <v>228.48</v>
      </c>
      <c r="J1499">
        <v>0</v>
      </c>
      <c r="K1499">
        <v>228.48</v>
      </c>
      <c r="M1499" t="str">
        <f t="shared" si="92"/>
        <v>Mar</v>
      </c>
      <c r="N1499">
        <f t="shared" si="93"/>
        <v>3</v>
      </c>
      <c r="O1499">
        <f t="shared" si="94"/>
        <v>228.48</v>
      </c>
      <c r="P1499" t="str">
        <f t="shared" si="95"/>
        <v>OK</v>
      </c>
    </row>
    <row r="1500" spans="1:16" x14ac:dyDescent="0.35">
      <c r="A1500" t="s">
        <v>1895</v>
      </c>
      <c r="B1500" s="3">
        <v>45459</v>
      </c>
      <c r="C1500" t="s">
        <v>65</v>
      </c>
      <c r="D1500" t="s">
        <v>19</v>
      </c>
      <c r="E1500" t="s">
        <v>720</v>
      </c>
      <c r="F1500" t="s">
        <v>15</v>
      </c>
      <c r="G1500" t="s">
        <v>16</v>
      </c>
      <c r="H1500">
        <v>3</v>
      </c>
      <c r="I1500">
        <v>179.39</v>
      </c>
      <c r="J1500">
        <v>0.1</v>
      </c>
      <c r="K1500">
        <v>484.35</v>
      </c>
      <c r="M1500" t="str">
        <f t="shared" si="92"/>
        <v>Jun</v>
      </c>
      <c r="N1500">
        <f t="shared" si="93"/>
        <v>6</v>
      </c>
      <c r="O1500">
        <f t="shared" si="94"/>
        <v>484.35299999999995</v>
      </c>
      <c r="P1500" t="str">
        <f t="shared" si="95"/>
        <v>OK</v>
      </c>
    </row>
    <row r="1501" spans="1:16" x14ac:dyDescent="0.35">
      <c r="A1501" t="s">
        <v>1897</v>
      </c>
      <c r="B1501" s="3">
        <v>45424</v>
      </c>
      <c r="C1501" t="s">
        <v>33</v>
      </c>
      <c r="D1501" t="s">
        <v>57</v>
      </c>
      <c r="E1501" t="s">
        <v>825</v>
      </c>
      <c r="F1501" t="s">
        <v>15</v>
      </c>
      <c r="G1501" t="s">
        <v>74</v>
      </c>
      <c r="H1501">
        <v>10</v>
      </c>
      <c r="I1501">
        <v>162.22</v>
      </c>
      <c r="J1501">
        <v>0</v>
      </c>
      <c r="K1501">
        <v>1622.2</v>
      </c>
      <c r="M1501" t="str">
        <f t="shared" si="92"/>
        <v>May</v>
      </c>
      <c r="N1501">
        <f t="shared" si="93"/>
        <v>5</v>
      </c>
      <c r="O1501">
        <f t="shared" si="94"/>
        <v>1622.2</v>
      </c>
      <c r="P1501" t="str">
        <f t="shared" si="95"/>
        <v>OK</v>
      </c>
    </row>
    <row r="1502" spans="1:16" x14ac:dyDescent="0.35">
      <c r="A1502" t="s">
        <v>1898</v>
      </c>
      <c r="B1502" s="3">
        <v>45616</v>
      </c>
      <c r="C1502" t="s">
        <v>33</v>
      </c>
      <c r="D1502" t="s">
        <v>13</v>
      </c>
      <c r="E1502" t="s">
        <v>1155</v>
      </c>
      <c r="F1502" t="s">
        <v>15</v>
      </c>
      <c r="G1502" t="s">
        <v>27</v>
      </c>
      <c r="H1502">
        <v>11</v>
      </c>
      <c r="I1502">
        <v>64.3</v>
      </c>
      <c r="J1502">
        <v>0</v>
      </c>
      <c r="K1502">
        <v>707.3</v>
      </c>
      <c r="M1502" t="str">
        <f t="shared" si="92"/>
        <v>Nov</v>
      </c>
      <c r="N1502">
        <f t="shared" si="93"/>
        <v>11</v>
      </c>
      <c r="O1502">
        <f t="shared" si="94"/>
        <v>707.3</v>
      </c>
      <c r="P1502" t="str">
        <f t="shared" si="95"/>
        <v>OK</v>
      </c>
    </row>
    <row r="1503" spans="1:16" x14ac:dyDescent="0.35">
      <c r="A1503" t="s">
        <v>1899</v>
      </c>
      <c r="B1503" s="3">
        <v>45578</v>
      </c>
      <c r="C1503" t="s">
        <v>24</v>
      </c>
      <c r="D1503" t="s">
        <v>25</v>
      </c>
      <c r="E1503" t="s">
        <v>448</v>
      </c>
      <c r="F1503" t="s">
        <v>15</v>
      </c>
      <c r="G1503" t="s">
        <v>74</v>
      </c>
      <c r="H1503">
        <v>12</v>
      </c>
      <c r="I1503">
        <v>104.92</v>
      </c>
      <c r="J1503">
        <v>0</v>
      </c>
      <c r="K1503">
        <v>1259.04</v>
      </c>
      <c r="M1503" t="str">
        <f t="shared" si="92"/>
        <v>Oct</v>
      </c>
      <c r="N1503">
        <f t="shared" si="93"/>
        <v>10</v>
      </c>
      <c r="O1503">
        <f t="shared" si="94"/>
        <v>1259.04</v>
      </c>
      <c r="P1503" t="str">
        <f t="shared" si="95"/>
        <v>OK</v>
      </c>
    </row>
    <row r="1504" spans="1:16" x14ac:dyDescent="0.35">
      <c r="A1504" t="s">
        <v>1900</v>
      </c>
      <c r="B1504" s="3">
        <v>45499</v>
      </c>
      <c r="C1504" t="s">
        <v>41</v>
      </c>
      <c r="D1504" t="s">
        <v>19</v>
      </c>
      <c r="E1504" t="s">
        <v>139</v>
      </c>
      <c r="F1504" t="s">
        <v>21</v>
      </c>
      <c r="G1504" t="s">
        <v>167</v>
      </c>
      <c r="H1504">
        <v>12</v>
      </c>
      <c r="I1504">
        <v>78.09</v>
      </c>
      <c r="J1504">
        <v>0.05</v>
      </c>
      <c r="K1504">
        <v>890.23</v>
      </c>
      <c r="M1504" t="str">
        <f t="shared" si="92"/>
        <v>Jul</v>
      </c>
      <c r="N1504">
        <f t="shared" si="93"/>
        <v>7</v>
      </c>
      <c r="O1504">
        <f t="shared" si="94"/>
        <v>890.226</v>
      </c>
      <c r="P1504" t="str">
        <f t="shared" si="95"/>
        <v>OK</v>
      </c>
    </row>
    <row r="1505" spans="1:16" x14ac:dyDescent="0.35">
      <c r="A1505" t="s">
        <v>1901</v>
      </c>
      <c r="B1505" s="3">
        <v>45470</v>
      </c>
      <c r="C1505" t="s">
        <v>18</v>
      </c>
      <c r="D1505" t="s">
        <v>57</v>
      </c>
      <c r="E1505" t="s">
        <v>219</v>
      </c>
      <c r="F1505" t="s">
        <v>44</v>
      </c>
      <c r="G1505" t="s">
        <v>86</v>
      </c>
      <c r="H1505">
        <v>3</v>
      </c>
      <c r="I1505">
        <v>149.58000000000001</v>
      </c>
      <c r="J1505">
        <v>0</v>
      </c>
      <c r="K1505">
        <v>448.74</v>
      </c>
      <c r="M1505" t="str">
        <f t="shared" si="92"/>
        <v>Jun</v>
      </c>
      <c r="N1505">
        <f t="shared" si="93"/>
        <v>6</v>
      </c>
      <c r="O1505">
        <f t="shared" si="94"/>
        <v>448.74</v>
      </c>
      <c r="P1505" t="str">
        <f t="shared" si="95"/>
        <v>OK</v>
      </c>
    </row>
    <row r="1506" spans="1:16" x14ac:dyDescent="0.35">
      <c r="A1506" t="s">
        <v>1903</v>
      </c>
      <c r="B1506" s="3">
        <v>45530</v>
      </c>
      <c r="C1506" t="s">
        <v>41</v>
      </c>
      <c r="D1506" t="s">
        <v>25</v>
      </c>
      <c r="E1506" t="s">
        <v>472</v>
      </c>
      <c r="F1506" t="s">
        <v>53</v>
      </c>
      <c r="G1506" t="s">
        <v>59</v>
      </c>
      <c r="H1506">
        <v>12</v>
      </c>
      <c r="I1506">
        <v>26.03</v>
      </c>
      <c r="J1506">
        <v>0</v>
      </c>
      <c r="K1506">
        <v>312.36</v>
      </c>
      <c r="M1506" t="str">
        <f t="shared" si="92"/>
        <v>Aug</v>
      </c>
      <c r="N1506">
        <f t="shared" si="93"/>
        <v>8</v>
      </c>
      <c r="O1506">
        <f t="shared" si="94"/>
        <v>312.36</v>
      </c>
      <c r="P1506" t="str">
        <f t="shared" si="95"/>
        <v>OK</v>
      </c>
    </row>
    <row r="1507" spans="1:16" x14ac:dyDescent="0.35">
      <c r="A1507" t="s">
        <v>1904</v>
      </c>
      <c r="B1507" s="3">
        <v>45610</v>
      </c>
      <c r="C1507" t="s">
        <v>41</v>
      </c>
      <c r="D1507" t="s">
        <v>13</v>
      </c>
      <c r="E1507" t="s">
        <v>317</v>
      </c>
      <c r="F1507" t="s">
        <v>35</v>
      </c>
      <c r="G1507" t="s">
        <v>177</v>
      </c>
      <c r="H1507">
        <v>5</v>
      </c>
      <c r="I1507">
        <v>246.06</v>
      </c>
      <c r="J1507">
        <v>0</v>
      </c>
      <c r="K1507">
        <v>1230.3</v>
      </c>
      <c r="M1507" t="str">
        <f t="shared" si="92"/>
        <v>Nov</v>
      </c>
      <c r="N1507">
        <f t="shared" si="93"/>
        <v>11</v>
      </c>
      <c r="O1507">
        <f t="shared" si="94"/>
        <v>1230.3</v>
      </c>
      <c r="P1507" t="str">
        <f t="shared" si="95"/>
        <v>OK</v>
      </c>
    </row>
    <row r="1508" spans="1:16" x14ac:dyDescent="0.35">
      <c r="A1508" t="s">
        <v>1906</v>
      </c>
      <c r="B1508" s="3">
        <v>45460</v>
      </c>
      <c r="C1508" t="s">
        <v>24</v>
      </c>
      <c r="D1508" t="s">
        <v>57</v>
      </c>
      <c r="E1508" t="s">
        <v>150</v>
      </c>
      <c r="F1508" t="s">
        <v>21</v>
      </c>
      <c r="G1508" t="s">
        <v>22</v>
      </c>
      <c r="H1508">
        <v>9</v>
      </c>
      <c r="I1508">
        <v>71.510000000000005</v>
      </c>
      <c r="J1508">
        <v>0.15</v>
      </c>
      <c r="K1508">
        <v>547.04999999999995</v>
      </c>
      <c r="M1508" t="str">
        <f t="shared" si="92"/>
        <v>Jun</v>
      </c>
      <c r="N1508">
        <f t="shared" si="93"/>
        <v>6</v>
      </c>
      <c r="O1508">
        <f t="shared" si="94"/>
        <v>547.05150000000003</v>
      </c>
      <c r="P1508" t="str">
        <f t="shared" si="95"/>
        <v>OK</v>
      </c>
    </row>
    <row r="1509" spans="1:16" x14ac:dyDescent="0.35">
      <c r="A1509" t="s">
        <v>1907</v>
      </c>
      <c r="B1509" s="3">
        <v>45569</v>
      </c>
      <c r="C1509" t="s">
        <v>24</v>
      </c>
      <c r="D1509" t="s">
        <v>13</v>
      </c>
      <c r="E1509" t="s">
        <v>562</v>
      </c>
      <c r="F1509" t="s">
        <v>21</v>
      </c>
      <c r="G1509" t="s">
        <v>129</v>
      </c>
      <c r="H1509">
        <v>5</v>
      </c>
      <c r="I1509">
        <v>53.42</v>
      </c>
      <c r="J1509">
        <v>0.05</v>
      </c>
      <c r="K1509">
        <v>253.75</v>
      </c>
      <c r="M1509" t="str">
        <f t="shared" si="92"/>
        <v>Oct</v>
      </c>
      <c r="N1509">
        <f t="shared" si="93"/>
        <v>10</v>
      </c>
      <c r="O1509">
        <f t="shared" si="94"/>
        <v>253.745</v>
      </c>
      <c r="P1509" t="str">
        <f t="shared" si="95"/>
        <v>OK</v>
      </c>
    </row>
    <row r="1510" spans="1:16" x14ac:dyDescent="0.35">
      <c r="A1510" t="s">
        <v>1908</v>
      </c>
      <c r="B1510" s="3">
        <v>45484</v>
      </c>
      <c r="C1510" t="s">
        <v>65</v>
      </c>
      <c r="D1510" t="s">
        <v>57</v>
      </c>
      <c r="E1510" t="s">
        <v>284</v>
      </c>
      <c r="F1510" t="s">
        <v>15</v>
      </c>
      <c r="G1510" t="s">
        <v>147</v>
      </c>
      <c r="H1510">
        <v>4</v>
      </c>
      <c r="I1510">
        <v>135.86000000000001</v>
      </c>
      <c r="J1510">
        <v>0</v>
      </c>
      <c r="K1510">
        <v>543.44000000000005</v>
      </c>
      <c r="M1510" t="str">
        <f t="shared" si="92"/>
        <v>Jul</v>
      </c>
      <c r="N1510">
        <f t="shared" si="93"/>
        <v>7</v>
      </c>
      <c r="O1510">
        <f t="shared" si="94"/>
        <v>543.44000000000005</v>
      </c>
      <c r="P1510" t="str">
        <f t="shared" si="95"/>
        <v>OK</v>
      </c>
    </row>
    <row r="1511" spans="1:16" x14ac:dyDescent="0.35">
      <c r="A1511" t="s">
        <v>1909</v>
      </c>
      <c r="B1511" s="3">
        <v>45301</v>
      </c>
      <c r="C1511" t="s">
        <v>65</v>
      </c>
      <c r="D1511" t="s">
        <v>25</v>
      </c>
      <c r="E1511" t="s">
        <v>508</v>
      </c>
      <c r="F1511" t="s">
        <v>21</v>
      </c>
      <c r="G1511" t="s">
        <v>22</v>
      </c>
      <c r="H1511">
        <v>7</v>
      </c>
      <c r="I1511">
        <v>20.53</v>
      </c>
      <c r="J1511">
        <v>0</v>
      </c>
      <c r="K1511">
        <v>143.71</v>
      </c>
      <c r="M1511" t="str">
        <f t="shared" si="92"/>
        <v>Jan</v>
      </c>
      <c r="N1511">
        <f t="shared" si="93"/>
        <v>1</v>
      </c>
      <c r="O1511">
        <f t="shared" si="94"/>
        <v>143.71</v>
      </c>
      <c r="P1511" t="str">
        <f t="shared" si="95"/>
        <v>OK</v>
      </c>
    </row>
    <row r="1512" spans="1:16" x14ac:dyDescent="0.35">
      <c r="A1512" t="s">
        <v>1910</v>
      </c>
      <c r="B1512" s="3">
        <v>45307</v>
      </c>
      <c r="C1512" t="s">
        <v>24</v>
      </c>
      <c r="D1512" t="s">
        <v>25</v>
      </c>
      <c r="E1512" t="s">
        <v>404</v>
      </c>
      <c r="F1512" t="s">
        <v>44</v>
      </c>
      <c r="G1512" t="s">
        <v>94</v>
      </c>
      <c r="H1512">
        <v>3</v>
      </c>
      <c r="I1512">
        <v>131.91</v>
      </c>
      <c r="J1512">
        <v>0</v>
      </c>
      <c r="K1512">
        <v>395.73</v>
      </c>
      <c r="M1512" t="str">
        <f t="shared" si="92"/>
        <v>Jan</v>
      </c>
      <c r="N1512">
        <f t="shared" si="93"/>
        <v>1</v>
      </c>
      <c r="O1512">
        <f t="shared" si="94"/>
        <v>395.73</v>
      </c>
      <c r="P1512" t="str">
        <f t="shared" si="95"/>
        <v>OK</v>
      </c>
    </row>
    <row r="1513" spans="1:16" x14ac:dyDescent="0.35">
      <c r="A1513" t="s">
        <v>1911</v>
      </c>
      <c r="B1513" s="3">
        <v>45498</v>
      </c>
      <c r="C1513" t="s">
        <v>41</v>
      </c>
      <c r="D1513" t="s">
        <v>57</v>
      </c>
      <c r="E1513" t="s">
        <v>128</v>
      </c>
      <c r="F1513" t="s">
        <v>35</v>
      </c>
      <c r="G1513" t="s">
        <v>177</v>
      </c>
      <c r="H1513">
        <v>2</v>
      </c>
      <c r="I1513">
        <v>201.15</v>
      </c>
      <c r="J1513">
        <v>0</v>
      </c>
      <c r="K1513">
        <v>402.3</v>
      </c>
      <c r="M1513" t="str">
        <f t="shared" si="92"/>
        <v>Jul</v>
      </c>
      <c r="N1513">
        <f t="shared" si="93"/>
        <v>7</v>
      </c>
      <c r="O1513">
        <f t="shared" si="94"/>
        <v>402.3</v>
      </c>
      <c r="P1513" t="str">
        <f t="shared" si="95"/>
        <v>OK</v>
      </c>
    </row>
    <row r="1514" spans="1:16" x14ac:dyDescent="0.35">
      <c r="A1514" t="s">
        <v>1912</v>
      </c>
      <c r="B1514" s="3">
        <v>45318</v>
      </c>
      <c r="C1514" t="s">
        <v>33</v>
      </c>
      <c r="D1514" t="s">
        <v>19</v>
      </c>
      <c r="E1514" t="s">
        <v>14</v>
      </c>
      <c r="F1514" t="s">
        <v>15</v>
      </c>
      <c r="G1514" t="s">
        <v>111</v>
      </c>
      <c r="H1514">
        <v>8</v>
      </c>
      <c r="I1514">
        <v>221.47</v>
      </c>
      <c r="J1514">
        <v>0.05</v>
      </c>
      <c r="K1514">
        <v>1683.17</v>
      </c>
      <c r="M1514" t="str">
        <f t="shared" si="92"/>
        <v>Jan</v>
      </c>
      <c r="N1514">
        <f t="shared" si="93"/>
        <v>1</v>
      </c>
      <c r="O1514">
        <f t="shared" si="94"/>
        <v>1683.172</v>
      </c>
      <c r="P1514" t="str">
        <f t="shared" si="95"/>
        <v>OK</v>
      </c>
    </row>
    <row r="1515" spans="1:16" x14ac:dyDescent="0.35">
      <c r="A1515" t="s">
        <v>1913</v>
      </c>
      <c r="B1515" s="3">
        <v>45515</v>
      </c>
      <c r="C1515" t="s">
        <v>18</v>
      </c>
      <c r="D1515" t="s">
        <v>57</v>
      </c>
      <c r="E1515" t="s">
        <v>212</v>
      </c>
      <c r="F1515" t="s">
        <v>44</v>
      </c>
      <c r="G1515" t="s">
        <v>94</v>
      </c>
      <c r="H1515">
        <v>2</v>
      </c>
      <c r="I1515">
        <v>117.64</v>
      </c>
      <c r="J1515">
        <v>0</v>
      </c>
      <c r="K1515">
        <v>235.28</v>
      </c>
      <c r="M1515" t="str">
        <f t="shared" si="92"/>
        <v>Aug</v>
      </c>
      <c r="N1515">
        <f t="shared" si="93"/>
        <v>8</v>
      </c>
      <c r="O1515">
        <f t="shared" si="94"/>
        <v>235.28</v>
      </c>
      <c r="P1515" t="str">
        <f t="shared" si="95"/>
        <v>OK</v>
      </c>
    </row>
    <row r="1516" spans="1:16" x14ac:dyDescent="0.35">
      <c r="A1516" t="s">
        <v>1914</v>
      </c>
      <c r="B1516" s="3">
        <v>45631</v>
      </c>
      <c r="C1516" t="s">
        <v>18</v>
      </c>
      <c r="D1516" t="s">
        <v>57</v>
      </c>
      <c r="E1516" t="s">
        <v>674</v>
      </c>
      <c r="F1516" t="s">
        <v>15</v>
      </c>
      <c r="G1516" t="s">
        <v>147</v>
      </c>
      <c r="H1516">
        <v>11</v>
      </c>
      <c r="I1516">
        <v>174.22</v>
      </c>
      <c r="J1516">
        <v>0</v>
      </c>
      <c r="K1516">
        <v>1916.42</v>
      </c>
      <c r="M1516" t="str">
        <f t="shared" si="92"/>
        <v>Dec</v>
      </c>
      <c r="N1516">
        <f t="shared" si="93"/>
        <v>12</v>
      </c>
      <c r="O1516">
        <f t="shared" si="94"/>
        <v>1916.42</v>
      </c>
      <c r="P1516" t="str">
        <f t="shared" si="95"/>
        <v>OK</v>
      </c>
    </row>
    <row r="1517" spans="1:16" x14ac:dyDescent="0.35">
      <c r="A1517" t="s">
        <v>1915</v>
      </c>
      <c r="B1517" s="3">
        <v>45451</v>
      </c>
      <c r="C1517" t="s">
        <v>65</v>
      </c>
      <c r="D1517" t="s">
        <v>57</v>
      </c>
      <c r="E1517" t="s">
        <v>357</v>
      </c>
      <c r="F1517" t="s">
        <v>44</v>
      </c>
      <c r="G1517" t="s">
        <v>94</v>
      </c>
      <c r="H1517">
        <v>9</v>
      </c>
      <c r="I1517">
        <v>203.09</v>
      </c>
      <c r="J1517">
        <v>0.15</v>
      </c>
      <c r="K1517">
        <v>1553.64</v>
      </c>
      <c r="M1517" t="str">
        <f t="shared" si="92"/>
        <v>Jun</v>
      </c>
      <c r="N1517">
        <f t="shared" si="93"/>
        <v>6</v>
      </c>
      <c r="O1517">
        <f t="shared" si="94"/>
        <v>1553.6385</v>
      </c>
      <c r="P1517" t="str">
        <f t="shared" si="95"/>
        <v>OK</v>
      </c>
    </row>
    <row r="1518" spans="1:16" x14ac:dyDescent="0.35">
      <c r="A1518" t="s">
        <v>1916</v>
      </c>
      <c r="B1518" s="3">
        <v>45651</v>
      </c>
      <c r="C1518" t="s">
        <v>24</v>
      </c>
      <c r="D1518" t="s">
        <v>42</v>
      </c>
      <c r="E1518" t="s">
        <v>506</v>
      </c>
      <c r="F1518" t="s">
        <v>44</v>
      </c>
      <c r="G1518" t="s">
        <v>94</v>
      </c>
      <c r="H1518">
        <v>9</v>
      </c>
      <c r="I1518">
        <v>25.19</v>
      </c>
      <c r="J1518">
        <v>0.1</v>
      </c>
      <c r="K1518">
        <v>204.04</v>
      </c>
      <c r="M1518" t="str">
        <f t="shared" si="92"/>
        <v>Dec</v>
      </c>
      <c r="N1518">
        <f t="shared" si="93"/>
        <v>12</v>
      </c>
      <c r="O1518">
        <f t="shared" si="94"/>
        <v>204.03900000000002</v>
      </c>
      <c r="P1518" t="str">
        <f t="shared" si="95"/>
        <v>OK</v>
      </c>
    </row>
    <row r="1519" spans="1:16" x14ac:dyDescent="0.35">
      <c r="A1519" t="s">
        <v>1917</v>
      </c>
      <c r="B1519" s="3">
        <v>45650</v>
      </c>
      <c r="C1519" t="s">
        <v>41</v>
      </c>
      <c r="D1519" t="s">
        <v>42</v>
      </c>
      <c r="E1519" t="s">
        <v>248</v>
      </c>
      <c r="F1519" t="s">
        <v>21</v>
      </c>
      <c r="G1519" t="s">
        <v>194</v>
      </c>
      <c r="H1519">
        <v>7</v>
      </c>
      <c r="I1519">
        <v>94.44</v>
      </c>
      <c r="J1519">
        <v>0</v>
      </c>
      <c r="K1519">
        <v>661.08</v>
      </c>
      <c r="M1519" t="str">
        <f t="shared" si="92"/>
        <v>Dec</v>
      </c>
      <c r="N1519">
        <f t="shared" si="93"/>
        <v>12</v>
      </c>
      <c r="O1519">
        <f t="shared" si="94"/>
        <v>661.07999999999993</v>
      </c>
      <c r="P1519" t="str">
        <f t="shared" si="95"/>
        <v>OK</v>
      </c>
    </row>
    <row r="1520" spans="1:16" x14ac:dyDescent="0.35">
      <c r="A1520" t="s">
        <v>1918</v>
      </c>
      <c r="B1520" s="3">
        <v>45558</v>
      </c>
      <c r="C1520" t="s">
        <v>33</v>
      </c>
      <c r="D1520" t="s">
        <v>57</v>
      </c>
      <c r="E1520" t="s">
        <v>370</v>
      </c>
      <c r="F1520" t="s">
        <v>15</v>
      </c>
      <c r="G1520" t="s">
        <v>74</v>
      </c>
      <c r="H1520">
        <v>5</v>
      </c>
      <c r="I1520">
        <v>163.77000000000001</v>
      </c>
      <c r="J1520">
        <v>0</v>
      </c>
      <c r="K1520">
        <v>818.85</v>
      </c>
      <c r="M1520" t="str">
        <f t="shared" si="92"/>
        <v>Sep</v>
      </c>
      <c r="N1520">
        <f t="shared" si="93"/>
        <v>9</v>
      </c>
      <c r="O1520">
        <f t="shared" si="94"/>
        <v>818.85</v>
      </c>
      <c r="P1520" t="str">
        <f t="shared" si="95"/>
        <v>OK</v>
      </c>
    </row>
    <row r="1521" spans="1:16" x14ac:dyDescent="0.35">
      <c r="A1521" t="s">
        <v>1919</v>
      </c>
      <c r="B1521" s="3">
        <v>45485</v>
      </c>
      <c r="C1521" t="s">
        <v>65</v>
      </c>
      <c r="D1521" t="s">
        <v>25</v>
      </c>
      <c r="E1521" t="s">
        <v>429</v>
      </c>
      <c r="F1521" t="s">
        <v>53</v>
      </c>
      <c r="G1521" t="s">
        <v>63</v>
      </c>
      <c r="H1521">
        <v>12</v>
      </c>
      <c r="I1521">
        <v>71.959999999999994</v>
      </c>
      <c r="J1521">
        <v>0.15</v>
      </c>
      <c r="K1521">
        <v>733.99</v>
      </c>
      <c r="M1521" t="str">
        <f t="shared" si="92"/>
        <v>Jul</v>
      </c>
      <c r="N1521">
        <f t="shared" si="93"/>
        <v>7</v>
      </c>
      <c r="O1521">
        <f t="shared" si="94"/>
        <v>733.99199999999996</v>
      </c>
      <c r="P1521" t="str">
        <f t="shared" si="95"/>
        <v>OK</v>
      </c>
    </row>
    <row r="1522" spans="1:16" x14ac:dyDescent="0.35">
      <c r="A1522" t="s">
        <v>1920</v>
      </c>
      <c r="B1522" s="3">
        <v>45543</v>
      </c>
      <c r="C1522" t="s">
        <v>65</v>
      </c>
      <c r="D1522" t="s">
        <v>25</v>
      </c>
      <c r="E1522" t="s">
        <v>193</v>
      </c>
      <c r="F1522" t="s">
        <v>21</v>
      </c>
      <c r="G1522" t="s">
        <v>70</v>
      </c>
      <c r="H1522">
        <v>12</v>
      </c>
      <c r="I1522">
        <v>152.63999999999999</v>
      </c>
      <c r="J1522">
        <v>0</v>
      </c>
      <c r="K1522">
        <v>1831.68</v>
      </c>
      <c r="M1522" t="str">
        <f t="shared" si="92"/>
        <v>Sep</v>
      </c>
      <c r="N1522">
        <f t="shared" si="93"/>
        <v>9</v>
      </c>
      <c r="O1522">
        <f t="shared" si="94"/>
        <v>1831.6799999999998</v>
      </c>
      <c r="P1522" t="str">
        <f t="shared" si="95"/>
        <v>OK</v>
      </c>
    </row>
    <row r="1523" spans="1:16" x14ac:dyDescent="0.35">
      <c r="A1523" t="s">
        <v>1921</v>
      </c>
      <c r="B1523" s="3">
        <v>45431</v>
      </c>
      <c r="C1523" t="s">
        <v>65</v>
      </c>
      <c r="D1523" t="s">
        <v>57</v>
      </c>
      <c r="E1523" t="s">
        <v>30</v>
      </c>
      <c r="F1523" t="s">
        <v>44</v>
      </c>
      <c r="G1523" t="s">
        <v>45</v>
      </c>
      <c r="H1523">
        <v>12</v>
      </c>
      <c r="I1523">
        <v>38.049999999999997</v>
      </c>
      <c r="J1523">
        <v>0.05</v>
      </c>
      <c r="K1523">
        <v>433.77</v>
      </c>
      <c r="M1523" t="str">
        <f t="shared" si="92"/>
        <v>May</v>
      </c>
      <c r="N1523">
        <f t="shared" si="93"/>
        <v>5</v>
      </c>
      <c r="O1523">
        <f t="shared" si="94"/>
        <v>433.76999999999992</v>
      </c>
      <c r="P1523" t="str">
        <f t="shared" si="95"/>
        <v>OK</v>
      </c>
    </row>
    <row r="1524" spans="1:16" x14ac:dyDescent="0.35">
      <c r="A1524" t="s">
        <v>1922</v>
      </c>
      <c r="B1524" s="3">
        <v>45354</v>
      </c>
      <c r="C1524" t="s">
        <v>18</v>
      </c>
      <c r="D1524" t="s">
        <v>42</v>
      </c>
      <c r="E1524" t="s">
        <v>80</v>
      </c>
      <c r="F1524" t="s">
        <v>44</v>
      </c>
      <c r="G1524" t="s">
        <v>45</v>
      </c>
      <c r="H1524">
        <v>5</v>
      </c>
      <c r="I1524">
        <v>139.19999999999999</v>
      </c>
      <c r="J1524">
        <v>0</v>
      </c>
      <c r="K1524">
        <v>696</v>
      </c>
      <c r="M1524" t="str">
        <f t="shared" si="92"/>
        <v>Mar</v>
      </c>
      <c r="N1524">
        <f t="shared" si="93"/>
        <v>3</v>
      </c>
      <c r="O1524">
        <f t="shared" si="94"/>
        <v>696</v>
      </c>
      <c r="P1524" t="str">
        <f t="shared" si="95"/>
        <v>OK</v>
      </c>
    </row>
    <row r="1525" spans="1:16" x14ac:dyDescent="0.35">
      <c r="A1525" t="s">
        <v>1923</v>
      </c>
      <c r="B1525" s="3">
        <v>45467</v>
      </c>
      <c r="C1525" t="s">
        <v>33</v>
      </c>
      <c r="D1525" t="s">
        <v>25</v>
      </c>
      <c r="E1525" t="s">
        <v>608</v>
      </c>
      <c r="F1525" t="s">
        <v>35</v>
      </c>
      <c r="G1525" t="s">
        <v>134</v>
      </c>
      <c r="H1525">
        <v>12</v>
      </c>
      <c r="I1525">
        <v>170.59</v>
      </c>
      <c r="J1525">
        <v>0.15</v>
      </c>
      <c r="K1525">
        <v>1740.02</v>
      </c>
      <c r="M1525" t="str">
        <f t="shared" si="92"/>
        <v>Jun</v>
      </c>
      <c r="N1525">
        <f t="shared" si="93"/>
        <v>6</v>
      </c>
      <c r="O1525">
        <f t="shared" si="94"/>
        <v>1740.0179999999998</v>
      </c>
      <c r="P1525" t="str">
        <f t="shared" si="95"/>
        <v>OK</v>
      </c>
    </row>
    <row r="1526" spans="1:16" x14ac:dyDescent="0.35">
      <c r="A1526" t="s">
        <v>1924</v>
      </c>
      <c r="B1526" s="3">
        <v>45627</v>
      </c>
      <c r="C1526" t="s">
        <v>33</v>
      </c>
      <c r="D1526" t="s">
        <v>42</v>
      </c>
      <c r="E1526" t="s">
        <v>2217</v>
      </c>
      <c r="F1526" t="s">
        <v>53</v>
      </c>
      <c r="G1526" t="s">
        <v>59</v>
      </c>
      <c r="H1526">
        <v>4</v>
      </c>
      <c r="I1526">
        <v>188.1</v>
      </c>
      <c r="J1526">
        <v>0</v>
      </c>
      <c r="K1526">
        <v>752.4</v>
      </c>
      <c r="M1526" t="str">
        <f t="shared" si="92"/>
        <v>Dec</v>
      </c>
      <c r="N1526">
        <f t="shared" si="93"/>
        <v>12</v>
      </c>
      <c r="O1526">
        <f t="shared" si="94"/>
        <v>752.4</v>
      </c>
      <c r="P1526" t="str">
        <f t="shared" si="95"/>
        <v>OK</v>
      </c>
    </row>
    <row r="1527" spans="1:16" x14ac:dyDescent="0.35">
      <c r="A1527" t="s">
        <v>1925</v>
      </c>
      <c r="B1527" s="3">
        <v>45598</v>
      </c>
      <c r="C1527" t="s">
        <v>65</v>
      </c>
      <c r="D1527" t="s">
        <v>42</v>
      </c>
      <c r="E1527" t="s">
        <v>1037</v>
      </c>
      <c r="F1527" t="s">
        <v>21</v>
      </c>
      <c r="G1527" t="s">
        <v>22</v>
      </c>
      <c r="H1527">
        <v>12</v>
      </c>
      <c r="I1527">
        <v>220.23</v>
      </c>
      <c r="J1527">
        <v>0.15</v>
      </c>
      <c r="K1527">
        <v>2246.35</v>
      </c>
      <c r="M1527" t="str">
        <f t="shared" si="92"/>
        <v>Nov</v>
      </c>
      <c r="N1527">
        <f t="shared" si="93"/>
        <v>11</v>
      </c>
      <c r="O1527">
        <f t="shared" si="94"/>
        <v>2246.3459999999995</v>
      </c>
      <c r="P1527" t="str">
        <f t="shared" si="95"/>
        <v>OK</v>
      </c>
    </row>
    <row r="1528" spans="1:16" x14ac:dyDescent="0.35">
      <c r="A1528" t="s">
        <v>1926</v>
      </c>
      <c r="B1528" s="3">
        <v>45381</v>
      </c>
      <c r="C1528" t="s">
        <v>65</v>
      </c>
      <c r="D1528" t="s">
        <v>57</v>
      </c>
      <c r="E1528" t="s">
        <v>106</v>
      </c>
      <c r="F1528" t="s">
        <v>35</v>
      </c>
      <c r="G1528" t="s">
        <v>67</v>
      </c>
      <c r="H1528">
        <v>8</v>
      </c>
      <c r="I1528">
        <v>149.26</v>
      </c>
      <c r="J1528">
        <v>0</v>
      </c>
      <c r="K1528">
        <v>1194.08</v>
      </c>
      <c r="M1528" t="str">
        <f t="shared" si="92"/>
        <v>Mar</v>
      </c>
      <c r="N1528">
        <f t="shared" si="93"/>
        <v>3</v>
      </c>
      <c r="O1528">
        <f t="shared" si="94"/>
        <v>1194.08</v>
      </c>
      <c r="P1528" t="str">
        <f t="shared" si="95"/>
        <v>OK</v>
      </c>
    </row>
    <row r="1529" spans="1:16" x14ac:dyDescent="0.35">
      <c r="A1529" t="s">
        <v>1927</v>
      </c>
      <c r="B1529" s="3">
        <v>45398</v>
      </c>
      <c r="C1529" t="s">
        <v>18</v>
      </c>
      <c r="D1529" t="s">
        <v>57</v>
      </c>
      <c r="E1529" t="s">
        <v>113</v>
      </c>
      <c r="F1529" t="s">
        <v>44</v>
      </c>
      <c r="G1529" t="s">
        <v>94</v>
      </c>
      <c r="H1529">
        <v>6</v>
      </c>
      <c r="I1529">
        <v>200.89</v>
      </c>
      <c r="J1529">
        <v>0</v>
      </c>
      <c r="K1529">
        <v>1205.3399999999999</v>
      </c>
      <c r="M1529" t="str">
        <f t="shared" si="92"/>
        <v>Apr</v>
      </c>
      <c r="N1529">
        <f t="shared" si="93"/>
        <v>4</v>
      </c>
      <c r="O1529">
        <f t="shared" si="94"/>
        <v>1205.3399999999999</v>
      </c>
      <c r="P1529" t="str">
        <f t="shared" si="95"/>
        <v>OK</v>
      </c>
    </row>
    <row r="1530" spans="1:16" x14ac:dyDescent="0.35">
      <c r="A1530" t="s">
        <v>1928</v>
      </c>
      <c r="B1530" s="3">
        <v>45642</v>
      </c>
      <c r="C1530" t="s">
        <v>18</v>
      </c>
      <c r="D1530" t="s">
        <v>42</v>
      </c>
      <c r="E1530" t="s">
        <v>164</v>
      </c>
      <c r="F1530" t="s">
        <v>15</v>
      </c>
      <c r="G1530" t="s">
        <v>147</v>
      </c>
      <c r="H1530">
        <v>3</v>
      </c>
      <c r="I1530">
        <v>119.25</v>
      </c>
      <c r="J1530">
        <v>0.1</v>
      </c>
      <c r="K1530">
        <v>321.98</v>
      </c>
      <c r="M1530" t="str">
        <f t="shared" si="92"/>
        <v>Dec</v>
      </c>
      <c r="N1530">
        <f t="shared" si="93"/>
        <v>12</v>
      </c>
      <c r="O1530">
        <f t="shared" si="94"/>
        <v>321.97500000000002</v>
      </c>
      <c r="P1530" t="str">
        <f t="shared" si="95"/>
        <v>OK</v>
      </c>
    </row>
    <row r="1531" spans="1:16" x14ac:dyDescent="0.35">
      <c r="A1531" t="s">
        <v>1929</v>
      </c>
      <c r="B1531" s="3">
        <v>45620</v>
      </c>
      <c r="C1531" t="s">
        <v>65</v>
      </c>
      <c r="D1531" t="s">
        <v>13</v>
      </c>
      <c r="E1531" t="s">
        <v>30</v>
      </c>
      <c r="F1531" t="s">
        <v>53</v>
      </c>
      <c r="G1531" t="s">
        <v>260</v>
      </c>
      <c r="H1531">
        <v>11</v>
      </c>
      <c r="I1531">
        <v>239.93</v>
      </c>
      <c r="J1531">
        <v>0</v>
      </c>
      <c r="K1531">
        <v>2639.23</v>
      </c>
      <c r="M1531" t="str">
        <f t="shared" si="92"/>
        <v>Nov</v>
      </c>
      <c r="N1531">
        <f t="shared" si="93"/>
        <v>11</v>
      </c>
      <c r="O1531">
        <f t="shared" si="94"/>
        <v>2639.23</v>
      </c>
      <c r="P1531" t="str">
        <f t="shared" si="95"/>
        <v>OK</v>
      </c>
    </row>
    <row r="1532" spans="1:16" x14ac:dyDescent="0.35">
      <c r="A1532" t="s">
        <v>1930</v>
      </c>
      <c r="B1532" s="3">
        <v>45404</v>
      </c>
      <c r="C1532" t="s">
        <v>24</v>
      </c>
      <c r="D1532" t="s">
        <v>57</v>
      </c>
      <c r="E1532" t="s">
        <v>751</v>
      </c>
      <c r="F1532" t="s">
        <v>21</v>
      </c>
      <c r="G1532" t="s">
        <v>167</v>
      </c>
      <c r="H1532">
        <v>3</v>
      </c>
      <c r="I1532">
        <v>229.21</v>
      </c>
      <c r="J1532">
        <v>0.15</v>
      </c>
      <c r="K1532">
        <v>584.49</v>
      </c>
      <c r="M1532" t="str">
        <f t="shared" si="92"/>
        <v>Apr</v>
      </c>
      <c r="N1532">
        <f t="shared" si="93"/>
        <v>4</v>
      </c>
      <c r="O1532">
        <f t="shared" si="94"/>
        <v>584.4855</v>
      </c>
      <c r="P1532" t="str">
        <f t="shared" si="95"/>
        <v>OK</v>
      </c>
    </row>
    <row r="1533" spans="1:16" x14ac:dyDescent="0.35">
      <c r="A1533" t="s">
        <v>1931</v>
      </c>
      <c r="B1533" s="3">
        <v>45647</v>
      </c>
      <c r="C1533" t="s">
        <v>18</v>
      </c>
      <c r="D1533" t="s">
        <v>25</v>
      </c>
      <c r="E1533" t="s">
        <v>137</v>
      </c>
      <c r="F1533" t="s">
        <v>35</v>
      </c>
      <c r="G1533" t="s">
        <v>83</v>
      </c>
      <c r="H1533">
        <v>2</v>
      </c>
      <c r="I1533">
        <v>119.99</v>
      </c>
      <c r="J1533">
        <v>0.15</v>
      </c>
      <c r="K1533">
        <v>203.98</v>
      </c>
      <c r="M1533" t="str">
        <f t="shared" si="92"/>
        <v>Dec</v>
      </c>
      <c r="N1533">
        <f t="shared" si="93"/>
        <v>12</v>
      </c>
      <c r="O1533">
        <f t="shared" si="94"/>
        <v>203.98299999999998</v>
      </c>
      <c r="P1533" t="str">
        <f t="shared" si="95"/>
        <v>OK</v>
      </c>
    </row>
    <row r="1534" spans="1:16" x14ac:dyDescent="0.35">
      <c r="A1534" t="s">
        <v>1932</v>
      </c>
      <c r="B1534" s="3">
        <v>45452</v>
      </c>
      <c r="C1534" t="s">
        <v>41</v>
      </c>
      <c r="D1534" t="s">
        <v>19</v>
      </c>
      <c r="E1534" t="s">
        <v>52</v>
      </c>
      <c r="F1534" t="s">
        <v>35</v>
      </c>
      <c r="G1534" t="s">
        <v>134</v>
      </c>
      <c r="H1534">
        <v>4</v>
      </c>
      <c r="I1534">
        <v>188.83</v>
      </c>
      <c r="J1534">
        <v>0.05</v>
      </c>
      <c r="K1534">
        <v>717.55</v>
      </c>
      <c r="M1534" t="str">
        <f t="shared" si="92"/>
        <v>Jun</v>
      </c>
      <c r="N1534">
        <f t="shared" si="93"/>
        <v>6</v>
      </c>
      <c r="O1534">
        <f t="shared" si="94"/>
        <v>717.55399999999997</v>
      </c>
      <c r="P1534" t="str">
        <f t="shared" si="95"/>
        <v>OK</v>
      </c>
    </row>
    <row r="1535" spans="1:16" x14ac:dyDescent="0.35">
      <c r="A1535" t="s">
        <v>1933</v>
      </c>
      <c r="B1535" s="3">
        <v>45415</v>
      </c>
      <c r="C1535" t="s">
        <v>24</v>
      </c>
      <c r="D1535" t="s">
        <v>13</v>
      </c>
      <c r="E1535" t="s">
        <v>638</v>
      </c>
      <c r="F1535" t="s">
        <v>21</v>
      </c>
      <c r="G1535" t="s">
        <v>129</v>
      </c>
      <c r="H1535">
        <v>4</v>
      </c>
      <c r="I1535">
        <v>55.66</v>
      </c>
      <c r="J1535">
        <v>0</v>
      </c>
      <c r="K1535">
        <v>222.64</v>
      </c>
      <c r="M1535" t="str">
        <f t="shared" si="92"/>
        <v>May</v>
      </c>
      <c r="N1535">
        <f t="shared" si="93"/>
        <v>5</v>
      </c>
      <c r="O1535">
        <f t="shared" si="94"/>
        <v>222.64</v>
      </c>
      <c r="P1535" t="str">
        <f t="shared" si="95"/>
        <v>OK</v>
      </c>
    </row>
    <row r="1536" spans="1:16" x14ac:dyDescent="0.35">
      <c r="A1536" t="s">
        <v>1934</v>
      </c>
      <c r="B1536" s="3">
        <v>45614</v>
      </c>
      <c r="C1536" t="s">
        <v>18</v>
      </c>
      <c r="D1536" t="s">
        <v>57</v>
      </c>
      <c r="E1536" t="s">
        <v>122</v>
      </c>
      <c r="F1536" t="s">
        <v>15</v>
      </c>
      <c r="G1536" t="s">
        <v>16</v>
      </c>
      <c r="H1536">
        <v>5</v>
      </c>
      <c r="I1536">
        <v>178.9</v>
      </c>
      <c r="J1536">
        <v>0.1</v>
      </c>
      <c r="K1536">
        <v>805.05</v>
      </c>
      <c r="M1536" t="str">
        <f t="shared" si="92"/>
        <v>Nov</v>
      </c>
      <c r="N1536">
        <f t="shared" si="93"/>
        <v>11</v>
      </c>
      <c r="O1536">
        <f t="shared" si="94"/>
        <v>805.05000000000007</v>
      </c>
      <c r="P1536" t="str">
        <f t="shared" si="95"/>
        <v>OK</v>
      </c>
    </row>
    <row r="1537" spans="1:16" x14ac:dyDescent="0.35">
      <c r="A1537" t="s">
        <v>1936</v>
      </c>
      <c r="B1537" s="3">
        <v>45561</v>
      </c>
      <c r="C1537" t="s">
        <v>41</v>
      </c>
      <c r="D1537" t="s">
        <v>13</v>
      </c>
      <c r="E1537" t="s">
        <v>642</v>
      </c>
      <c r="F1537" t="s">
        <v>21</v>
      </c>
      <c r="G1537" t="s">
        <v>194</v>
      </c>
      <c r="H1537">
        <v>9</v>
      </c>
      <c r="I1537">
        <v>175.06</v>
      </c>
      <c r="J1537">
        <v>0.15</v>
      </c>
      <c r="K1537">
        <v>1339.21</v>
      </c>
      <c r="M1537" t="str">
        <f t="shared" si="92"/>
        <v>Sep</v>
      </c>
      <c r="N1537">
        <f t="shared" si="93"/>
        <v>9</v>
      </c>
      <c r="O1537">
        <f t="shared" si="94"/>
        <v>1339.2089999999998</v>
      </c>
      <c r="P1537" t="str">
        <f t="shared" si="95"/>
        <v>OK</v>
      </c>
    </row>
    <row r="1538" spans="1:16" x14ac:dyDescent="0.35">
      <c r="A1538" t="s">
        <v>1937</v>
      </c>
      <c r="B1538" s="3">
        <v>45438</v>
      </c>
      <c r="C1538" t="s">
        <v>33</v>
      </c>
      <c r="D1538" t="s">
        <v>25</v>
      </c>
      <c r="E1538" t="s">
        <v>296</v>
      </c>
      <c r="F1538" t="s">
        <v>15</v>
      </c>
      <c r="G1538" t="s">
        <v>147</v>
      </c>
      <c r="H1538">
        <v>1</v>
      </c>
      <c r="I1538">
        <v>78.62</v>
      </c>
      <c r="J1538">
        <v>0.05</v>
      </c>
      <c r="K1538">
        <v>74.69</v>
      </c>
      <c r="M1538" t="str">
        <f t="shared" si="92"/>
        <v>May</v>
      </c>
      <c r="N1538">
        <f t="shared" si="93"/>
        <v>5</v>
      </c>
      <c r="O1538">
        <f t="shared" si="94"/>
        <v>74.689000000000007</v>
      </c>
      <c r="P1538" t="str">
        <f t="shared" si="95"/>
        <v>OK</v>
      </c>
    </row>
    <row r="1539" spans="1:16" x14ac:dyDescent="0.35">
      <c r="A1539" t="s">
        <v>1938</v>
      </c>
      <c r="B1539" s="3">
        <v>45363</v>
      </c>
      <c r="C1539" t="s">
        <v>18</v>
      </c>
      <c r="D1539" t="s">
        <v>57</v>
      </c>
      <c r="E1539" t="s">
        <v>825</v>
      </c>
      <c r="F1539" t="s">
        <v>35</v>
      </c>
      <c r="G1539" t="s">
        <v>134</v>
      </c>
      <c r="H1539">
        <v>7</v>
      </c>
      <c r="I1539">
        <v>80.48</v>
      </c>
      <c r="J1539">
        <v>0.1</v>
      </c>
      <c r="K1539">
        <v>507.02</v>
      </c>
      <c r="M1539" t="str">
        <f t="shared" ref="M1539:M1602" si="96">TEXT(B1539,"mmm")</f>
        <v>Mar</v>
      </c>
      <c r="N1539">
        <f t="shared" ref="N1539:N1602" si="97">MONTH(B1539)</f>
        <v>3</v>
      </c>
      <c r="O1539">
        <f t="shared" ref="O1539:O1602" si="98">H1539*I1539*(1-J1539)</f>
        <v>507.024</v>
      </c>
      <c r="P1539" t="str">
        <f t="shared" ref="P1539:P1602" si="99">IF(ROUND(K1539,2)=ROUND(O1539,2),"OK","MISMATCH")</f>
        <v>OK</v>
      </c>
    </row>
    <row r="1540" spans="1:16" x14ac:dyDescent="0.35">
      <c r="A1540" t="s">
        <v>1939</v>
      </c>
      <c r="B1540" s="3">
        <v>45478</v>
      </c>
      <c r="C1540" t="s">
        <v>65</v>
      </c>
      <c r="D1540" t="s">
        <v>19</v>
      </c>
      <c r="E1540" t="s">
        <v>110</v>
      </c>
      <c r="F1540" t="s">
        <v>53</v>
      </c>
      <c r="G1540" t="s">
        <v>54</v>
      </c>
      <c r="H1540">
        <v>6</v>
      </c>
      <c r="I1540">
        <v>208.57</v>
      </c>
      <c r="J1540">
        <v>0.05</v>
      </c>
      <c r="K1540">
        <v>1188.8499999999999</v>
      </c>
      <c r="M1540" t="str">
        <f t="shared" si="96"/>
        <v>Jul</v>
      </c>
      <c r="N1540">
        <f t="shared" si="97"/>
        <v>7</v>
      </c>
      <c r="O1540">
        <f t="shared" si="98"/>
        <v>1188.8489999999999</v>
      </c>
      <c r="P1540" t="str">
        <f t="shared" si="99"/>
        <v>OK</v>
      </c>
    </row>
    <row r="1541" spans="1:16" x14ac:dyDescent="0.35">
      <c r="A1541" t="s">
        <v>1940</v>
      </c>
      <c r="B1541" s="3">
        <v>45362</v>
      </c>
      <c r="C1541" t="s">
        <v>65</v>
      </c>
      <c r="D1541" t="s">
        <v>57</v>
      </c>
      <c r="E1541" t="s">
        <v>1159</v>
      </c>
      <c r="F1541" t="s">
        <v>15</v>
      </c>
      <c r="G1541" t="s">
        <v>27</v>
      </c>
      <c r="H1541">
        <v>2</v>
      </c>
      <c r="I1541">
        <v>90.68</v>
      </c>
      <c r="J1541">
        <v>0.1</v>
      </c>
      <c r="K1541">
        <v>163.22</v>
      </c>
      <c r="M1541" t="str">
        <f t="shared" si="96"/>
        <v>Mar</v>
      </c>
      <c r="N1541">
        <f t="shared" si="97"/>
        <v>3</v>
      </c>
      <c r="O1541">
        <f t="shared" si="98"/>
        <v>163.22400000000002</v>
      </c>
      <c r="P1541" t="str">
        <f t="shared" si="99"/>
        <v>OK</v>
      </c>
    </row>
    <row r="1542" spans="1:16" x14ac:dyDescent="0.35">
      <c r="A1542" t="s">
        <v>1941</v>
      </c>
      <c r="B1542" s="3">
        <v>45504</v>
      </c>
      <c r="C1542" t="s">
        <v>65</v>
      </c>
      <c r="D1542" t="s">
        <v>13</v>
      </c>
      <c r="E1542" t="s">
        <v>166</v>
      </c>
      <c r="F1542" t="s">
        <v>53</v>
      </c>
      <c r="G1542" t="s">
        <v>54</v>
      </c>
      <c r="H1542">
        <v>6</v>
      </c>
      <c r="I1542">
        <v>244.7</v>
      </c>
      <c r="J1542">
        <v>0</v>
      </c>
      <c r="K1542">
        <v>1468.2</v>
      </c>
      <c r="M1542" t="str">
        <f t="shared" si="96"/>
        <v>Jul</v>
      </c>
      <c r="N1542">
        <f t="shared" si="97"/>
        <v>7</v>
      </c>
      <c r="O1542">
        <f t="shared" si="98"/>
        <v>1468.1999999999998</v>
      </c>
      <c r="P1542" t="str">
        <f t="shared" si="99"/>
        <v>OK</v>
      </c>
    </row>
    <row r="1543" spans="1:16" x14ac:dyDescent="0.35">
      <c r="A1543" t="s">
        <v>1942</v>
      </c>
      <c r="B1543" s="3">
        <v>45457</v>
      </c>
      <c r="C1543" t="s">
        <v>18</v>
      </c>
      <c r="D1543" t="s">
        <v>57</v>
      </c>
      <c r="E1543" t="s">
        <v>720</v>
      </c>
      <c r="F1543" t="s">
        <v>53</v>
      </c>
      <c r="G1543" t="s">
        <v>63</v>
      </c>
      <c r="H1543">
        <v>11</v>
      </c>
      <c r="I1543">
        <v>190.6</v>
      </c>
      <c r="J1543">
        <v>0.1</v>
      </c>
      <c r="K1543">
        <v>1886.94</v>
      </c>
      <c r="M1543" t="str">
        <f t="shared" si="96"/>
        <v>Jun</v>
      </c>
      <c r="N1543">
        <f t="shared" si="97"/>
        <v>6</v>
      </c>
      <c r="O1543">
        <f t="shared" si="98"/>
        <v>1886.94</v>
      </c>
      <c r="P1543" t="str">
        <f t="shared" si="99"/>
        <v>OK</v>
      </c>
    </row>
    <row r="1544" spans="1:16" x14ac:dyDescent="0.35">
      <c r="A1544" t="s">
        <v>1943</v>
      </c>
      <c r="B1544" s="3">
        <v>45503</v>
      </c>
      <c r="C1544" t="s">
        <v>41</v>
      </c>
      <c r="D1544" t="s">
        <v>19</v>
      </c>
      <c r="E1544" t="s">
        <v>82</v>
      </c>
      <c r="F1544" t="s">
        <v>21</v>
      </c>
      <c r="G1544" t="s">
        <v>22</v>
      </c>
      <c r="H1544">
        <v>4</v>
      </c>
      <c r="I1544">
        <v>140.47</v>
      </c>
      <c r="J1544">
        <v>0</v>
      </c>
      <c r="K1544">
        <v>561.88</v>
      </c>
      <c r="M1544" t="str">
        <f t="shared" si="96"/>
        <v>Jul</v>
      </c>
      <c r="N1544">
        <f t="shared" si="97"/>
        <v>7</v>
      </c>
      <c r="O1544">
        <f t="shared" si="98"/>
        <v>561.88</v>
      </c>
      <c r="P1544" t="str">
        <f t="shared" si="99"/>
        <v>OK</v>
      </c>
    </row>
    <row r="1545" spans="1:16" x14ac:dyDescent="0.35">
      <c r="A1545" t="s">
        <v>1944</v>
      </c>
      <c r="B1545" s="3">
        <v>45571</v>
      </c>
      <c r="C1545" t="s">
        <v>33</v>
      </c>
      <c r="D1545" t="s">
        <v>42</v>
      </c>
      <c r="E1545" t="s">
        <v>2217</v>
      </c>
      <c r="F1545" t="s">
        <v>53</v>
      </c>
      <c r="G1545" t="s">
        <v>59</v>
      </c>
      <c r="H1545">
        <v>11</v>
      </c>
      <c r="I1545">
        <v>81.69</v>
      </c>
      <c r="J1545">
        <v>0</v>
      </c>
      <c r="K1545">
        <v>898.59</v>
      </c>
      <c r="M1545" t="str">
        <f t="shared" si="96"/>
        <v>Oct</v>
      </c>
      <c r="N1545">
        <f t="shared" si="97"/>
        <v>10</v>
      </c>
      <c r="O1545">
        <f t="shared" si="98"/>
        <v>898.58999999999992</v>
      </c>
      <c r="P1545" t="str">
        <f t="shared" si="99"/>
        <v>OK</v>
      </c>
    </row>
    <row r="1546" spans="1:16" x14ac:dyDescent="0.35">
      <c r="A1546" t="s">
        <v>1945</v>
      </c>
      <c r="B1546" s="3">
        <v>45399</v>
      </c>
      <c r="C1546" t="s">
        <v>24</v>
      </c>
      <c r="D1546" t="s">
        <v>25</v>
      </c>
      <c r="E1546" t="s">
        <v>339</v>
      </c>
      <c r="F1546" t="s">
        <v>44</v>
      </c>
      <c r="G1546" t="s">
        <v>45</v>
      </c>
      <c r="H1546">
        <v>5</v>
      </c>
      <c r="I1546">
        <v>58.47</v>
      </c>
      <c r="J1546">
        <v>0</v>
      </c>
      <c r="K1546">
        <v>292.35000000000002</v>
      </c>
      <c r="M1546" t="str">
        <f t="shared" si="96"/>
        <v>Apr</v>
      </c>
      <c r="N1546">
        <f t="shared" si="97"/>
        <v>4</v>
      </c>
      <c r="O1546">
        <f t="shared" si="98"/>
        <v>292.35000000000002</v>
      </c>
      <c r="P1546" t="str">
        <f t="shared" si="99"/>
        <v>OK</v>
      </c>
    </row>
    <row r="1547" spans="1:16" x14ac:dyDescent="0.35">
      <c r="A1547" t="s">
        <v>1946</v>
      </c>
      <c r="B1547" s="3">
        <v>45629</v>
      </c>
      <c r="C1547" t="s">
        <v>18</v>
      </c>
      <c r="D1547" t="s">
        <v>42</v>
      </c>
      <c r="E1547" t="s">
        <v>2217</v>
      </c>
      <c r="F1547" t="s">
        <v>44</v>
      </c>
      <c r="G1547" t="s">
        <v>45</v>
      </c>
      <c r="H1547">
        <v>3</v>
      </c>
      <c r="I1547">
        <v>122.83</v>
      </c>
      <c r="J1547">
        <v>0</v>
      </c>
      <c r="K1547">
        <v>368.49</v>
      </c>
      <c r="M1547" t="str">
        <f t="shared" si="96"/>
        <v>Dec</v>
      </c>
      <c r="N1547">
        <f t="shared" si="97"/>
        <v>12</v>
      </c>
      <c r="O1547">
        <f t="shared" si="98"/>
        <v>368.49</v>
      </c>
      <c r="P1547" t="str">
        <f t="shared" si="99"/>
        <v>OK</v>
      </c>
    </row>
    <row r="1548" spans="1:16" x14ac:dyDescent="0.35">
      <c r="A1548" t="s">
        <v>1947</v>
      </c>
      <c r="B1548" s="3">
        <v>45645</v>
      </c>
      <c r="C1548" t="s">
        <v>18</v>
      </c>
      <c r="D1548" t="s">
        <v>42</v>
      </c>
      <c r="E1548" t="s">
        <v>462</v>
      </c>
      <c r="F1548" t="s">
        <v>44</v>
      </c>
      <c r="G1548" t="s">
        <v>45</v>
      </c>
      <c r="H1548">
        <v>11</v>
      </c>
      <c r="I1548">
        <v>108.65</v>
      </c>
      <c r="J1548">
        <v>0.05</v>
      </c>
      <c r="K1548">
        <v>1135.3900000000001</v>
      </c>
      <c r="M1548" t="str">
        <f t="shared" si="96"/>
        <v>Dec</v>
      </c>
      <c r="N1548">
        <f t="shared" si="97"/>
        <v>12</v>
      </c>
      <c r="O1548">
        <f t="shared" si="98"/>
        <v>1135.3924999999999</v>
      </c>
      <c r="P1548" t="str">
        <f t="shared" si="99"/>
        <v>OK</v>
      </c>
    </row>
    <row r="1549" spans="1:16" x14ac:dyDescent="0.35">
      <c r="A1549" t="s">
        <v>1949</v>
      </c>
      <c r="B1549" s="3">
        <v>45339</v>
      </c>
      <c r="C1549" t="s">
        <v>65</v>
      </c>
      <c r="D1549" t="s">
        <v>13</v>
      </c>
      <c r="E1549" t="s">
        <v>82</v>
      </c>
      <c r="F1549" t="s">
        <v>15</v>
      </c>
      <c r="G1549" t="s">
        <v>111</v>
      </c>
      <c r="H1549">
        <v>1</v>
      </c>
      <c r="I1549">
        <v>11.28</v>
      </c>
      <c r="J1549">
        <v>0.15</v>
      </c>
      <c r="K1549">
        <v>9.59</v>
      </c>
      <c r="M1549" t="str">
        <f t="shared" si="96"/>
        <v>Feb</v>
      </c>
      <c r="N1549">
        <f t="shared" si="97"/>
        <v>2</v>
      </c>
      <c r="O1549">
        <f t="shared" si="98"/>
        <v>9.5879999999999992</v>
      </c>
      <c r="P1549" t="str">
        <f t="shared" si="99"/>
        <v>OK</v>
      </c>
    </row>
    <row r="1550" spans="1:16" x14ac:dyDescent="0.35">
      <c r="A1550" t="s">
        <v>1950</v>
      </c>
      <c r="B1550" s="3">
        <v>45642</v>
      </c>
      <c r="C1550" t="s">
        <v>65</v>
      </c>
      <c r="D1550" t="s">
        <v>57</v>
      </c>
      <c r="E1550" t="s">
        <v>865</v>
      </c>
      <c r="F1550" t="s">
        <v>53</v>
      </c>
      <c r="G1550" t="s">
        <v>54</v>
      </c>
      <c r="H1550">
        <v>12</v>
      </c>
      <c r="I1550">
        <v>91.12</v>
      </c>
      <c r="J1550">
        <v>0</v>
      </c>
      <c r="K1550">
        <v>1093.44</v>
      </c>
      <c r="M1550" t="str">
        <f t="shared" si="96"/>
        <v>Dec</v>
      </c>
      <c r="N1550">
        <f t="shared" si="97"/>
        <v>12</v>
      </c>
      <c r="O1550">
        <f t="shared" si="98"/>
        <v>1093.44</v>
      </c>
      <c r="P1550" t="str">
        <f t="shared" si="99"/>
        <v>OK</v>
      </c>
    </row>
    <row r="1551" spans="1:16" x14ac:dyDescent="0.35">
      <c r="A1551" t="s">
        <v>1951</v>
      </c>
      <c r="B1551" s="3">
        <v>45492</v>
      </c>
      <c r="C1551" t="s">
        <v>33</v>
      </c>
      <c r="D1551" t="s">
        <v>42</v>
      </c>
      <c r="E1551" t="s">
        <v>492</v>
      </c>
      <c r="F1551" t="s">
        <v>15</v>
      </c>
      <c r="G1551" t="s">
        <v>16</v>
      </c>
      <c r="H1551">
        <v>5</v>
      </c>
      <c r="I1551">
        <v>134.32</v>
      </c>
      <c r="J1551">
        <v>0</v>
      </c>
      <c r="K1551">
        <v>671.6</v>
      </c>
      <c r="M1551" t="str">
        <f t="shared" si="96"/>
        <v>Jul</v>
      </c>
      <c r="N1551">
        <f t="shared" si="97"/>
        <v>7</v>
      </c>
      <c r="O1551">
        <f t="shared" si="98"/>
        <v>671.59999999999991</v>
      </c>
      <c r="P1551" t="str">
        <f t="shared" si="99"/>
        <v>OK</v>
      </c>
    </row>
    <row r="1552" spans="1:16" x14ac:dyDescent="0.35">
      <c r="A1552" t="s">
        <v>1952</v>
      </c>
      <c r="B1552" s="3">
        <v>45440</v>
      </c>
      <c r="C1552" t="s">
        <v>65</v>
      </c>
      <c r="D1552" t="s">
        <v>57</v>
      </c>
      <c r="E1552" t="s">
        <v>392</v>
      </c>
      <c r="F1552" t="s">
        <v>21</v>
      </c>
      <c r="G1552" t="s">
        <v>194</v>
      </c>
      <c r="H1552">
        <v>8</v>
      </c>
      <c r="I1552">
        <v>112.15</v>
      </c>
      <c r="J1552">
        <v>0</v>
      </c>
      <c r="K1552">
        <v>897.2</v>
      </c>
      <c r="M1552" t="str">
        <f t="shared" si="96"/>
        <v>May</v>
      </c>
      <c r="N1552">
        <f t="shared" si="97"/>
        <v>5</v>
      </c>
      <c r="O1552">
        <f t="shared" si="98"/>
        <v>897.2</v>
      </c>
      <c r="P1552" t="str">
        <f t="shared" si="99"/>
        <v>OK</v>
      </c>
    </row>
    <row r="1553" spans="1:16" x14ac:dyDescent="0.35">
      <c r="A1553" t="s">
        <v>1953</v>
      </c>
      <c r="B1553" s="3">
        <v>45477</v>
      </c>
      <c r="C1553" t="s">
        <v>41</v>
      </c>
      <c r="D1553" t="s">
        <v>57</v>
      </c>
      <c r="E1553" t="s">
        <v>85</v>
      </c>
      <c r="F1553" t="s">
        <v>21</v>
      </c>
      <c r="G1553" t="s">
        <v>194</v>
      </c>
      <c r="H1553">
        <v>7</v>
      </c>
      <c r="I1553">
        <v>134.86000000000001</v>
      </c>
      <c r="J1553">
        <v>0.05</v>
      </c>
      <c r="K1553">
        <v>896.82</v>
      </c>
      <c r="M1553" t="str">
        <f t="shared" si="96"/>
        <v>Jul</v>
      </c>
      <c r="N1553">
        <f t="shared" si="97"/>
        <v>7</v>
      </c>
      <c r="O1553">
        <f t="shared" si="98"/>
        <v>896.81900000000007</v>
      </c>
      <c r="P1553" t="str">
        <f t="shared" si="99"/>
        <v>OK</v>
      </c>
    </row>
    <row r="1554" spans="1:16" x14ac:dyDescent="0.35">
      <c r="A1554" t="s">
        <v>1954</v>
      </c>
      <c r="B1554" s="3">
        <v>45340</v>
      </c>
      <c r="C1554" t="s">
        <v>33</v>
      </c>
      <c r="D1554" t="s">
        <v>25</v>
      </c>
      <c r="E1554" t="s">
        <v>88</v>
      </c>
      <c r="F1554" t="s">
        <v>53</v>
      </c>
      <c r="G1554" t="s">
        <v>260</v>
      </c>
      <c r="H1554">
        <v>6</v>
      </c>
      <c r="I1554">
        <v>247.67</v>
      </c>
      <c r="J1554">
        <v>0.1</v>
      </c>
      <c r="K1554">
        <v>1337.42</v>
      </c>
      <c r="M1554" t="str">
        <f t="shared" si="96"/>
        <v>Feb</v>
      </c>
      <c r="N1554">
        <f t="shared" si="97"/>
        <v>2</v>
      </c>
      <c r="O1554">
        <f t="shared" si="98"/>
        <v>1337.4180000000001</v>
      </c>
      <c r="P1554" t="str">
        <f t="shared" si="99"/>
        <v>OK</v>
      </c>
    </row>
    <row r="1555" spans="1:16" x14ac:dyDescent="0.35">
      <c r="A1555" t="s">
        <v>1955</v>
      </c>
      <c r="B1555" s="3">
        <v>45565</v>
      </c>
      <c r="C1555" t="s">
        <v>41</v>
      </c>
      <c r="D1555" t="s">
        <v>19</v>
      </c>
      <c r="E1555" t="s">
        <v>1159</v>
      </c>
      <c r="F1555" t="s">
        <v>53</v>
      </c>
      <c r="G1555" t="s">
        <v>260</v>
      </c>
      <c r="H1555">
        <v>1</v>
      </c>
      <c r="I1555">
        <v>248.38</v>
      </c>
      <c r="J1555">
        <v>0.1</v>
      </c>
      <c r="K1555">
        <v>223.54</v>
      </c>
      <c r="M1555" t="str">
        <f t="shared" si="96"/>
        <v>Sep</v>
      </c>
      <c r="N1555">
        <f t="shared" si="97"/>
        <v>9</v>
      </c>
      <c r="O1555">
        <f t="shared" si="98"/>
        <v>223.542</v>
      </c>
      <c r="P1555" t="str">
        <f t="shared" si="99"/>
        <v>OK</v>
      </c>
    </row>
    <row r="1556" spans="1:16" x14ac:dyDescent="0.35">
      <c r="A1556" t="s">
        <v>1956</v>
      </c>
      <c r="B1556" s="3">
        <v>45316</v>
      </c>
      <c r="C1556" t="s">
        <v>41</v>
      </c>
      <c r="D1556" t="s">
        <v>25</v>
      </c>
      <c r="E1556" t="s">
        <v>477</v>
      </c>
      <c r="F1556" t="s">
        <v>35</v>
      </c>
      <c r="G1556" t="s">
        <v>134</v>
      </c>
      <c r="H1556">
        <v>3</v>
      </c>
      <c r="I1556">
        <v>29.25</v>
      </c>
      <c r="J1556">
        <v>0</v>
      </c>
      <c r="K1556">
        <v>87.75</v>
      </c>
      <c r="M1556" t="str">
        <f t="shared" si="96"/>
        <v>Jan</v>
      </c>
      <c r="N1556">
        <f t="shared" si="97"/>
        <v>1</v>
      </c>
      <c r="O1556">
        <f t="shared" si="98"/>
        <v>87.75</v>
      </c>
      <c r="P1556" t="str">
        <f t="shared" si="99"/>
        <v>OK</v>
      </c>
    </row>
    <row r="1557" spans="1:16" x14ac:dyDescent="0.35">
      <c r="A1557" t="s">
        <v>1957</v>
      </c>
      <c r="B1557" s="3">
        <v>45542</v>
      </c>
      <c r="C1557" t="s">
        <v>33</v>
      </c>
      <c r="D1557" t="s">
        <v>19</v>
      </c>
      <c r="E1557" t="s">
        <v>659</v>
      </c>
      <c r="F1557" t="s">
        <v>53</v>
      </c>
      <c r="G1557" t="s">
        <v>125</v>
      </c>
      <c r="H1557">
        <v>1</v>
      </c>
      <c r="I1557">
        <v>187.38</v>
      </c>
      <c r="J1557">
        <v>0</v>
      </c>
      <c r="K1557">
        <v>187.38</v>
      </c>
      <c r="M1557" t="str">
        <f t="shared" si="96"/>
        <v>Sep</v>
      </c>
      <c r="N1557">
        <f t="shared" si="97"/>
        <v>9</v>
      </c>
      <c r="O1557">
        <f t="shared" si="98"/>
        <v>187.38</v>
      </c>
      <c r="P1557" t="str">
        <f t="shared" si="99"/>
        <v>OK</v>
      </c>
    </row>
    <row r="1558" spans="1:16" x14ac:dyDescent="0.35">
      <c r="A1558" t="s">
        <v>1958</v>
      </c>
      <c r="B1558" s="3">
        <v>45523</v>
      </c>
      <c r="C1558" t="s">
        <v>33</v>
      </c>
      <c r="D1558" t="s">
        <v>19</v>
      </c>
      <c r="E1558" t="s">
        <v>286</v>
      </c>
      <c r="F1558" t="s">
        <v>15</v>
      </c>
      <c r="G1558" t="s">
        <v>111</v>
      </c>
      <c r="H1558">
        <v>8</v>
      </c>
      <c r="I1558">
        <v>42.16</v>
      </c>
      <c r="J1558">
        <v>0</v>
      </c>
      <c r="K1558">
        <v>337.28</v>
      </c>
      <c r="M1558" t="str">
        <f t="shared" si="96"/>
        <v>Aug</v>
      </c>
      <c r="N1558">
        <f t="shared" si="97"/>
        <v>8</v>
      </c>
      <c r="O1558">
        <f t="shared" si="98"/>
        <v>337.28</v>
      </c>
      <c r="P1558" t="str">
        <f t="shared" si="99"/>
        <v>OK</v>
      </c>
    </row>
    <row r="1559" spans="1:16" x14ac:dyDescent="0.35">
      <c r="A1559" t="s">
        <v>1959</v>
      </c>
      <c r="B1559" s="3">
        <v>45536</v>
      </c>
      <c r="C1559" t="s">
        <v>33</v>
      </c>
      <c r="D1559" t="s">
        <v>42</v>
      </c>
      <c r="E1559" t="s">
        <v>58</v>
      </c>
      <c r="F1559" t="s">
        <v>21</v>
      </c>
      <c r="G1559" t="s">
        <v>194</v>
      </c>
      <c r="H1559">
        <v>3</v>
      </c>
      <c r="I1559">
        <v>57.46</v>
      </c>
      <c r="J1559">
        <v>0.05</v>
      </c>
      <c r="K1559">
        <v>163.76</v>
      </c>
      <c r="M1559" t="str">
        <f t="shared" si="96"/>
        <v>Sep</v>
      </c>
      <c r="N1559">
        <f t="shared" si="97"/>
        <v>9</v>
      </c>
      <c r="O1559">
        <f t="shared" si="98"/>
        <v>163.761</v>
      </c>
      <c r="P1559" t="str">
        <f t="shared" si="99"/>
        <v>OK</v>
      </c>
    </row>
    <row r="1560" spans="1:16" x14ac:dyDescent="0.35">
      <c r="A1560" t="s">
        <v>1960</v>
      </c>
      <c r="B1560" s="3">
        <v>45380</v>
      </c>
      <c r="C1560" t="s">
        <v>41</v>
      </c>
      <c r="D1560" t="s">
        <v>13</v>
      </c>
      <c r="E1560" t="s">
        <v>388</v>
      </c>
      <c r="F1560" t="s">
        <v>21</v>
      </c>
      <c r="G1560" t="s">
        <v>22</v>
      </c>
      <c r="H1560">
        <v>7</v>
      </c>
      <c r="I1560">
        <v>43.35</v>
      </c>
      <c r="J1560">
        <v>0.05</v>
      </c>
      <c r="K1560">
        <v>288.27999999999997</v>
      </c>
      <c r="M1560" t="str">
        <f t="shared" si="96"/>
        <v>Mar</v>
      </c>
      <c r="N1560">
        <f t="shared" si="97"/>
        <v>3</v>
      </c>
      <c r="O1560">
        <f t="shared" si="98"/>
        <v>288.27749999999997</v>
      </c>
      <c r="P1560" t="str">
        <f t="shared" si="99"/>
        <v>OK</v>
      </c>
    </row>
    <row r="1561" spans="1:16" x14ac:dyDescent="0.35">
      <c r="A1561" t="s">
        <v>1961</v>
      </c>
      <c r="B1561" s="3">
        <v>45588</v>
      </c>
      <c r="C1561" t="s">
        <v>24</v>
      </c>
      <c r="D1561" t="s">
        <v>13</v>
      </c>
      <c r="E1561" t="s">
        <v>142</v>
      </c>
      <c r="F1561" t="s">
        <v>15</v>
      </c>
      <c r="G1561" t="s">
        <v>147</v>
      </c>
      <c r="H1561">
        <v>7</v>
      </c>
      <c r="I1561">
        <v>16.71</v>
      </c>
      <c r="J1561">
        <v>0</v>
      </c>
      <c r="K1561">
        <v>116.97</v>
      </c>
      <c r="M1561" t="str">
        <f t="shared" si="96"/>
        <v>Oct</v>
      </c>
      <c r="N1561">
        <f t="shared" si="97"/>
        <v>10</v>
      </c>
      <c r="O1561">
        <f t="shared" si="98"/>
        <v>116.97</v>
      </c>
      <c r="P1561" t="str">
        <f t="shared" si="99"/>
        <v>OK</v>
      </c>
    </row>
    <row r="1562" spans="1:16" x14ac:dyDescent="0.35">
      <c r="A1562" t="s">
        <v>1962</v>
      </c>
      <c r="B1562" s="3">
        <v>45521</v>
      </c>
      <c r="C1562" t="s">
        <v>65</v>
      </c>
      <c r="D1562" t="s">
        <v>25</v>
      </c>
      <c r="E1562" t="s">
        <v>674</v>
      </c>
      <c r="F1562" t="s">
        <v>53</v>
      </c>
      <c r="G1562" t="s">
        <v>59</v>
      </c>
      <c r="H1562">
        <v>12</v>
      </c>
      <c r="I1562">
        <v>130.19999999999999</v>
      </c>
      <c r="J1562">
        <v>0</v>
      </c>
      <c r="K1562">
        <v>1562.4</v>
      </c>
      <c r="M1562" t="str">
        <f t="shared" si="96"/>
        <v>Aug</v>
      </c>
      <c r="N1562">
        <f t="shared" si="97"/>
        <v>8</v>
      </c>
      <c r="O1562">
        <f t="shared" si="98"/>
        <v>1562.3999999999999</v>
      </c>
      <c r="P1562" t="str">
        <f t="shared" si="99"/>
        <v>OK</v>
      </c>
    </row>
    <row r="1563" spans="1:16" x14ac:dyDescent="0.35">
      <c r="A1563" t="s">
        <v>1963</v>
      </c>
      <c r="B1563" s="3">
        <v>45416</v>
      </c>
      <c r="C1563" t="s">
        <v>41</v>
      </c>
      <c r="D1563" t="s">
        <v>13</v>
      </c>
      <c r="E1563" t="s">
        <v>547</v>
      </c>
      <c r="F1563" t="s">
        <v>44</v>
      </c>
      <c r="G1563" t="s">
        <v>94</v>
      </c>
      <c r="H1563">
        <v>9</v>
      </c>
      <c r="I1563">
        <v>118.75</v>
      </c>
      <c r="J1563">
        <v>0</v>
      </c>
      <c r="K1563">
        <v>1068.75</v>
      </c>
      <c r="M1563" t="str">
        <f t="shared" si="96"/>
        <v>May</v>
      </c>
      <c r="N1563">
        <f t="shared" si="97"/>
        <v>5</v>
      </c>
      <c r="O1563">
        <f t="shared" si="98"/>
        <v>1068.75</v>
      </c>
      <c r="P1563" t="str">
        <f t="shared" si="99"/>
        <v>OK</v>
      </c>
    </row>
    <row r="1564" spans="1:16" x14ac:dyDescent="0.35">
      <c r="A1564" t="s">
        <v>1964</v>
      </c>
      <c r="B1564" s="3">
        <v>45600</v>
      </c>
      <c r="C1564" t="s">
        <v>18</v>
      </c>
      <c r="D1564" t="s">
        <v>25</v>
      </c>
      <c r="E1564" t="s">
        <v>445</v>
      </c>
      <c r="F1564" t="s">
        <v>44</v>
      </c>
      <c r="G1564" t="s">
        <v>86</v>
      </c>
      <c r="H1564">
        <v>3</v>
      </c>
      <c r="I1564">
        <v>96.61</v>
      </c>
      <c r="J1564">
        <v>0.1</v>
      </c>
      <c r="K1564">
        <v>260.85000000000002</v>
      </c>
      <c r="M1564" t="str">
        <f t="shared" si="96"/>
        <v>Nov</v>
      </c>
      <c r="N1564">
        <f t="shared" si="97"/>
        <v>11</v>
      </c>
      <c r="O1564">
        <f t="shared" si="98"/>
        <v>260.84699999999998</v>
      </c>
      <c r="P1564" t="str">
        <f t="shared" si="99"/>
        <v>OK</v>
      </c>
    </row>
    <row r="1565" spans="1:16" x14ac:dyDescent="0.35">
      <c r="A1565" t="s">
        <v>1965</v>
      </c>
      <c r="B1565" s="3">
        <v>45597</v>
      </c>
      <c r="C1565" t="s">
        <v>41</v>
      </c>
      <c r="D1565" t="s">
        <v>42</v>
      </c>
      <c r="E1565" t="s">
        <v>847</v>
      </c>
      <c r="F1565" t="s">
        <v>44</v>
      </c>
      <c r="G1565" t="s">
        <v>50</v>
      </c>
      <c r="H1565">
        <v>10</v>
      </c>
      <c r="I1565">
        <v>159.83000000000001</v>
      </c>
      <c r="J1565">
        <v>0</v>
      </c>
      <c r="K1565">
        <v>1598.3</v>
      </c>
      <c r="M1565" t="str">
        <f t="shared" si="96"/>
        <v>Nov</v>
      </c>
      <c r="N1565">
        <f t="shared" si="97"/>
        <v>11</v>
      </c>
      <c r="O1565">
        <f t="shared" si="98"/>
        <v>1598.3000000000002</v>
      </c>
      <c r="P1565" t="str">
        <f t="shared" si="99"/>
        <v>OK</v>
      </c>
    </row>
    <row r="1566" spans="1:16" x14ac:dyDescent="0.35">
      <c r="A1566" t="s">
        <v>1966</v>
      </c>
      <c r="B1566" s="3">
        <v>45363</v>
      </c>
      <c r="C1566" t="s">
        <v>33</v>
      </c>
      <c r="D1566" t="s">
        <v>19</v>
      </c>
      <c r="E1566" t="s">
        <v>385</v>
      </c>
      <c r="F1566" t="s">
        <v>21</v>
      </c>
      <c r="G1566" t="s">
        <v>167</v>
      </c>
      <c r="H1566">
        <v>9</v>
      </c>
      <c r="I1566">
        <v>117.8</v>
      </c>
      <c r="J1566">
        <v>0.05</v>
      </c>
      <c r="K1566">
        <v>1007.19</v>
      </c>
      <c r="M1566" t="str">
        <f t="shared" si="96"/>
        <v>Mar</v>
      </c>
      <c r="N1566">
        <f t="shared" si="97"/>
        <v>3</v>
      </c>
      <c r="O1566">
        <f t="shared" si="98"/>
        <v>1007.1899999999999</v>
      </c>
      <c r="P1566" t="str">
        <f t="shared" si="99"/>
        <v>OK</v>
      </c>
    </row>
    <row r="1567" spans="1:16" x14ac:dyDescent="0.35">
      <c r="A1567" t="s">
        <v>1967</v>
      </c>
      <c r="B1567" s="3">
        <v>45393</v>
      </c>
      <c r="C1567" t="s">
        <v>41</v>
      </c>
      <c r="D1567" t="s">
        <v>25</v>
      </c>
      <c r="E1567" t="s">
        <v>185</v>
      </c>
      <c r="F1567" t="s">
        <v>21</v>
      </c>
      <c r="G1567" t="s">
        <v>129</v>
      </c>
      <c r="H1567">
        <v>8</v>
      </c>
      <c r="I1567">
        <v>23.01</v>
      </c>
      <c r="J1567">
        <v>0</v>
      </c>
      <c r="K1567">
        <v>184.08</v>
      </c>
      <c r="M1567" t="str">
        <f t="shared" si="96"/>
        <v>Apr</v>
      </c>
      <c r="N1567">
        <f t="shared" si="97"/>
        <v>4</v>
      </c>
      <c r="O1567">
        <f t="shared" si="98"/>
        <v>184.08</v>
      </c>
      <c r="P1567" t="str">
        <f t="shared" si="99"/>
        <v>OK</v>
      </c>
    </row>
    <row r="1568" spans="1:16" x14ac:dyDescent="0.35">
      <c r="A1568" t="s">
        <v>1968</v>
      </c>
      <c r="B1568" s="3">
        <v>45492</v>
      </c>
      <c r="C1568" t="s">
        <v>65</v>
      </c>
      <c r="D1568" t="s">
        <v>13</v>
      </c>
      <c r="E1568" t="s">
        <v>385</v>
      </c>
      <c r="F1568" t="s">
        <v>21</v>
      </c>
      <c r="G1568" t="s">
        <v>194</v>
      </c>
      <c r="H1568">
        <v>1</v>
      </c>
      <c r="I1568">
        <v>89.55</v>
      </c>
      <c r="J1568">
        <v>0</v>
      </c>
      <c r="K1568">
        <v>89.55</v>
      </c>
      <c r="M1568" t="str">
        <f t="shared" si="96"/>
        <v>Jul</v>
      </c>
      <c r="N1568">
        <f t="shared" si="97"/>
        <v>7</v>
      </c>
      <c r="O1568">
        <f t="shared" si="98"/>
        <v>89.55</v>
      </c>
      <c r="P1568" t="str">
        <f t="shared" si="99"/>
        <v>OK</v>
      </c>
    </row>
    <row r="1569" spans="1:16" x14ac:dyDescent="0.35">
      <c r="A1569" t="s">
        <v>1969</v>
      </c>
      <c r="B1569" s="3">
        <v>45484</v>
      </c>
      <c r="C1569" t="s">
        <v>41</v>
      </c>
      <c r="D1569" t="s">
        <v>19</v>
      </c>
      <c r="E1569" t="s">
        <v>431</v>
      </c>
      <c r="F1569" t="s">
        <v>35</v>
      </c>
      <c r="G1569" t="s">
        <v>36</v>
      </c>
      <c r="H1569">
        <v>1</v>
      </c>
      <c r="I1569">
        <v>117.62</v>
      </c>
      <c r="J1569">
        <v>0</v>
      </c>
      <c r="K1569">
        <v>117.62</v>
      </c>
      <c r="M1569" t="str">
        <f t="shared" si="96"/>
        <v>Jul</v>
      </c>
      <c r="N1569">
        <f t="shared" si="97"/>
        <v>7</v>
      </c>
      <c r="O1569">
        <f t="shared" si="98"/>
        <v>117.62</v>
      </c>
      <c r="P1569" t="str">
        <f t="shared" si="99"/>
        <v>OK</v>
      </c>
    </row>
    <row r="1570" spans="1:16" x14ac:dyDescent="0.35">
      <c r="A1570" t="s">
        <v>1970</v>
      </c>
      <c r="B1570" s="3">
        <v>45607</v>
      </c>
      <c r="C1570" t="s">
        <v>24</v>
      </c>
      <c r="D1570" t="s">
        <v>42</v>
      </c>
      <c r="E1570" t="s">
        <v>833</v>
      </c>
      <c r="F1570" t="s">
        <v>15</v>
      </c>
      <c r="G1570" t="s">
        <v>111</v>
      </c>
      <c r="H1570">
        <v>9</v>
      </c>
      <c r="I1570">
        <v>150.46</v>
      </c>
      <c r="J1570">
        <v>0.1</v>
      </c>
      <c r="K1570">
        <v>1218.73</v>
      </c>
      <c r="M1570" t="str">
        <f t="shared" si="96"/>
        <v>Nov</v>
      </c>
      <c r="N1570">
        <f t="shared" si="97"/>
        <v>11</v>
      </c>
      <c r="O1570">
        <f t="shared" si="98"/>
        <v>1218.7260000000001</v>
      </c>
      <c r="P1570" t="str">
        <f t="shared" si="99"/>
        <v>OK</v>
      </c>
    </row>
    <row r="1571" spans="1:16" x14ac:dyDescent="0.35">
      <c r="A1571" t="s">
        <v>1971</v>
      </c>
      <c r="B1571" s="3">
        <v>45549</v>
      </c>
      <c r="C1571" t="s">
        <v>18</v>
      </c>
      <c r="D1571" t="s">
        <v>13</v>
      </c>
      <c r="E1571" t="s">
        <v>884</v>
      </c>
      <c r="F1571" t="s">
        <v>44</v>
      </c>
      <c r="G1571" t="s">
        <v>94</v>
      </c>
      <c r="H1571">
        <v>12</v>
      </c>
      <c r="I1571">
        <v>186.08</v>
      </c>
      <c r="J1571">
        <v>0</v>
      </c>
      <c r="K1571">
        <v>2232.96</v>
      </c>
      <c r="M1571" t="str">
        <f t="shared" si="96"/>
        <v>Sep</v>
      </c>
      <c r="N1571">
        <f t="shared" si="97"/>
        <v>9</v>
      </c>
      <c r="O1571">
        <f t="shared" si="98"/>
        <v>2232.96</v>
      </c>
      <c r="P1571" t="str">
        <f t="shared" si="99"/>
        <v>OK</v>
      </c>
    </row>
    <row r="1572" spans="1:16" x14ac:dyDescent="0.35">
      <c r="A1572" t="s">
        <v>1972</v>
      </c>
      <c r="B1572" s="3">
        <v>45374</v>
      </c>
      <c r="C1572" t="s">
        <v>33</v>
      </c>
      <c r="D1572" t="s">
        <v>57</v>
      </c>
      <c r="E1572" t="s">
        <v>106</v>
      </c>
      <c r="F1572" t="s">
        <v>44</v>
      </c>
      <c r="G1572" t="s">
        <v>45</v>
      </c>
      <c r="H1572">
        <v>6</v>
      </c>
      <c r="I1572">
        <v>60.91</v>
      </c>
      <c r="J1572">
        <v>0.15</v>
      </c>
      <c r="K1572">
        <v>310.64</v>
      </c>
      <c r="M1572" t="str">
        <f t="shared" si="96"/>
        <v>Mar</v>
      </c>
      <c r="N1572">
        <f t="shared" si="97"/>
        <v>3</v>
      </c>
      <c r="O1572">
        <f t="shared" si="98"/>
        <v>310.64099999999996</v>
      </c>
      <c r="P1572" t="str">
        <f t="shared" si="99"/>
        <v>OK</v>
      </c>
    </row>
    <row r="1573" spans="1:16" x14ac:dyDescent="0.35">
      <c r="A1573" t="s">
        <v>1973</v>
      </c>
      <c r="B1573" s="3">
        <v>45584</v>
      </c>
      <c r="C1573" t="s">
        <v>24</v>
      </c>
      <c r="D1573" t="s">
        <v>13</v>
      </c>
      <c r="E1573" t="s">
        <v>131</v>
      </c>
      <c r="F1573" t="s">
        <v>53</v>
      </c>
      <c r="G1573" t="s">
        <v>59</v>
      </c>
      <c r="H1573">
        <v>2</v>
      </c>
      <c r="I1573">
        <v>50.91</v>
      </c>
      <c r="J1573">
        <v>0</v>
      </c>
      <c r="K1573">
        <v>101.82</v>
      </c>
      <c r="M1573" t="str">
        <f t="shared" si="96"/>
        <v>Oct</v>
      </c>
      <c r="N1573">
        <f t="shared" si="97"/>
        <v>10</v>
      </c>
      <c r="O1573">
        <f t="shared" si="98"/>
        <v>101.82</v>
      </c>
      <c r="P1573" t="str">
        <f t="shared" si="99"/>
        <v>OK</v>
      </c>
    </row>
    <row r="1574" spans="1:16" x14ac:dyDescent="0.35">
      <c r="A1574" t="s">
        <v>1974</v>
      </c>
      <c r="B1574" s="3">
        <v>45460</v>
      </c>
      <c r="C1574" t="s">
        <v>33</v>
      </c>
      <c r="D1574" t="s">
        <v>57</v>
      </c>
      <c r="E1574" t="s">
        <v>62</v>
      </c>
      <c r="F1574" t="s">
        <v>44</v>
      </c>
      <c r="G1574" t="s">
        <v>107</v>
      </c>
      <c r="H1574">
        <v>1</v>
      </c>
      <c r="I1574">
        <v>236.91</v>
      </c>
      <c r="J1574">
        <v>0</v>
      </c>
      <c r="K1574">
        <v>236.91</v>
      </c>
      <c r="M1574" t="str">
        <f t="shared" si="96"/>
        <v>Jun</v>
      </c>
      <c r="N1574">
        <f t="shared" si="97"/>
        <v>6</v>
      </c>
      <c r="O1574">
        <f t="shared" si="98"/>
        <v>236.91</v>
      </c>
      <c r="P1574" t="str">
        <f t="shared" si="99"/>
        <v>OK</v>
      </c>
    </row>
    <row r="1575" spans="1:16" x14ac:dyDescent="0.35">
      <c r="A1575" t="s">
        <v>1976</v>
      </c>
      <c r="B1575" s="3">
        <v>45589</v>
      </c>
      <c r="C1575" t="s">
        <v>24</v>
      </c>
      <c r="D1575" t="s">
        <v>19</v>
      </c>
      <c r="E1575" t="s">
        <v>176</v>
      </c>
      <c r="F1575" t="s">
        <v>21</v>
      </c>
      <c r="G1575" t="s">
        <v>129</v>
      </c>
      <c r="H1575">
        <v>1</v>
      </c>
      <c r="I1575">
        <v>216.16</v>
      </c>
      <c r="J1575">
        <v>0</v>
      </c>
      <c r="K1575">
        <v>216.16</v>
      </c>
      <c r="M1575" t="str">
        <f t="shared" si="96"/>
        <v>Oct</v>
      </c>
      <c r="N1575">
        <f t="shared" si="97"/>
        <v>10</v>
      </c>
      <c r="O1575">
        <f t="shared" si="98"/>
        <v>216.16</v>
      </c>
      <c r="P1575" t="str">
        <f t="shared" si="99"/>
        <v>OK</v>
      </c>
    </row>
    <row r="1576" spans="1:16" x14ac:dyDescent="0.35">
      <c r="A1576" t="s">
        <v>1977</v>
      </c>
      <c r="B1576" s="3">
        <v>45299</v>
      </c>
      <c r="C1576" t="s">
        <v>33</v>
      </c>
      <c r="D1576" t="s">
        <v>2216</v>
      </c>
      <c r="E1576" t="s">
        <v>257</v>
      </c>
      <c r="F1576" t="s">
        <v>15</v>
      </c>
      <c r="G1576" t="s">
        <v>16</v>
      </c>
      <c r="H1576">
        <v>5</v>
      </c>
      <c r="I1576">
        <v>15.03</v>
      </c>
      <c r="J1576">
        <v>0.1</v>
      </c>
      <c r="K1576">
        <v>67.63</v>
      </c>
      <c r="M1576" t="str">
        <f t="shared" si="96"/>
        <v>Jan</v>
      </c>
      <c r="N1576">
        <f t="shared" si="97"/>
        <v>1</v>
      </c>
      <c r="O1576">
        <f t="shared" si="98"/>
        <v>67.634999999999991</v>
      </c>
      <c r="P1576" t="str">
        <f t="shared" si="99"/>
        <v>MISMATCH</v>
      </c>
    </row>
    <row r="1577" spans="1:16" x14ac:dyDescent="0.35">
      <c r="A1577" t="s">
        <v>1978</v>
      </c>
      <c r="B1577" s="3">
        <v>45490</v>
      </c>
      <c r="C1577" t="s">
        <v>18</v>
      </c>
      <c r="D1577" t="s">
        <v>25</v>
      </c>
      <c r="E1577" t="s">
        <v>243</v>
      </c>
      <c r="F1577" t="s">
        <v>21</v>
      </c>
      <c r="G1577" t="s">
        <v>70</v>
      </c>
      <c r="H1577">
        <v>6</v>
      </c>
      <c r="I1577">
        <v>178.15</v>
      </c>
      <c r="J1577">
        <v>0</v>
      </c>
      <c r="K1577">
        <v>1068.9000000000001</v>
      </c>
      <c r="M1577" t="str">
        <f t="shared" si="96"/>
        <v>Jul</v>
      </c>
      <c r="N1577">
        <f t="shared" si="97"/>
        <v>7</v>
      </c>
      <c r="O1577">
        <f t="shared" si="98"/>
        <v>1068.9000000000001</v>
      </c>
      <c r="P1577" t="str">
        <f t="shared" si="99"/>
        <v>OK</v>
      </c>
    </row>
    <row r="1578" spans="1:16" x14ac:dyDescent="0.35">
      <c r="A1578" t="s">
        <v>1979</v>
      </c>
      <c r="B1578" s="3">
        <v>45445</v>
      </c>
      <c r="C1578" t="s">
        <v>33</v>
      </c>
      <c r="D1578" t="s">
        <v>13</v>
      </c>
      <c r="E1578" t="s">
        <v>360</v>
      </c>
      <c r="F1578" t="s">
        <v>35</v>
      </c>
      <c r="G1578" t="s">
        <v>177</v>
      </c>
      <c r="H1578">
        <v>12</v>
      </c>
      <c r="I1578">
        <v>23.34</v>
      </c>
      <c r="J1578">
        <v>0.1</v>
      </c>
      <c r="K1578">
        <v>252.07</v>
      </c>
      <c r="M1578" t="str">
        <f t="shared" si="96"/>
        <v>Jun</v>
      </c>
      <c r="N1578">
        <f t="shared" si="97"/>
        <v>6</v>
      </c>
      <c r="O1578">
        <f t="shared" si="98"/>
        <v>252.072</v>
      </c>
      <c r="P1578" t="str">
        <f t="shared" si="99"/>
        <v>OK</v>
      </c>
    </row>
    <row r="1579" spans="1:16" x14ac:dyDescent="0.35">
      <c r="A1579" t="s">
        <v>1980</v>
      </c>
      <c r="B1579" s="3">
        <v>45439</v>
      </c>
      <c r="C1579" t="s">
        <v>33</v>
      </c>
      <c r="D1579" t="s">
        <v>57</v>
      </c>
      <c r="E1579" t="s">
        <v>506</v>
      </c>
      <c r="F1579" t="s">
        <v>44</v>
      </c>
      <c r="G1579" t="s">
        <v>45</v>
      </c>
      <c r="H1579">
        <v>1</v>
      </c>
      <c r="I1579">
        <v>78.78</v>
      </c>
      <c r="J1579">
        <v>0</v>
      </c>
      <c r="K1579">
        <v>78.78</v>
      </c>
      <c r="M1579" t="str">
        <f t="shared" si="96"/>
        <v>May</v>
      </c>
      <c r="N1579">
        <f t="shared" si="97"/>
        <v>5</v>
      </c>
      <c r="O1579">
        <f t="shared" si="98"/>
        <v>78.78</v>
      </c>
      <c r="P1579" t="str">
        <f t="shared" si="99"/>
        <v>OK</v>
      </c>
    </row>
    <row r="1580" spans="1:16" x14ac:dyDescent="0.35">
      <c r="A1580" t="s">
        <v>1981</v>
      </c>
      <c r="B1580" s="3">
        <v>45294</v>
      </c>
      <c r="C1580" t="s">
        <v>18</v>
      </c>
      <c r="D1580" t="s">
        <v>19</v>
      </c>
      <c r="E1580" t="s">
        <v>80</v>
      </c>
      <c r="F1580" t="s">
        <v>15</v>
      </c>
      <c r="G1580" t="s">
        <v>16</v>
      </c>
      <c r="H1580">
        <v>2</v>
      </c>
      <c r="I1580">
        <v>52.68</v>
      </c>
      <c r="J1580">
        <v>0.1</v>
      </c>
      <c r="K1580">
        <v>94.82</v>
      </c>
      <c r="M1580" t="str">
        <f t="shared" si="96"/>
        <v>Jan</v>
      </c>
      <c r="N1580">
        <f t="shared" si="97"/>
        <v>1</v>
      </c>
      <c r="O1580">
        <f t="shared" si="98"/>
        <v>94.823999999999998</v>
      </c>
      <c r="P1580" t="str">
        <f t="shared" si="99"/>
        <v>OK</v>
      </c>
    </row>
    <row r="1581" spans="1:16" x14ac:dyDescent="0.35">
      <c r="A1581" t="s">
        <v>1982</v>
      </c>
      <c r="B1581" s="3">
        <v>45463</v>
      </c>
      <c r="C1581" t="s">
        <v>65</v>
      </c>
      <c r="D1581" t="s">
        <v>25</v>
      </c>
      <c r="E1581" t="s">
        <v>241</v>
      </c>
      <c r="F1581" t="s">
        <v>21</v>
      </c>
      <c r="G1581" t="s">
        <v>194</v>
      </c>
      <c r="H1581">
        <v>7</v>
      </c>
      <c r="I1581">
        <v>197.08</v>
      </c>
      <c r="J1581">
        <v>0.15</v>
      </c>
      <c r="K1581">
        <v>1172.6300000000001</v>
      </c>
      <c r="M1581" t="str">
        <f t="shared" si="96"/>
        <v>Jun</v>
      </c>
      <c r="N1581">
        <f t="shared" si="97"/>
        <v>6</v>
      </c>
      <c r="O1581">
        <f t="shared" si="98"/>
        <v>1172.6260000000002</v>
      </c>
      <c r="P1581" t="str">
        <f t="shared" si="99"/>
        <v>OK</v>
      </c>
    </row>
    <row r="1582" spans="1:16" x14ac:dyDescent="0.35">
      <c r="A1582" t="s">
        <v>997</v>
      </c>
      <c r="B1582" s="3">
        <v>45486</v>
      </c>
      <c r="C1582" t="s">
        <v>33</v>
      </c>
      <c r="D1582" t="s">
        <v>25</v>
      </c>
      <c r="E1582" t="s">
        <v>142</v>
      </c>
      <c r="F1582" t="s">
        <v>35</v>
      </c>
      <c r="G1582" t="s">
        <v>177</v>
      </c>
      <c r="H1582">
        <v>6</v>
      </c>
      <c r="I1582">
        <v>6.44</v>
      </c>
      <c r="J1582">
        <v>0</v>
      </c>
      <c r="K1582">
        <v>38.64</v>
      </c>
      <c r="M1582" t="str">
        <f t="shared" si="96"/>
        <v>Jul</v>
      </c>
      <c r="N1582">
        <f t="shared" si="97"/>
        <v>7</v>
      </c>
      <c r="O1582">
        <f t="shared" si="98"/>
        <v>38.64</v>
      </c>
      <c r="P1582" t="str">
        <f t="shared" si="99"/>
        <v>OK</v>
      </c>
    </row>
    <row r="1583" spans="1:16" x14ac:dyDescent="0.35">
      <c r="A1583" t="s">
        <v>1410</v>
      </c>
      <c r="B1583" s="3">
        <v>45325</v>
      </c>
      <c r="C1583" t="s">
        <v>33</v>
      </c>
      <c r="D1583" t="s">
        <v>13</v>
      </c>
      <c r="E1583" t="s">
        <v>902</v>
      </c>
      <c r="F1583" t="s">
        <v>53</v>
      </c>
      <c r="G1583" t="s">
        <v>63</v>
      </c>
      <c r="H1583">
        <v>6</v>
      </c>
      <c r="I1583">
        <v>20.38</v>
      </c>
      <c r="J1583">
        <v>0.15</v>
      </c>
      <c r="K1583">
        <v>103.94</v>
      </c>
      <c r="M1583" t="str">
        <f t="shared" si="96"/>
        <v>Feb</v>
      </c>
      <c r="N1583">
        <f t="shared" si="97"/>
        <v>2</v>
      </c>
      <c r="O1583">
        <f t="shared" si="98"/>
        <v>103.938</v>
      </c>
      <c r="P1583" t="str">
        <f t="shared" si="99"/>
        <v>OK</v>
      </c>
    </row>
    <row r="1584" spans="1:16" x14ac:dyDescent="0.35">
      <c r="A1584" t="s">
        <v>1983</v>
      </c>
      <c r="B1584" s="3">
        <v>45425</v>
      </c>
      <c r="C1584" t="s">
        <v>41</v>
      </c>
      <c r="D1584" t="s">
        <v>13</v>
      </c>
      <c r="E1584" t="s">
        <v>52</v>
      </c>
      <c r="F1584" t="s">
        <v>35</v>
      </c>
      <c r="G1584" t="s">
        <v>36</v>
      </c>
      <c r="H1584">
        <v>3</v>
      </c>
      <c r="I1584">
        <v>236.34</v>
      </c>
      <c r="J1584">
        <v>0</v>
      </c>
      <c r="K1584">
        <v>709.02</v>
      </c>
      <c r="M1584" t="str">
        <f t="shared" si="96"/>
        <v>May</v>
      </c>
      <c r="N1584">
        <f t="shared" si="97"/>
        <v>5</v>
      </c>
      <c r="O1584">
        <f t="shared" si="98"/>
        <v>709.02</v>
      </c>
      <c r="P1584" t="str">
        <f t="shared" si="99"/>
        <v>OK</v>
      </c>
    </row>
    <row r="1585" spans="1:16" x14ac:dyDescent="0.35">
      <c r="A1585" t="s">
        <v>1984</v>
      </c>
      <c r="B1585" s="3">
        <v>45606</v>
      </c>
      <c r="C1585" t="s">
        <v>18</v>
      </c>
      <c r="D1585" t="s">
        <v>42</v>
      </c>
      <c r="E1585" t="s">
        <v>503</v>
      </c>
      <c r="F1585" t="s">
        <v>21</v>
      </c>
      <c r="G1585" t="s">
        <v>167</v>
      </c>
      <c r="H1585">
        <v>9</v>
      </c>
      <c r="I1585">
        <v>192.24</v>
      </c>
      <c r="J1585">
        <v>0</v>
      </c>
      <c r="K1585">
        <v>1730.16</v>
      </c>
      <c r="M1585" t="str">
        <f t="shared" si="96"/>
        <v>Nov</v>
      </c>
      <c r="N1585">
        <f t="shared" si="97"/>
        <v>11</v>
      </c>
      <c r="O1585">
        <f t="shared" si="98"/>
        <v>1730.16</v>
      </c>
      <c r="P1585" t="str">
        <f t="shared" si="99"/>
        <v>OK</v>
      </c>
    </row>
    <row r="1586" spans="1:16" x14ac:dyDescent="0.35">
      <c r="A1586" t="s">
        <v>519</v>
      </c>
      <c r="B1586" s="3">
        <v>45447</v>
      </c>
      <c r="C1586" t="s">
        <v>18</v>
      </c>
      <c r="D1586" t="s">
        <v>13</v>
      </c>
      <c r="E1586" t="s">
        <v>388</v>
      </c>
      <c r="F1586" t="s">
        <v>44</v>
      </c>
      <c r="G1586" t="s">
        <v>45</v>
      </c>
      <c r="H1586">
        <v>9</v>
      </c>
      <c r="I1586">
        <v>247.15</v>
      </c>
      <c r="J1586">
        <v>0</v>
      </c>
      <c r="K1586">
        <v>2224.35</v>
      </c>
      <c r="M1586" t="str">
        <f t="shared" si="96"/>
        <v>Jun</v>
      </c>
      <c r="N1586">
        <f t="shared" si="97"/>
        <v>6</v>
      </c>
      <c r="O1586">
        <f t="shared" si="98"/>
        <v>2224.35</v>
      </c>
      <c r="P1586" t="str">
        <f t="shared" si="99"/>
        <v>OK</v>
      </c>
    </row>
    <row r="1587" spans="1:16" x14ac:dyDescent="0.35">
      <c r="A1587" t="s">
        <v>1985</v>
      </c>
      <c r="B1587" s="3">
        <v>45379</v>
      </c>
      <c r="C1587" t="s">
        <v>65</v>
      </c>
      <c r="D1587" t="s">
        <v>57</v>
      </c>
      <c r="E1587" t="s">
        <v>137</v>
      </c>
      <c r="F1587" t="s">
        <v>53</v>
      </c>
      <c r="G1587" t="s">
        <v>125</v>
      </c>
      <c r="H1587">
        <v>3</v>
      </c>
      <c r="I1587">
        <v>13.61</v>
      </c>
      <c r="J1587">
        <v>0.15</v>
      </c>
      <c r="K1587">
        <v>34.71</v>
      </c>
      <c r="M1587" t="str">
        <f t="shared" si="96"/>
        <v>Mar</v>
      </c>
      <c r="N1587">
        <f t="shared" si="97"/>
        <v>3</v>
      </c>
      <c r="O1587">
        <f t="shared" si="98"/>
        <v>34.705500000000001</v>
      </c>
      <c r="P1587" t="str">
        <f t="shared" si="99"/>
        <v>OK</v>
      </c>
    </row>
    <row r="1588" spans="1:16" x14ac:dyDescent="0.35">
      <c r="A1588" t="s">
        <v>1986</v>
      </c>
      <c r="B1588" s="3">
        <v>45461</v>
      </c>
      <c r="C1588" t="s">
        <v>65</v>
      </c>
      <c r="D1588" t="s">
        <v>25</v>
      </c>
      <c r="E1588" t="s">
        <v>250</v>
      </c>
      <c r="F1588" t="s">
        <v>35</v>
      </c>
      <c r="G1588" t="s">
        <v>67</v>
      </c>
      <c r="H1588">
        <v>5</v>
      </c>
      <c r="I1588">
        <v>59.89</v>
      </c>
      <c r="J1588">
        <v>0</v>
      </c>
      <c r="K1588">
        <v>299.45</v>
      </c>
      <c r="M1588" t="str">
        <f t="shared" si="96"/>
        <v>Jun</v>
      </c>
      <c r="N1588">
        <f t="shared" si="97"/>
        <v>6</v>
      </c>
      <c r="O1588">
        <f t="shared" si="98"/>
        <v>299.45</v>
      </c>
      <c r="P1588" t="str">
        <f t="shared" si="99"/>
        <v>OK</v>
      </c>
    </row>
    <row r="1589" spans="1:16" x14ac:dyDescent="0.35">
      <c r="A1589" t="s">
        <v>1987</v>
      </c>
      <c r="B1589" s="3">
        <v>45419</v>
      </c>
      <c r="C1589" t="s">
        <v>65</v>
      </c>
      <c r="D1589" t="s">
        <v>19</v>
      </c>
      <c r="E1589" t="s">
        <v>103</v>
      </c>
      <c r="F1589" t="s">
        <v>44</v>
      </c>
      <c r="G1589" t="s">
        <v>94</v>
      </c>
      <c r="H1589">
        <v>3</v>
      </c>
      <c r="I1589">
        <v>11.35</v>
      </c>
      <c r="J1589">
        <v>0.05</v>
      </c>
      <c r="K1589">
        <v>32.35</v>
      </c>
      <c r="M1589" t="str">
        <f t="shared" si="96"/>
        <v>May</v>
      </c>
      <c r="N1589">
        <f t="shared" si="97"/>
        <v>5</v>
      </c>
      <c r="O1589">
        <f t="shared" si="98"/>
        <v>32.347499999999997</v>
      </c>
      <c r="P1589" t="str">
        <f t="shared" si="99"/>
        <v>OK</v>
      </c>
    </row>
    <row r="1590" spans="1:16" x14ac:dyDescent="0.35">
      <c r="A1590" t="s">
        <v>1988</v>
      </c>
      <c r="B1590" s="3">
        <v>45607</v>
      </c>
      <c r="C1590" t="s">
        <v>41</v>
      </c>
      <c r="D1590" t="s">
        <v>42</v>
      </c>
      <c r="E1590" t="s">
        <v>88</v>
      </c>
      <c r="F1590" t="s">
        <v>21</v>
      </c>
      <c r="G1590" t="s">
        <v>194</v>
      </c>
      <c r="H1590">
        <v>11</v>
      </c>
      <c r="I1590">
        <v>52.94</v>
      </c>
      <c r="J1590">
        <v>0</v>
      </c>
      <c r="K1590">
        <v>582.34</v>
      </c>
      <c r="M1590" t="str">
        <f t="shared" si="96"/>
        <v>Nov</v>
      </c>
      <c r="N1590">
        <f t="shared" si="97"/>
        <v>11</v>
      </c>
      <c r="O1590">
        <f t="shared" si="98"/>
        <v>582.33999999999992</v>
      </c>
      <c r="P1590" t="str">
        <f t="shared" si="99"/>
        <v>OK</v>
      </c>
    </row>
    <row r="1591" spans="1:16" x14ac:dyDescent="0.35">
      <c r="A1591" t="s">
        <v>1989</v>
      </c>
      <c r="B1591" s="3">
        <v>45649</v>
      </c>
      <c r="C1591" t="s">
        <v>18</v>
      </c>
      <c r="D1591" t="s">
        <v>25</v>
      </c>
      <c r="E1591" t="s">
        <v>96</v>
      </c>
      <c r="F1591" t="s">
        <v>21</v>
      </c>
      <c r="G1591" t="s">
        <v>167</v>
      </c>
      <c r="H1591">
        <v>5</v>
      </c>
      <c r="I1591">
        <v>208.45</v>
      </c>
      <c r="J1591">
        <v>0</v>
      </c>
      <c r="K1591">
        <v>1042.25</v>
      </c>
      <c r="M1591" t="str">
        <f t="shared" si="96"/>
        <v>Dec</v>
      </c>
      <c r="N1591">
        <f t="shared" si="97"/>
        <v>12</v>
      </c>
      <c r="O1591">
        <f t="shared" si="98"/>
        <v>1042.25</v>
      </c>
      <c r="P1591" t="str">
        <f t="shared" si="99"/>
        <v>OK</v>
      </c>
    </row>
    <row r="1592" spans="1:16" x14ac:dyDescent="0.35">
      <c r="A1592" t="s">
        <v>1990</v>
      </c>
      <c r="B1592" s="3">
        <v>45571</v>
      </c>
      <c r="C1592" t="s">
        <v>24</v>
      </c>
      <c r="D1592" t="s">
        <v>25</v>
      </c>
      <c r="E1592" t="s">
        <v>100</v>
      </c>
      <c r="F1592" t="s">
        <v>35</v>
      </c>
      <c r="G1592" t="s">
        <v>36</v>
      </c>
      <c r="H1592">
        <v>12</v>
      </c>
      <c r="I1592">
        <v>9</v>
      </c>
      <c r="J1592">
        <v>0.15</v>
      </c>
      <c r="K1592">
        <v>91.8</v>
      </c>
      <c r="M1592" t="str">
        <f t="shared" si="96"/>
        <v>Oct</v>
      </c>
      <c r="N1592">
        <f t="shared" si="97"/>
        <v>10</v>
      </c>
      <c r="O1592">
        <f t="shared" si="98"/>
        <v>91.8</v>
      </c>
      <c r="P1592" t="str">
        <f t="shared" si="99"/>
        <v>OK</v>
      </c>
    </row>
    <row r="1593" spans="1:16" x14ac:dyDescent="0.35">
      <c r="A1593" t="s">
        <v>1991</v>
      </c>
      <c r="B1593" s="3">
        <v>45565</v>
      </c>
      <c r="C1593" t="s">
        <v>24</v>
      </c>
      <c r="D1593" t="s">
        <v>25</v>
      </c>
      <c r="E1593" t="s">
        <v>212</v>
      </c>
      <c r="F1593" t="s">
        <v>53</v>
      </c>
      <c r="G1593" t="s">
        <v>63</v>
      </c>
      <c r="H1593">
        <v>3</v>
      </c>
      <c r="I1593">
        <v>156.55000000000001</v>
      </c>
      <c r="J1593">
        <v>0.15</v>
      </c>
      <c r="K1593">
        <v>399.2</v>
      </c>
      <c r="M1593" t="str">
        <f t="shared" si="96"/>
        <v>Sep</v>
      </c>
      <c r="N1593">
        <f t="shared" si="97"/>
        <v>9</v>
      </c>
      <c r="O1593">
        <f t="shared" si="98"/>
        <v>399.20250000000004</v>
      </c>
      <c r="P1593" t="str">
        <f t="shared" si="99"/>
        <v>OK</v>
      </c>
    </row>
    <row r="1594" spans="1:16" x14ac:dyDescent="0.35">
      <c r="A1594" t="s">
        <v>1992</v>
      </c>
      <c r="B1594" s="3">
        <v>45457</v>
      </c>
      <c r="C1594" t="s">
        <v>33</v>
      </c>
      <c r="D1594" t="s">
        <v>19</v>
      </c>
      <c r="E1594" t="s">
        <v>1037</v>
      </c>
      <c r="F1594" t="s">
        <v>21</v>
      </c>
      <c r="G1594" t="s">
        <v>70</v>
      </c>
      <c r="H1594">
        <v>10</v>
      </c>
      <c r="I1594">
        <v>72.45</v>
      </c>
      <c r="J1594">
        <v>0.1</v>
      </c>
      <c r="K1594">
        <v>652.04999999999995</v>
      </c>
      <c r="M1594" t="str">
        <f t="shared" si="96"/>
        <v>Jun</v>
      </c>
      <c r="N1594">
        <f t="shared" si="97"/>
        <v>6</v>
      </c>
      <c r="O1594">
        <f t="shared" si="98"/>
        <v>652.05000000000007</v>
      </c>
      <c r="P1594" t="str">
        <f t="shared" si="99"/>
        <v>OK</v>
      </c>
    </row>
    <row r="1595" spans="1:16" x14ac:dyDescent="0.35">
      <c r="A1595" t="s">
        <v>1993</v>
      </c>
      <c r="B1595" s="3">
        <v>45589</v>
      </c>
      <c r="C1595" t="s">
        <v>24</v>
      </c>
      <c r="D1595" t="s">
        <v>13</v>
      </c>
      <c r="E1595" t="s">
        <v>608</v>
      </c>
      <c r="F1595" t="s">
        <v>15</v>
      </c>
      <c r="G1595" t="s">
        <v>111</v>
      </c>
      <c r="H1595">
        <v>11</v>
      </c>
      <c r="I1595">
        <v>37.68</v>
      </c>
      <c r="J1595">
        <v>0.1</v>
      </c>
      <c r="K1595">
        <v>373.03</v>
      </c>
      <c r="M1595" t="str">
        <f t="shared" si="96"/>
        <v>Oct</v>
      </c>
      <c r="N1595">
        <f t="shared" si="97"/>
        <v>10</v>
      </c>
      <c r="O1595">
        <f t="shared" si="98"/>
        <v>373.03200000000004</v>
      </c>
      <c r="P1595" t="str">
        <f t="shared" si="99"/>
        <v>OK</v>
      </c>
    </row>
    <row r="1596" spans="1:16" x14ac:dyDescent="0.35">
      <c r="A1596" t="s">
        <v>1994</v>
      </c>
      <c r="B1596" s="3">
        <v>45514</v>
      </c>
      <c r="C1596" t="s">
        <v>41</v>
      </c>
      <c r="D1596" t="s">
        <v>25</v>
      </c>
      <c r="E1596" t="s">
        <v>720</v>
      </c>
      <c r="F1596" t="s">
        <v>21</v>
      </c>
      <c r="G1596" t="s">
        <v>194</v>
      </c>
      <c r="H1596">
        <v>12</v>
      </c>
      <c r="I1596">
        <v>199.03</v>
      </c>
      <c r="J1596">
        <v>0.15</v>
      </c>
      <c r="K1596">
        <v>2030.11</v>
      </c>
      <c r="M1596" t="str">
        <f t="shared" si="96"/>
        <v>Aug</v>
      </c>
      <c r="N1596">
        <f t="shared" si="97"/>
        <v>8</v>
      </c>
      <c r="O1596">
        <f t="shared" si="98"/>
        <v>2030.106</v>
      </c>
      <c r="P1596" t="str">
        <f t="shared" si="99"/>
        <v>OK</v>
      </c>
    </row>
    <row r="1597" spans="1:16" x14ac:dyDescent="0.35">
      <c r="A1597" t="s">
        <v>1995</v>
      </c>
      <c r="B1597" s="3">
        <v>45626</v>
      </c>
      <c r="C1597" t="s">
        <v>24</v>
      </c>
      <c r="D1597" t="s">
        <v>57</v>
      </c>
      <c r="E1597" t="s">
        <v>429</v>
      </c>
      <c r="F1597" t="s">
        <v>35</v>
      </c>
      <c r="G1597" t="s">
        <v>83</v>
      </c>
      <c r="H1597">
        <v>1</v>
      </c>
      <c r="I1597">
        <v>77.94</v>
      </c>
      <c r="J1597">
        <v>0.05</v>
      </c>
      <c r="K1597">
        <v>74.040000000000006</v>
      </c>
      <c r="M1597" t="str">
        <f t="shared" si="96"/>
        <v>Nov</v>
      </c>
      <c r="N1597">
        <f t="shared" si="97"/>
        <v>11</v>
      </c>
      <c r="O1597">
        <f t="shared" si="98"/>
        <v>74.042999999999992</v>
      </c>
      <c r="P1597" t="str">
        <f t="shared" si="99"/>
        <v>OK</v>
      </c>
    </row>
    <row r="1598" spans="1:16" x14ac:dyDescent="0.35">
      <c r="A1598" t="s">
        <v>1997</v>
      </c>
      <c r="B1598" s="3">
        <v>45345</v>
      </c>
      <c r="C1598" t="s">
        <v>24</v>
      </c>
      <c r="D1598" t="s">
        <v>13</v>
      </c>
      <c r="E1598" t="s">
        <v>390</v>
      </c>
      <c r="F1598" t="s">
        <v>53</v>
      </c>
      <c r="G1598" t="s">
        <v>125</v>
      </c>
      <c r="H1598">
        <v>12</v>
      </c>
      <c r="I1598">
        <v>216.04</v>
      </c>
      <c r="J1598">
        <v>0.05</v>
      </c>
      <c r="K1598">
        <v>2462.86</v>
      </c>
      <c r="M1598" t="str">
        <f t="shared" si="96"/>
        <v>Feb</v>
      </c>
      <c r="N1598">
        <f t="shared" si="97"/>
        <v>2</v>
      </c>
      <c r="O1598">
        <f t="shared" si="98"/>
        <v>2462.8559999999998</v>
      </c>
      <c r="P1598" t="str">
        <f t="shared" si="99"/>
        <v>OK</v>
      </c>
    </row>
    <row r="1599" spans="1:16" x14ac:dyDescent="0.35">
      <c r="A1599" t="s">
        <v>1998</v>
      </c>
      <c r="B1599" s="3">
        <v>45535</v>
      </c>
      <c r="C1599" t="s">
        <v>24</v>
      </c>
      <c r="D1599" t="s">
        <v>57</v>
      </c>
      <c r="E1599" t="s">
        <v>825</v>
      </c>
      <c r="F1599" t="s">
        <v>21</v>
      </c>
      <c r="G1599" t="s">
        <v>194</v>
      </c>
      <c r="H1599">
        <v>10</v>
      </c>
      <c r="I1599">
        <v>29.47</v>
      </c>
      <c r="J1599">
        <v>0</v>
      </c>
      <c r="K1599">
        <v>294.7</v>
      </c>
      <c r="M1599" t="str">
        <f t="shared" si="96"/>
        <v>Aug</v>
      </c>
      <c r="N1599">
        <f t="shared" si="97"/>
        <v>8</v>
      </c>
      <c r="O1599">
        <f t="shared" si="98"/>
        <v>294.7</v>
      </c>
      <c r="P1599" t="str">
        <f t="shared" si="99"/>
        <v>OK</v>
      </c>
    </row>
    <row r="1600" spans="1:16" x14ac:dyDescent="0.35">
      <c r="A1600" t="s">
        <v>1999</v>
      </c>
      <c r="B1600" s="3">
        <v>45513</v>
      </c>
      <c r="C1600" t="s">
        <v>24</v>
      </c>
      <c r="D1600" t="s">
        <v>13</v>
      </c>
      <c r="E1600" t="s">
        <v>221</v>
      </c>
      <c r="F1600" t="s">
        <v>53</v>
      </c>
      <c r="G1600" t="s">
        <v>63</v>
      </c>
      <c r="H1600">
        <v>1</v>
      </c>
      <c r="I1600">
        <v>76.25</v>
      </c>
      <c r="J1600">
        <v>0.05</v>
      </c>
      <c r="K1600">
        <v>72.44</v>
      </c>
      <c r="M1600" t="str">
        <f t="shared" si="96"/>
        <v>Aug</v>
      </c>
      <c r="N1600">
        <f t="shared" si="97"/>
        <v>8</v>
      </c>
      <c r="O1600">
        <f t="shared" si="98"/>
        <v>72.4375</v>
      </c>
      <c r="P1600" t="str">
        <f t="shared" si="99"/>
        <v>OK</v>
      </c>
    </row>
    <row r="1601" spans="1:16" x14ac:dyDescent="0.35">
      <c r="A1601" t="s">
        <v>2000</v>
      </c>
      <c r="B1601" s="3">
        <v>45612</v>
      </c>
      <c r="C1601" t="s">
        <v>24</v>
      </c>
      <c r="D1601" t="s">
        <v>57</v>
      </c>
      <c r="E1601" t="s">
        <v>489</v>
      </c>
      <c r="F1601" t="s">
        <v>44</v>
      </c>
      <c r="G1601" t="s">
        <v>50</v>
      </c>
      <c r="H1601">
        <v>4</v>
      </c>
      <c r="I1601">
        <v>17.989999999999998</v>
      </c>
      <c r="J1601">
        <v>0</v>
      </c>
      <c r="K1601">
        <v>71.959999999999994</v>
      </c>
      <c r="M1601" t="str">
        <f t="shared" si="96"/>
        <v>Nov</v>
      </c>
      <c r="N1601">
        <f t="shared" si="97"/>
        <v>11</v>
      </c>
      <c r="O1601">
        <f t="shared" si="98"/>
        <v>71.959999999999994</v>
      </c>
      <c r="P1601" t="str">
        <f t="shared" si="99"/>
        <v>OK</v>
      </c>
    </row>
    <row r="1602" spans="1:16" x14ac:dyDescent="0.35">
      <c r="A1602" t="s">
        <v>2001</v>
      </c>
      <c r="B1602" s="3">
        <v>45596</v>
      </c>
      <c r="C1602" t="s">
        <v>18</v>
      </c>
      <c r="D1602" t="s">
        <v>57</v>
      </c>
      <c r="E1602" t="s">
        <v>521</v>
      </c>
      <c r="F1602" t="s">
        <v>53</v>
      </c>
      <c r="G1602" t="s">
        <v>260</v>
      </c>
      <c r="H1602">
        <v>11</v>
      </c>
      <c r="I1602">
        <v>237.87</v>
      </c>
      <c r="J1602">
        <v>0</v>
      </c>
      <c r="K1602">
        <v>2616.5700000000002</v>
      </c>
      <c r="M1602" t="str">
        <f t="shared" si="96"/>
        <v>Oct</v>
      </c>
      <c r="N1602">
        <f t="shared" si="97"/>
        <v>10</v>
      </c>
      <c r="O1602">
        <f t="shared" si="98"/>
        <v>2616.5700000000002</v>
      </c>
      <c r="P1602" t="str">
        <f t="shared" si="99"/>
        <v>OK</v>
      </c>
    </row>
    <row r="1603" spans="1:16" x14ac:dyDescent="0.35">
      <c r="A1603" t="s">
        <v>2003</v>
      </c>
      <c r="B1603" s="3">
        <v>45534</v>
      </c>
      <c r="C1603" t="s">
        <v>65</v>
      </c>
      <c r="D1603" t="s">
        <v>25</v>
      </c>
      <c r="E1603" t="s">
        <v>266</v>
      </c>
      <c r="F1603" t="s">
        <v>21</v>
      </c>
      <c r="G1603" t="s">
        <v>22</v>
      </c>
      <c r="H1603">
        <v>5</v>
      </c>
      <c r="I1603">
        <v>213.09</v>
      </c>
      <c r="J1603">
        <v>0.15</v>
      </c>
      <c r="K1603">
        <v>905.63</v>
      </c>
      <c r="M1603" t="str">
        <f t="shared" ref="M1603:M1666" si="100">TEXT(B1603,"mmm")</f>
        <v>Aug</v>
      </c>
      <c r="N1603">
        <f t="shared" ref="N1603:N1666" si="101">MONTH(B1603)</f>
        <v>8</v>
      </c>
      <c r="O1603">
        <f t="shared" ref="O1603:O1666" si="102">H1603*I1603*(1-J1603)</f>
        <v>905.63250000000005</v>
      </c>
      <c r="P1603" t="str">
        <f t="shared" ref="P1603:P1666" si="103">IF(ROUND(K1603,2)=ROUND(O1603,2),"OK","MISMATCH")</f>
        <v>OK</v>
      </c>
    </row>
    <row r="1604" spans="1:16" x14ac:dyDescent="0.35">
      <c r="A1604" t="s">
        <v>2004</v>
      </c>
      <c r="B1604" s="3">
        <v>45476</v>
      </c>
      <c r="C1604" t="s">
        <v>33</v>
      </c>
      <c r="D1604" t="s">
        <v>57</v>
      </c>
      <c r="E1604" t="s">
        <v>233</v>
      </c>
      <c r="F1604" t="s">
        <v>15</v>
      </c>
      <c r="G1604" t="s">
        <v>27</v>
      </c>
      <c r="H1604">
        <v>10</v>
      </c>
      <c r="I1604">
        <v>224.42</v>
      </c>
      <c r="J1604">
        <v>0</v>
      </c>
      <c r="K1604">
        <v>2244.1999999999998</v>
      </c>
      <c r="M1604" t="str">
        <f t="shared" si="100"/>
        <v>Jul</v>
      </c>
      <c r="N1604">
        <f t="shared" si="101"/>
        <v>7</v>
      </c>
      <c r="O1604">
        <f t="shared" si="102"/>
        <v>2244.1999999999998</v>
      </c>
      <c r="P1604" t="str">
        <f t="shared" si="103"/>
        <v>OK</v>
      </c>
    </row>
    <row r="1605" spans="1:16" x14ac:dyDescent="0.35">
      <c r="A1605" t="s">
        <v>2005</v>
      </c>
      <c r="B1605" s="3">
        <v>45312</v>
      </c>
      <c r="C1605" t="s">
        <v>65</v>
      </c>
      <c r="D1605" t="s">
        <v>19</v>
      </c>
      <c r="E1605" t="s">
        <v>437</v>
      </c>
      <c r="F1605" t="s">
        <v>15</v>
      </c>
      <c r="G1605" t="s">
        <v>147</v>
      </c>
      <c r="H1605">
        <v>11</v>
      </c>
      <c r="I1605">
        <v>188.75</v>
      </c>
      <c r="J1605">
        <v>0.05</v>
      </c>
      <c r="K1605">
        <v>1972.44</v>
      </c>
      <c r="M1605" t="str">
        <f t="shared" si="100"/>
        <v>Jan</v>
      </c>
      <c r="N1605">
        <f t="shared" si="101"/>
        <v>1</v>
      </c>
      <c r="O1605">
        <f t="shared" si="102"/>
        <v>1972.4375</v>
      </c>
      <c r="P1605" t="str">
        <f t="shared" si="103"/>
        <v>OK</v>
      </c>
    </row>
    <row r="1606" spans="1:16" x14ac:dyDescent="0.35">
      <c r="A1606" t="s">
        <v>2006</v>
      </c>
      <c r="B1606" s="3">
        <v>45393</v>
      </c>
      <c r="C1606" t="s">
        <v>33</v>
      </c>
      <c r="D1606" t="s">
        <v>25</v>
      </c>
      <c r="E1606" t="s">
        <v>225</v>
      </c>
      <c r="F1606" t="s">
        <v>21</v>
      </c>
      <c r="G1606" t="s">
        <v>70</v>
      </c>
      <c r="H1606">
        <v>10</v>
      </c>
      <c r="I1606">
        <v>59.01</v>
      </c>
      <c r="J1606">
        <v>0</v>
      </c>
      <c r="K1606">
        <v>590.1</v>
      </c>
      <c r="M1606" t="str">
        <f t="shared" si="100"/>
        <v>Apr</v>
      </c>
      <c r="N1606">
        <f t="shared" si="101"/>
        <v>4</v>
      </c>
      <c r="O1606">
        <f t="shared" si="102"/>
        <v>590.1</v>
      </c>
      <c r="P1606" t="str">
        <f t="shared" si="103"/>
        <v>OK</v>
      </c>
    </row>
    <row r="1607" spans="1:16" x14ac:dyDescent="0.35">
      <c r="A1607" t="s">
        <v>2007</v>
      </c>
      <c r="B1607" s="3">
        <v>45336</v>
      </c>
      <c r="C1607" t="s">
        <v>18</v>
      </c>
      <c r="D1607" t="s">
        <v>42</v>
      </c>
      <c r="E1607" t="s">
        <v>2217</v>
      </c>
      <c r="F1607" t="s">
        <v>35</v>
      </c>
      <c r="G1607" t="s">
        <v>83</v>
      </c>
      <c r="H1607">
        <v>6</v>
      </c>
      <c r="I1607">
        <v>221.77</v>
      </c>
      <c r="J1607">
        <v>0</v>
      </c>
      <c r="K1607">
        <v>1330.62</v>
      </c>
      <c r="M1607" t="str">
        <f t="shared" si="100"/>
        <v>Feb</v>
      </c>
      <c r="N1607">
        <f t="shared" si="101"/>
        <v>2</v>
      </c>
      <c r="O1607">
        <f t="shared" si="102"/>
        <v>1330.6200000000001</v>
      </c>
      <c r="P1607" t="str">
        <f t="shared" si="103"/>
        <v>OK</v>
      </c>
    </row>
    <row r="1608" spans="1:16" x14ac:dyDescent="0.35">
      <c r="A1608" t="s">
        <v>2008</v>
      </c>
      <c r="B1608" s="3">
        <v>45488</v>
      </c>
      <c r="C1608" t="s">
        <v>65</v>
      </c>
      <c r="D1608" t="s">
        <v>25</v>
      </c>
      <c r="E1608" t="s">
        <v>139</v>
      </c>
      <c r="F1608" t="s">
        <v>53</v>
      </c>
      <c r="G1608" t="s">
        <v>260</v>
      </c>
      <c r="H1608">
        <v>6</v>
      </c>
      <c r="I1608">
        <v>241</v>
      </c>
      <c r="J1608">
        <v>0</v>
      </c>
      <c r="K1608">
        <v>1446</v>
      </c>
      <c r="M1608" t="str">
        <f t="shared" si="100"/>
        <v>Jul</v>
      </c>
      <c r="N1608">
        <f t="shared" si="101"/>
        <v>7</v>
      </c>
      <c r="O1608">
        <f t="shared" si="102"/>
        <v>1446</v>
      </c>
      <c r="P1608" t="str">
        <f t="shared" si="103"/>
        <v>OK</v>
      </c>
    </row>
    <row r="1609" spans="1:16" x14ac:dyDescent="0.35">
      <c r="A1609" t="s">
        <v>2009</v>
      </c>
      <c r="B1609" s="3">
        <v>45292</v>
      </c>
      <c r="C1609" t="s">
        <v>24</v>
      </c>
      <c r="D1609" t="s">
        <v>57</v>
      </c>
      <c r="E1609" t="s">
        <v>642</v>
      </c>
      <c r="F1609" t="s">
        <v>15</v>
      </c>
      <c r="G1609" t="s">
        <v>74</v>
      </c>
      <c r="H1609">
        <v>3</v>
      </c>
      <c r="I1609">
        <v>121.82</v>
      </c>
      <c r="J1609">
        <v>0.1</v>
      </c>
      <c r="K1609">
        <v>328.91</v>
      </c>
      <c r="M1609" t="str">
        <f t="shared" si="100"/>
        <v>Jan</v>
      </c>
      <c r="N1609">
        <f t="shared" si="101"/>
        <v>1</v>
      </c>
      <c r="O1609">
        <f t="shared" si="102"/>
        <v>328.91399999999999</v>
      </c>
      <c r="P1609" t="str">
        <f t="shared" si="103"/>
        <v>OK</v>
      </c>
    </row>
    <row r="1610" spans="1:16" x14ac:dyDescent="0.35">
      <c r="A1610" t="s">
        <v>2010</v>
      </c>
      <c r="B1610" s="3">
        <v>45617</v>
      </c>
      <c r="C1610" t="s">
        <v>33</v>
      </c>
      <c r="D1610" t="s">
        <v>25</v>
      </c>
      <c r="E1610" t="s">
        <v>137</v>
      </c>
      <c r="F1610" t="s">
        <v>35</v>
      </c>
      <c r="G1610" t="s">
        <v>177</v>
      </c>
      <c r="H1610">
        <v>11</v>
      </c>
      <c r="I1610">
        <v>38.86</v>
      </c>
      <c r="J1610">
        <v>0</v>
      </c>
      <c r="K1610">
        <v>427.46</v>
      </c>
      <c r="M1610" t="str">
        <f t="shared" si="100"/>
        <v>Nov</v>
      </c>
      <c r="N1610">
        <f t="shared" si="101"/>
        <v>11</v>
      </c>
      <c r="O1610">
        <f t="shared" si="102"/>
        <v>427.46</v>
      </c>
      <c r="P1610" t="str">
        <f t="shared" si="103"/>
        <v>OK</v>
      </c>
    </row>
    <row r="1611" spans="1:16" x14ac:dyDescent="0.35">
      <c r="A1611" t="s">
        <v>2012</v>
      </c>
      <c r="B1611" s="3">
        <v>45627</v>
      </c>
      <c r="C1611" t="s">
        <v>65</v>
      </c>
      <c r="D1611" t="s">
        <v>19</v>
      </c>
      <c r="E1611" t="s">
        <v>291</v>
      </c>
      <c r="F1611" t="s">
        <v>15</v>
      </c>
      <c r="G1611" t="s">
        <v>74</v>
      </c>
      <c r="H1611">
        <v>3</v>
      </c>
      <c r="I1611">
        <v>70.31</v>
      </c>
      <c r="J1611">
        <v>0</v>
      </c>
      <c r="K1611">
        <v>210.93</v>
      </c>
      <c r="M1611" t="str">
        <f t="shared" si="100"/>
        <v>Dec</v>
      </c>
      <c r="N1611">
        <f t="shared" si="101"/>
        <v>12</v>
      </c>
      <c r="O1611">
        <f t="shared" si="102"/>
        <v>210.93</v>
      </c>
      <c r="P1611" t="str">
        <f t="shared" si="103"/>
        <v>OK</v>
      </c>
    </row>
    <row r="1612" spans="1:16" x14ac:dyDescent="0.35">
      <c r="A1612" t="s">
        <v>2013</v>
      </c>
      <c r="B1612" s="3">
        <v>45359</v>
      </c>
      <c r="C1612" t="s">
        <v>33</v>
      </c>
      <c r="D1612" t="s">
        <v>13</v>
      </c>
      <c r="E1612" t="s">
        <v>679</v>
      </c>
      <c r="F1612" t="s">
        <v>15</v>
      </c>
      <c r="G1612" t="s">
        <v>27</v>
      </c>
      <c r="H1612">
        <v>2</v>
      </c>
      <c r="I1612">
        <v>107.8</v>
      </c>
      <c r="J1612">
        <v>0</v>
      </c>
      <c r="K1612">
        <v>215.6</v>
      </c>
      <c r="M1612" t="str">
        <f t="shared" si="100"/>
        <v>Mar</v>
      </c>
      <c r="N1612">
        <f t="shared" si="101"/>
        <v>3</v>
      </c>
      <c r="O1612">
        <f t="shared" si="102"/>
        <v>215.6</v>
      </c>
      <c r="P1612" t="str">
        <f t="shared" si="103"/>
        <v>OK</v>
      </c>
    </row>
    <row r="1613" spans="1:16" x14ac:dyDescent="0.35">
      <c r="A1613" t="s">
        <v>2014</v>
      </c>
      <c r="B1613" s="3">
        <v>45541</v>
      </c>
      <c r="C1613" t="s">
        <v>65</v>
      </c>
      <c r="D1613" t="s">
        <v>42</v>
      </c>
      <c r="E1613" t="s">
        <v>351</v>
      </c>
      <c r="F1613" t="s">
        <v>44</v>
      </c>
      <c r="G1613" t="s">
        <v>86</v>
      </c>
      <c r="H1613">
        <v>6</v>
      </c>
      <c r="I1613">
        <v>127.77</v>
      </c>
      <c r="J1613">
        <v>0.05</v>
      </c>
      <c r="K1613">
        <v>728.29</v>
      </c>
      <c r="M1613" t="str">
        <f t="shared" si="100"/>
        <v>Sep</v>
      </c>
      <c r="N1613">
        <f t="shared" si="101"/>
        <v>9</v>
      </c>
      <c r="O1613">
        <f t="shared" si="102"/>
        <v>728.28899999999999</v>
      </c>
      <c r="P1613" t="str">
        <f t="shared" si="103"/>
        <v>OK</v>
      </c>
    </row>
    <row r="1614" spans="1:16" x14ac:dyDescent="0.35">
      <c r="A1614" t="s">
        <v>2015</v>
      </c>
      <c r="B1614" s="3">
        <v>45431</v>
      </c>
      <c r="C1614" t="s">
        <v>41</v>
      </c>
      <c r="D1614" t="s">
        <v>19</v>
      </c>
      <c r="E1614" t="s">
        <v>282</v>
      </c>
      <c r="F1614" t="s">
        <v>53</v>
      </c>
      <c r="G1614" t="s">
        <v>59</v>
      </c>
      <c r="H1614">
        <v>4</v>
      </c>
      <c r="I1614">
        <v>217.87</v>
      </c>
      <c r="J1614">
        <v>0</v>
      </c>
      <c r="K1614">
        <v>871.48</v>
      </c>
      <c r="M1614" t="str">
        <f t="shared" si="100"/>
        <v>May</v>
      </c>
      <c r="N1614">
        <f t="shared" si="101"/>
        <v>5</v>
      </c>
      <c r="O1614">
        <f t="shared" si="102"/>
        <v>871.48</v>
      </c>
      <c r="P1614" t="str">
        <f t="shared" si="103"/>
        <v>OK</v>
      </c>
    </row>
    <row r="1615" spans="1:16" x14ac:dyDescent="0.35">
      <c r="A1615" t="s">
        <v>2016</v>
      </c>
      <c r="B1615" s="3">
        <v>45352</v>
      </c>
      <c r="C1615" t="s">
        <v>33</v>
      </c>
      <c r="D1615" t="s">
        <v>19</v>
      </c>
      <c r="E1615" t="s">
        <v>433</v>
      </c>
      <c r="F1615" t="s">
        <v>44</v>
      </c>
      <c r="G1615" t="s">
        <v>94</v>
      </c>
      <c r="H1615">
        <v>9</v>
      </c>
      <c r="I1615">
        <v>105.08</v>
      </c>
      <c r="J1615">
        <v>0</v>
      </c>
      <c r="K1615">
        <v>945.72</v>
      </c>
      <c r="M1615" t="str">
        <f t="shared" si="100"/>
        <v>Mar</v>
      </c>
      <c r="N1615">
        <f t="shared" si="101"/>
        <v>3</v>
      </c>
      <c r="O1615">
        <f t="shared" si="102"/>
        <v>945.72</v>
      </c>
      <c r="P1615" t="str">
        <f t="shared" si="103"/>
        <v>OK</v>
      </c>
    </row>
    <row r="1616" spans="1:16" x14ac:dyDescent="0.35">
      <c r="A1616" t="s">
        <v>2017</v>
      </c>
      <c r="B1616" s="3">
        <v>45318</v>
      </c>
      <c r="C1616" t="s">
        <v>65</v>
      </c>
      <c r="D1616" t="s">
        <v>19</v>
      </c>
      <c r="E1616" t="s">
        <v>531</v>
      </c>
      <c r="F1616" t="s">
        <v>53</v>
      </c>
      <c r="G1616" t="s">
        <v>59</v>
      </c>
      <c r="H1616">
        <v>3</v>
      </c>
      <c r="I1616">
        <v>126.4</v>
      </c>
      <c r="J1616">
        <v>0</v>
      </c>
      <c r="K1616">
        <v>379.2</v>
      </c>
      <c r="M1616" t="str">
        <f t="shared" si="100"/>
        <v>Jan</v>
      </c>
      <c r="N1616">
        <f t="shared" si="101"/>
        <v>1</v>
      </c>
      <c r="O1616">
        <f t="shared" si="102"/>
        <v>379.20000000000005</v>
      </c>
      <c r="P1616" t="str">
        <f t="shared" si="103"/>
        <v>OK</v>
      </c>
    </row>
    <row r="1617" spans="1:16" x14ac:dyDescent="0.35">
      <c r="A1617" t="s">
        <v>2018</v>
      </c>
      <c r="B1617" s="3">
        <v>45632</v>
      </c>
      <c r="C1617" t="s">
        <v>18</v>
      </c>
      <c r="D1617" t="s">
        <v>25</v>
      </c>
      <c r="E1617" t="s">
        <v>683</v>
      </c>
      <c r="F1617" t="s">
        <v>44</v>
      </c>
      <c r="G1617" t="s">
        <v>107</v>
      </c>
      <c r="H1617">
        <v>3</v>
      </c>
      <c r="I1617">
        <v>245.59</v>
      </c>
      <c r="J1617">
        <v>0.1</v>
      </c>
      <c r="K1617">
        <v>663.09</v>
      </c>
      <c r="M1617" t="str">
        <f t="shared" si="100"/>
        <v>Dec</v>
      </c>
      <c r="N1617">
        <f t="shared" si="101"/>
        <v>12</v>
      </c>
      <c r="O1617">
        <f t="shared" si="102"/>
        <v>663.09299999999996</v>
      </c>
      <c r="P1617" t="str">
        <f t="shared" si="103"/>
        <v>OK</v>
      </c>
    </row>
    <row r="1618" spans="1:16" x14ac:dyDescent="0.35">
      <c r="A1618" t="s">
        <v>2019</v>
      </c>
      <c r="B1618" s="3">
        <v>45555</v>
      </c>
      <c r="C1618" t="s">
        <v>65</v>
      </c>
      <c r="D1618" t="s">
        <v>13</v>
      </c>
      <c r="E1618" t="s">
        <v>510</v>
      </c>
      <c r="F1618" t="s">
        <v>44</v>
      </c>
      <c r="G1618" t="s">
        <v>86</v>
      </c>
      <c r="H1618">
        <v>3</v>
      </c>
      <c r="I1618">
        <v>114.32</v>
      </c>
      <c r="J1618">
        <v>0.1</v>
      </c>
      <c r="K1618">
        <v>308.66000000000003</v>
      </c>
      <c r="M1618" t="str">
        <f t="shared" si="100"/>
        <v>Sep</v>
      </c>
      <c r="N1618">
        <f t="shared" si="101"/>
        <v>9</v>
      </c>
      <c r="O1618">
        <f t="shared" si="102"/>
        <v>308.66399999999999</v>
      </c>
      <c r="P1618" t="str">
        <f t="shared" si="103"/>
        <v>OK</v>
      </c>
    </row>
    <row r="1619" spans="1:16" x14ac:dyDescent="0.35">
      <c r="A1619" t="s">
        <v>2020</v>
      </c>
      <c r="B1619" s="3">
        <v>45340</v>
      </c>
      <c r="C1619" t="s">
        <v>41</v>
      </c>
      <c r="D1619" t="s">
        <v>19</v>
      </c>
      <c r="E1619" t="s">
        <v>480</v>
      </c>
      <c r="F1619" t="s">
        <v>35</v>
      </c>
      <c r="G1619" t="s">
        <v>36</v>
      </c>
      <c r="H1619">
        <v>11</v>
      </c>
      <c r="I1619">
        <v>62.63</v>
      </c>
      <c r="J1619">
        <v>0.15</v>
      </c>
      <c r="K1619">
        <v>585.59</v>
      </c>
      <c r="M1619" t="str">
        <f t="shared" si="100"/>
        <v>Feb</v>
      </c>
      <c r="N1619">
        <f t="shared" si="101"/>
        <v>2</v>
      </c>
      <c r="O1619">
        <f t="shared" si="102"/>
        <v>585.59050000000002</v>
      </c>
      <c r="P1619" t="str">
        <f t="shared" si="103"/>
        <v>OK</v>
      </c>
    </row>
    <row r="1620" spans="1:16" x14ac:dyDescent="0.35">
      <c r="A1620" t="s">
        <v>2021</v>
      </c>
      <c r="B1620" s="3">
        <v>45631</v>
      </c>
      <c r="C1620" t="s">
        <v>24</v>
      </c>
      <c r="D1620" t="s">
        <v>42</v>
      </c>
      <c r="E1620" t="s">
        <v>608</v>
      </c>
      <c r="F1620" t="s">
        <v>44</v>
      </c>
      <c r="G1620" t="s">
        <v>50</v>
      </c>
      <c r="H1620">
        <v>5</v>
      </c>
      <c r="I1620">
        <v>210.77</v>
      </c>
      <c r="J1620">
        <v>0.1</v>
      </c>
      <c r="K1620">
        <v>948.47</v>
      </c>
      <c r="M1620" t="str">
        <f t="shared" si="100"/>
        <v>Dec</v>
      </c>
      <c r="N1620">
        <f t="shared" si="101"/>
        <v>12</v>
      </c>
      <c r="O1620">
        <f t="shared" si="102"/>
        <v>948.46500000000015</v>
      </c>
      <c r="P1620" t="str">
        <f t="shared" si="103"/>
        <v>OK</v>
      </c>
    </row>
    <row r="1621" spans="1:16" x14ac:dyDescent="0.35">
      <c r="A1621" t="s">
        <v>2022</v>
      </c>
      <c r="B1621" s="3">
        <v>45475</v>
      </c>
      <c r="C1621" t="s">
        <v>33</v>
      </c>
      <c r="D1621" t="s">
        <v>25</v>
      </c>
      <c r="E1621" t="s">
        <v>448</v>
      </c>
      <c r="F1621" t="s">
        <v>35</v>
      </c>
      <c r="G1621" t="s">
        <v>83</v>
      </c>
      <c r="H1621">
        <v>11</v>
      </c>
      <c r="I1621">
        <v>243.23</v>
      </c>
      <c r="J1621">
        <v>0</v>
      </c>
      <c r="K1621">
        <v>2675.53</v>
      </c>
      <c r="M1621" t="str">
        <f t="shared" si="100"/>
        <v>Jul</v>
      </c>
      <c r="N1621">
        <f t="shared" si="101"/>
        <v>7</v>
      </c>
      <c r="O1621">
        <f t="shared" si="102"/>
        <v>2675.5299999999997</v>
      </c>
      <c r="P1621" t="str">
        <f t="shared" si="103"/>
        <v>OK</v>
      </c>
    </row>
    <row r="1622" spans="1:16" x14ac:dyDescent="0.35">
      <c r="A1622" t="s">
        <v>2023</v>
      </c>
      <c r="B1622" s="3">
        <v>45563</v>
      </c>
      <c r="C1622" t="s">
        <v>33</v>
      </c>
      <c r="D1622" t="s">
        <v>19</v>
      </c>
      <c r="E1622" t="s">
        <v>39</v>
      </c>
      <c r="F1622" t="s">
        <v>21</v>
      </c>
      <c r="G1622" t="s">
        <v>194</v>
      </c>
      <c r="H1622">
        <v>2</v>
      </c>
      <c r="I1622">
        <v>132.06</v>
      </c>
      <c r="J1622">
        <v>0.15</v>
      </c>
      <c r="K1622">
        <v>224.5</v>
      </c>
      <c r="M1622" t="str">
        <f t="shared" si="100"/>
        <v>Sep</v>
      </c>
      <c r="N1622">
        <f t="shared" si="101"/>
        <v>9</v>
      </c>
      <c r="O1622">
        <f t="shared" si="102"/>
        <v>224.50200000000001</v>
      </c>
      <c r="P1622" t="str">
        <f t="shared" si="103"/>
        <v>OK</v>
      </c>
    </row>
    <row r="1623" spans="1:16" x14ac:dyDescent="0.35">
      <c r="A1623" t="s">
        <v>2024</v>
      </c>
      <c r="B1623" s="3">
        <v>45326</v>
      </c>
      <c r="C1623" t="s">
        <v>41</v>
      </c>
      <c r="D1623" t="s">
        <v>19</v>
      </c>
      <c r="E1623" t="s">
        <v>865</v>
      </c>
      <c r="F1623" t="s">
        <v>35</v>
      </c>
      <c r="G1623" t="s">
        <v>36</v>
      </c>
      <c r="H1623">
        <v>10</v>
      </c>
      <c r="I1623">
        <v>107.31</v>
      </c>
      <c r="J1623">
        <v>0</v>
      </c>
      <c r="K1623">
        <v>1073.0999999999999</v>
      </c>
      <c r="M1623" t="str">
        <f t="shared" si="100"/>
        <v>Feb</v>
      </c>
      <c r="N1623">
        <f t="shared" si="101"/>
        <v>2</v>
      </c>
      <c r="O1623">
        <f t="shared" si="102"/>
        <v>1073.0999999999999</v>
      </c>
      <c r="P1623" t="str">
        <f t="shared" si="103"/>
        <v>OK</v>
      </c>
    </row>
    <row r="1624" spans="1:16" x14ac:dyDescent="0.35">
      <c r="A1624" t="s">
        <v>2025</v>
      </c>
      <c r="B1624" s="3">
        <v>45384</v>
      </c>
      <c r="C1624" t="s">
        <v>24</v>
      </c>
      <c r="D1624" t="s">
        <v>57</v>
      </c>
      <c r="E1624" t="s">
        <v>608</v>
      </c>
      <c r="F1624" t="s">
        <v>15</v>
      </c>
      <c r="G1624" t="s">
        <v>111</v>
      </c>
      <c r="H1624">
        <v>7</v>
      </c>
      <c r="I1624">
        <v>245.42</v>
      </c>
      <c r="J1624">
        <v>0</v>
      </c>
      <c r="K1624">
        <v>1717.94</v>
      </c>
      <c r="M1624" t="str">
        <f t="shared" si="100"/>
        <v>Apr</v>
      </c>
      <c r="N1624">
        <f t="shared" si="101"/>
        <v>4</v>
      </c>
      <c r="O1624">
        <f t="shared" si="102"/>
        <v>1717.9399999999998</v>
      </c>
      <c r="P1624" t="str">
        <f t="shared" si="103"/>
        <v>OK</v>
      </c>
    </row>
    <row r="1625" spans="1:16" x14ac:dyDescent="0.35">
      <c r="A1625" t="s">
        <v>2026</v>
      </c>
      <c r="B1625" s="3">
        <v>45431</v>
      </c>
      <c r="C1625" t="s">
        <v>65</v>
      </c>
      <c r="D1625" t="s">
        <v>42</v>
      </c>
      <c r="E1625" t="s">
        <v>321</v>
      </c>
      <c r="F1625" t="s">
        <v>15</v>
      </c>
      <c r="G1625" t="s">
        <v>16</v>
      </c>
      <c r="H1625">
        <v>4</v>
      </c>
      <c r="I1625">
        <v>23.3</v>
      </c>
      <c r="J1625">
        <v>0</v>
      </c>
      <c r="K1625">
        <v>93.2</v>
      </c>
      <c r="M1625" t="str">
        <f t="shared" si="100"/>
        <v>May</v>
      </c>
      <c r="N1625">
        <f t="shared" si="101"/>
        <v>5</v>
      </c>
      <c r="O1625">
        <f t="shared" si="102"/>
        <v>93.2</v>
      </c>
      <c r="P1625" t="str">
        <f t="shared" si="103"/>
        <v>OK</v>
      </c>
    </row>
    <row r="1626" spans="1:16" x14ac:dyDescent="0.35">
      <c r="A1626" t="s">
        <v>2027</v>
      </c>
      <c r="B1626" s="3">
        <v>45338</v>
      </c>
      <c r="C1626" t="s">
        <v>65</v>
      </c>
      <c r="D1626" t="s">
        <v>57</v>
      </c>
      <c r="E1626" t="s">
        <v>150</v>
      </c>
      <c r="F1626" t="s">
        <v>44</v>
      </c>
      <c r="G1626" t="s">
        <v>86</v>
      </c>
      <c r="H1626">
        <v>8</v>
      </c>
      <c r="I1626">
        <v>106.77</v>
      </c>
      <c r="J1626">
        <v>0</v>
      </c>
      <c r="K1626">
        <v>854.16</v>
      </c>
      <c r="M1626" t="str">
        <f t="shared" si="100"/>
        <v>Feb</v>
      </c>
      <c r="N1626">
        <f t="shared" si="101"/>
        <v>2</v>
      </c>
      <c r="O1626">
        <f t="shared" si="102"/>
        <v>854.16</v>
      </c>
      <c r="P1626" t="str">
        <f t="shared" si="103"/>
        <v>OK</v>
      </c>
    </row>
    <row r="1627" spans="1:16" x14ac:dyDescent="0.35">
      <c r="A1627" t="s">
        <v>880</v>
      </c>
      <c r="B1627" s="3">
        <v>45476</v>
      </c>
      <c r="C1627" t="s">
        <v>41</v>
      </c>
      <c r="D1627" t="s">
        <v>25</v>
      </c>
      <c r="E1627" t="s">
        <v>881</v>
      </c>
      <c r="F1627" t="s">
        <v>15</v>
      </c>
      <c r="G1627" t="s">
        <v>74</v>
      </c>
      <c r="H1627">
        <v>11</v>
      </c>
      <c r="I1627">
        <v>243.9</v>
      </c>
      <c r="J1627">
        <v>0</v>
      </c>
      <c r="K1627">
        <v>2682.9</v>
      </c>
      <c r="M1627" t="str">
        <f t="shared" si="100"/>
        <v>Jul</v>
      </c>
      <c r="N1627">
        <f t="shared" si="101"/>
        <v>7</v>
      </c>
      <c r="O1627">
        <f t="shared" si="102"/>
        <v>2682.9</v>
      </c>
      <c r="P1627" t="str">
        <f t="shared" si="103"/>
        <v>OK</v>
      </c>
    </row>
    <row r="1628" spans="1:16" x14ac:dyDescent="0.35">
      <c r="A1628" t="s">
        <v>2028</v>
      </c>
      <c r="B1628" s="3">
        <v>45514</v>
      </c>
      <c r="C1628" t="s">
        <v>41</v>
      </c>
      <c r="D1628" t="s">
        <v>57</v>
      </c>
      <c r="E1628" t="s">
        <v>810</v>
      </c>
      <c r="F1628" t="s">
        <v>53</v>
      </c>
      <c r="G1628" t="s">
        <v>63</v>
      </c>
      <c r="H1628">
        <v>9</v>
      </c>
      <c r="I1628">
        <v>194.34</v>
      </c>
      <c r="J1628">
        <v>0.05</v>
      </c>
      <c r="K1628">
        <v>1661.61</v>
      </c>
      <c r="M1628" t="str">
        <f t="shared" si="100"/>
        <v>Aug</v>
      </c>
      <c r="N1628">
        <f t="shared" si="101"/>
        <v>8</v>
      </c>
      <c r="O1628">
        <f t="shared" si="102"/>
        <v>1661.607</v>
      </c>
      <c r="P1628" t="str">
        <f t="shared" si="103"/>
        <v>OK</v>
      </c>
    </row>
    <row r="1629" spans="1:16" x14ac:dyDescent="0.35">
      <c r="A1629" t="s">
        <v>2029</v>
      </c>
      <c r="B1629" s="3">
        <v>45463</v>
      </c>
      <c r="C1629" t="s">
        <v>18</v>
      </c>
      <c r="D1629" t="s">
        <v>13</v>
      </c>
      <c r="E1629" t="s">
        <v>250</v>
      </c>
      <c r="F1629" t="s">
        <v>15</v>
      </c>
      <c r="G1629" t="s">
        <v>74</v>
      </c>
      <c r="H1629">
        <v>3</v>
      </c>
      <c r="I1629">
        <v>34.58</v>
      </c>
      <c r="J1629">
        <v>0.05</v>
      </c>
      <c r="K1629">
        <v>98.55</v>
      </c>
      <c r="M1629" t="str">
        <f t="shared" si="100"/>
        <v>Jun</v>
      </c>
      <c r="N1629">
        <f t="shared" si="101"/>
        <v>6</v>
      </c>
      <c r="O1629">
        <f t="shared" si="102"/>
        <v>98.552999999999997</v>
      </c>
      <c r="P1629" t="str">
        <f t="shared" si="103"/>
        <v>OK</v>
      </c>
    </row>
    <row r="1630" spans="1:16" x14ac:dyDescent="0.35">
      <c r="A1630" t="s">
        <v>2030</v>
      </c>
      <c r="B1630" s="3">
        <v>45573</v>
      </c>
      <c r="C1630" t="s">
        <v>33</v>
      </c>
      <c r="D1630" t="s">
        <v>25</v>
      </c>
      <c r="E1630" t="s">
        <v>379</v>
      </c>
      <c r="F1630" t="s">
        <v>53</v>
      </c>
      <c r="G1630" t="s">
        <v>260</v>
      </c>
      <c r="H1630">
        <v>7</v>
      </c>
      <c r="I1630">
        <v>158.61000000000001</v>
      </c>
      <c r="J1630">
        <v>0</v>
      </c>
      <c r="K1630">
        <v>1110.27</v>
      </c>
      <c r="M1630" t="str">
        <f t="shared" si="100"/>
        <v>Oct</v>
      </c>
      <c r="N1630">
        <f t="shared" si="101"/>
        <v>10</v>
      </c>
      <c r="O1630">
        <f t="shared" si="102"/>
        <v>1110.27</v>
      </c>
      <c r="P1630" t="str">
        <f t="shared" si="103"/>
        <v>OK</v>
      </c>
    </row>
    <row r="1631" spans="1:16" x14ac:dyDescent="0.35">
      <c r="A1631" t="s">
        <v>2031</v>
      </c>
      <c r="B1631" s="3">
        <v>45365</v>
      </c>
      <c r="C1631" t="s">
        <v>33</v>
      </c>
      <c r="D1631" t="s">
        <v>13</v>
      </c>
      <c r="E1631" t="s">
        <v>219</v>
      </c>
      <c r="F1631" t="s">
        <v>35</v>
      </c>
      <c r="G1631" t="s">
        <v>36</v>
      </c>
      <c r="H1631">
        <v>11</v>
      </c>
      <c r="I1631">
        <v>11.19</v>
      </c>
      <c r="J1631">
        <v>0.15</v>
      </c>
      <c r="K1631">
        <v>104.63</v>
      </c>
      <c r="M1631" t="str">
        <f t="shared" si="100"/>
        <v>Mar</v>
      </c>
      <c r="N1631">
        <f t="shared" si="101"/>
        <v>3</v>
      </c>
      <c r="O1631">
        <f t="shared" si="102"/>
        <v>104.62649999999999</v>
      </c>
      <c r="P1631" t="str">
        <f t="shared" si="103"/>
        <v>OK</v>
      </c>
    </row>
    <row r="1632" spans="1:16" x14ac:dyDescent="0.35">
      <c r="A1632" t="s">
        <v>2032</v>
      </c>
      <c r="B1632" s="3">
        <v>45368</v>
      </c>
      <c r="C1632" t="s">
        <v>33</v>
      </c>
      <c r="D1632" t="s">
        <v>42</v>
      </c>
      <c r="E1632" t="s">
        <v>679</v>
      </c>
      <c r="F1632" t="s">
        <v>44</v>
      </c>
      <c r="G1632" t="s">
        <v>94</v>
      </c>
      <c r="H1632">
        <v>5</v>
      </c>
      <c r="I1632">
        <v>158.07</v>
      </c>
      <c r="J1632">
        <v>0</v>
      </c>
      <c r="K1632">
        <v>790.35</v>
      </c>
      <c r="M1632" t="str">
        <f t="shared" si="100"/>
        <v>Mar</v>
      </c>
      <c r="N1632">
        <f t="shared" si="101"/>
        <v>3</v>
      </c>
      <c r="O1632">
        <f t="shared" si="102"/>
        <v>790.34999999999991</v>
      </c>
      <c r="P1632" t="str">
        <f t="shared" si="103"/>
        <v>OK</v>
      </c>
    </row>
    <row r="1633" spans="1:16" x14ac:dyDescent="0.35">
      <c r="A1633" t="s">
        <v>2033</v>
      </c>
      <c r="B1633" s="3">
        <v>45539</v>
      </c>
      <c r="C1633" t="s">
        <v>65</v>
      </c>
      <c r="D1633" t="s">
        <v>25</v>
      </c>
      <c r="E1633" t="s">
        <v>562</v>
      </c>
      <c r="F1633" t="s">
        <v>53</v>
      </c>
      <c r="G1633" t="s">
        <v>59</v>
      </c>
      <c r="H1633">
        <v>9</v>
      </c>
      <c r="I1633">
        <v>106.56</v>
      </c>
      <c r="J1633">
        <v>0.1</v>
      </c>
      <c r="K1633">
        <v>863.14</v>
      </c>
      <c r="M1633" t="str">
        <f t="shared" si="100"/>
        <v>Sep</v>
      </c>
      <c r="N1633">
        <f t="shared" si="101"/>
        <v>9</v>
      </c>
      <c r="O1633">
        <f t="shared" si="102"/>
        <v>863.13599999999997</v>
      </c>
      <c r="P1633" t="str">
        <f t="shared" si="103"/>
        <v>OK</v>
      </c>
    </row>
    <row r="1634" spans="1:16" x14ac:dyDescent="0.35">
      <c r="A1634" t="s">
        <v>2034</v>
      </c>
      <c r="B1634" s="3">
        <v>45580</v>
      </c>
      <c r="C1634" t="s">
        <v>18</v>
      </c>
      <c r="D1634" t="s">
        <v>57</v>
      </c>
      <c r="E1634" t="s">
        <v>113</v>
      </c>
      <c r="F1634" t="s">
        <v>44</v>
      </c>
      <c r="G1634" t="s">
        <v>107</v>
      </c>
      <c r="H1634">
        <v>6</v>
      </c>
      <c r="I1634">
        <v>145.66999999999999</v>
      </c>
      <c r="J1634">
        <v>0</v>
      </c>
      <c r="K1634">
        <v>874.02</v>
      </c>
      <c r="M1634" t="str">
        <f t="shared" si="100"/>
        <v>Oct</v>
      </c>
      <c r="N1634">
        <f t="shared" si="101"/>
        <v>10</v>
      </c>
      <c r="O1634">
        <f t="shared" si="102"/>
        <v>874.02</v>
      </c>
      <c r="P1634" t="str">
        <f t="shared" si="103"/>
        <v>OK</v>
      </c>
    </row>
    <row r="1635" spans="1:16" x14ac:dyDescent="0.35">
      <c r="A1635" t="s">
        <v>2035</v>
      </c>
      <c r="B1635" s="3">
        <v>45582</v>
      </c>
      <c r="C1635" t="s">
        <v>41</v>
      </c>
      <c r="D1635" t="s">
        <v>13</v>
      </c>
      <c r="E1635" t="s">
        <v>521</v>
      </c>
      <c r="F1635" t="s">
        <v>21</v>
      </c>
      <c r="G1635" t="s">
        <v>70</v>
      </c>
      <c r="H1635">
        <v>1</v>
      </c>
      <c r="I1635">
        <v>28.86</v>
      </c>
      <c r="J1635">
        <v>0</v>
      </c>
      <c r="K1635">
        <v>28.86</v>
      </c>
      <c r="M1635" t="str">
        <f t="shared" si="100"/>
        <v>Oct</v>
      </c>
      <c r="N1635">
        <f t="shared" si="101"/>
        <v>10</v>
      </c>
      <c r="O1635">
        <f t="shared" si="102"/>
        <v>28.86</v>
      </c>
      <c r="P1635" t="str">
        <f t="shared" si="103"/>
        <v>OK</v>
      </c>
    </row>
    <row r="1636" spans="1:16" x14ac:dyDescent="0.35">
      <c r="A1636" t="s">
        <v>2036</v>
      </c>
      <c r="B1636" s="3">
        <v>45464</v>
      </c>
      <c r="C1636" t="s">
        <v>65</v>
      </c>
      <c r="D1636" t="s">
        <v>19</v>
      </c>
      <c r="E1636" t="s">
        <v>217</v>
      </c>
      <c r="F1636" t="s">
        <v>53</v>
      </c>
      <c r="G1636" t="s">
        <v>54</v>
      </c>
      <c r="H1636">
        <v>12</v>
      </c>
      <c r="I1636">
        <v>13.94</v>
      </c>
      <c r="J1636">
        <v>0.1</v>
      </c>
      <c r="K1636">
        <v>150.55000000000001</v>
      </c>
      <c r="M1636" t="str">
        <f t="shared" si="100"/>
        <v>Jun</v>
      </c>
      <c r="N1636">
        <f t="shared" si="101"/>
        <v>6</v>
      </c>
      <c r="O1636">
        <f t="shared" si="102"/>
        <v>150.55199999999999</v>
      </c>
      <c r="P1636" t="str">
        <f t="shared" si="103"/>
        <v>OK</v>
      </c>
    </row>
    <row r="1637" spans="1:16" x14ac:dyDescent="0.35">
      <c r="A1637" t="s">
        <v>2037</v>
      </c>
      <c r="B1637" s="3">
        <v>45591</v>
      </c>
      <c r="C1637" t="s">
        <v>33</v>
      </c>
      <c r="D1637" t="s">
        <v>13</v>
      </c>
      <c r="E1637" t="s">
        <v>160</v>
      </c>
      <c r="F1637" t="s">
        <v>15</v>
      </c>
      <c r="G1637" t="s">
        <v>16</v>
      </c>
      <c r="H1637">
        <v>11</v>
      </c>
      <c r="I1637">
        <v>135.43</v>
      </c>
      <c r="J1637">
        <v>0.15</v>
      </c>
      <c r="K1637">
        <v>1266.27</v>
      </c>
      <c r="M1637" t="str">
        <f t="shared" si="100"/>
        <v>Oct</v>
      </c>
      <c r="N1637">
        <f t="shared" si="101"/>
        <v>10</v>
      </c>
      <c r="O1637">
        <f t="shared" si="102"/>
        <v>1266.2705000000001</v>
      </c>
      <c r="P1637" t="str">
        <f t="shared" si="103"/>
        <v>OK</v>
      </c>
    </row>
    <row r="1638" spans="1:16" x14ac:dyDescent="0.35">
      <c r="A1638" t="s">
        <v>2038</v>
      </c>
      <c r="B1638" s="3">
        <v>45479</v>
      </c>
      <c r="C1638" t="s">
        <v>65</v>
      </c>
      <c r="D1638" t="s">
        <v>2216</v>
      </c>
      <c r="E1638" t="s">
        <v>865</v>
      </c>
      <c r="F1638" t="s">
        <v>53</v>
      </c>
      <c r="G1638" t="s">
        <v>104</v>
      </c>
      <c r="H1638">
        <v>2</v>
      </c>
      <c r="I1638">
        <v>53.28</v>
      </c>
      <c r="J1638">
        <v>0</v>
      </c>
      <c r="K1638">
        <v>106.56</v>
      </c>
      <c r="M1638" t="str">
        <f t="shared" si="100"/>
        <v>Jul</v>
      </c>
      <c r="N1638">
        <f t="shared" si="101"/>
        <v>7</v>
      </c>
      <c r="O1638">
        <f t="shared" si="102"/>
        <v>106.56</v>
      </c>
      <c r="P1638" t="str">
        <f t="shared" si="103"/>
        <v>OK</v>
      </c>
    </row>
    <row r="1639" spans="1:16" x14ac:dyDescent="0.35">
      <c r="A1639" t="s">
        <v>2039</v>
      </c>
      <c r="B1639" s="3">
        <v>45596</v>
      </c>
      <c r="C1639" t="s">
        <v>33</v>
      </c>
      <c r="D1639" t="s">
        <v>57</v>
      </c>
      <c r="E1639" t="s">
        <v>110</v>
      </c>
      <c r="F1639" t="s">
        <v>35</v>
      </c>
      <c r="G1639" t="s">
        <v>67</v>
      </c>
      <c r="H1639">
        <v>10</v>
      </c>
      <c r="I1639">
        <v>14.16</v>
      </c>
      <c r="J1639">
        <v>0.05</v>
      </c>
      <c r="K1639">
        <v>134.52000000000001</v>
      </c>
      <c r="M1639" t="str">
        <f t="shared" si="100"/>
        <v>Oct</v>
      </c>
      <c r="N1639">
        <f t="shared" si="101"/>
        <v>10</v>
      </c>
      <c r="O1639">
        <f t="shared" si="102"/>
        <v>134.51999999999998</v>
      </c>
      <c r="P1639" t="str">
        <f t="shared" si="103"/>
        <v>OK</v>
      </c>
    </row>
    <row r="1640" spans="1:16" x14ac:dyDescent="0.35">
      <c r="A1640" t="s">
        <v>2040</v>
      </c>
      <c r="B1640" s="3">
        <v>45611</v>
      </c>
      <c r="C1640" t="s">
        <v>18</v>
      </c>
      <c r="D1640" t="s">
        <v>19</v>
      </c>
      <c r="E1640" t="s">
        <v>696</v>
      </c>
      <c r="F1640" t="s">
        <v>21</v>
      </c>
      <c r="G1640" t="s">
        <v>167</v>
      </c>
      <c r="H1640">
        <v>6</v>
      </c>
      <c r="I1640">
        <v>164.21</v>
      </c>
      <c r="J1640">
        <v>0.15</v>
      </c>
      <c r="K1640">
        <v>837.47</v>
      </c>
      <c r="M1640" t="str">
        <f t="shared" si="100"/>
        <v>Nov</v>
      </c>
      <c r="N1640">
        <f t="shared" si="101"/>
        <v>11</v>
      </c>
      <c r="O1640">
        <f t="shared" si="102"/>
        <v>837.471</v>
      </c>
      <c r="P1640" t="str">
        <f t="shared" si="103"/>
        <v>OK</v>
      </c>
    </row>
    <row r="1641" spans="1:16" x14ac:dyDescent="0.35">
      <c r="A1641" t="s">
        <v>2041</v>
      </c>
      <c r="B1641" s="3">
        <v>45577</v>
      </c>
      <c r="C1641" t="s">
        <v>33</v>
      </c>
      <c r="D1641" t="s">
        <v>13</v>
      </c>
      <c r="E1641" t="s">
        <v>510</v>
      </c>
      <c r="F1641" t="s">
        <v>21</v>
      </c>
      <c r="G1641" t="s">
        <v>70</v>
      </c>
      <c r="H1641">
        <v>11</v>
      </c>
      <c r="I1641">
        <v>187.8</v>
      </c>
      <c r="J1641">
        <v>0.1</v>
      </c>
      <c r="K1641">
        <v>1859.22</v>
      </c>
      <c r="M1641" t="str">
        <f t="shared" si="100"/>
        <v>Oct</v>
      </c>
      <c r="N1641">
        <f t="shared" si="101"/>
        <v>10</v>
      </c>
      <c r="O1641">
        <f t="shared" si="102"/>
        <v>1859.2200000000003</v>
      </c>
      <c r="P1641" t="str">
        <f t="shared" si="103"/>
        <v>OK</v>
      </c>
    </row>
    <row r="1642" spans="1:16" x14ac:dyDescent="0.35">
      <c r="A1642" t="s">
        <v>2042</v>
      </c>
      <c r="B1642" s="3">
        <v>45580</v>
      </c>
      <c r="C1642" t="s">
        <v>33</v>
      </c>
      <c r="D1642" t="s">
        <v>13</v>
      </c>
      <c r="E1642" t="s">
        <v>100</v>
      </c>
      <c r="F1642" t="s">
        <v>21</v>
      </c>
      <c r="G1642" t="s">
        <v>194</v>
      </c>
      <c r="H1642">
        <v>7</v>
      </c>
      <c r="I1642">
        <v>143.84</v>
      </c>
      <c r="J1642">
        <v>0.15</v>
      </c>
      <c r="K1642">
        <v>855.85</v>
      </c>
      <c r="M1642" t="str">
        <f t="shared" si="100"/>
        <v>Oct</v>
      </c>
      <c r="N1642">
        <f t="shared" si="101"/>
        <v>10</v>
      </c>
      <c r="O1642">
        <f t="shared" si="102"/>
        <v>855.84799999999996</v>
      </c>
      <c r="P1642" t="str">
        <f t="shared" si="103"/>
        <v>OK</v>
      </c>
    </row>
    <row r="1643" spans="1:16" x14ac:dyDescent="0.35">
      <c r="A1643" t="s">
        <v>2044</v>
      </c>
      <c r="B1643" s="3">
        <v>45529</v>
      </c>
      <c r="C1643" t="s">
        <v>18</v>
      </c>
      <c r="D1643" t="s">
        <v>25</v>
      </c>
      <c r="E1643" t="s">
        <v>30</v>
      </c>
      <c r="F1643" t="s">
        <v>35</v>
      </c>
      <c r="G1643" t="s">
        <v>83</v>
      </c>
      <c r="H1643">
        <v>6</v>
      </c>
      <c r="I1643">
        <v>83.85</v>
      </c>
      <c r="J1643">
        <v>0.1</v>
      </c>
      <c r="K1643">
        <v>452.79</v>
      </c>
      <c r="M1643" t="str">
        <f t="shared" si="100"/>
        <v>Aug</v>
      </c>
      <c r="N1643">
        <f t="shared" si="101"/>
        <v>8</v>
      </c>
      <c r="O1643">
        <f t="shared" si="102"/>
        <v>452.78999999999996</v>
      </c>
      <c r="P1643" t="str">
        <f t="shared" si="103"/>
        <v>OK</v>
      </c>
    </row>
    <row r="1644" spans="1:16" x14ac:dyDescent="0.35">
      <c r="A1644" t="s">
        <v>2045</v>
      </c>
      <c r="B1644" s="3">
        <v>45603</v>
      </c>
      <c r="C1644" t="s">
        <v>65</v>
      </c>
      <c r="D1644" t="s">
        <v>19</v>
      </c>
      <c r="E1644" t="s">
        <v>231</v>
      </c>
      <c r="F1644" t="s">
        <v>21</v>
      </c>
      <c r="G1644" t="s">
        <v>70</v>
      </c>
      <c r="H1644">
        <v>12</v>
      </c>
      <c r="I1644">
        <v>179.62</v>
      </c>
      <c r="J1644">
        <v>0.15</v>
      </c>
      <c r="K1644">
        <v>1832.12</v>
      </c>
      <c r="M1644" t="str">
        <f t="shared" si="100"/>
        <v>Nov</v>
      </c>
      <c r="N1644">
        <f t="shared" si="101"/>
        <v>11</v>
      </c>
      <c r="O1644">
        <f t="shared" si="102"/>
        <v>1832.124</v>
      </c>
      <c r="P1644" t="str">
        <f t="shared" si="103"/>
        <v>OK</v>
      </c>
    </row>
    <row r="1645" spans="1:16" x14ac:dyDescent="0.35">
      <c r="A1645" t="s">
        <v>2046</v>
      </c>
      <c r="B1645" s="3">
        <v>45331</v>
      </c>
      <c r="C1645" t="s">
        <v>65</v>
      </c>
      <c r="D1645" t="s">
        <v>42</v>
      </c>
      <c r="E1645" t="s">
        <v>586</v>
      </c>
      <c r="F1645" t="s">
        <v>35</v>
      </c>
      <c r="G1645" t="s">
        <v>134</v>
      </c>
      <c r="H1645">
        <v>4</v>
      </c>
      <c r="I1645">
        <v>66.67</v>
      </c>
      <c r="J1645">
        <v>0.15</v>
      </c>
      <c r="K1645">
        <v>226.68</v>
      </c>
      <c r="M1645" t="str">
        <f t="shared" si="100"/>
        <v>Feb</v>
      </c>
      <c r="N1645">
        <f t="shared" si="101"/>
        <v>2</v>
      </c>
      <c r="O1645">
        <f t="shared" si="102"/>
        <v>226.678</v>
      </c>
      <c r="P1645" t="str">
        <f t="shared" si="103"/>
        <v>OK</v>
      </c>
    </row>
    <row r="1646" spans="1:16" x14ac:dyDescent="0.35">
      <c r="A1646" t="s">
        <v>2047</v>
      </c>
      <c r="B1646" s="3">
        <v>45528</v>
      </c>
      <c r="C1646" t="s">
        <v>33</v>
      </c>
      <c r="D1646" t="s">
        <v>42</v>
      </c>
      <c r="E1646" t="s">
        <v>304</v>
      </c>
      <c r="F1646" t="s">
        <v>44</v>
      </c>
      <c r="G1646" t="s">
        <v>50</v>
      </c>
      <c r="H1646">
        <v>7</v>
      </c>
      <c r="I1646">
        <v>8.5500000000000007</v>
      </c>
      <c r="J1646">
        <v>0.15</v>
      </c>
      <c r="K1646">
        <v>50.87</v>
      </c>
      <c r="M1646" t="str">
        <f t="shared" si="100"/>
        <v>Aug</v>
      </c>
      <c r="N1646">
        <f t="shared" si="101"/>
        <v>8</v>
      </c>
      <c r="O1646">
        <f t="shared" si="102"/>
        <v>50.872500000000009</v>
      </c>
      <c r="P1646" t="str">
        <f t="shared" si="103"/>
        <v>OK</v>
      </c>
    </row>
    <row r="1647" spans="1:16" x14ac:dyDescent="0.35">
      <c r="A1647" t="s">
        <v>2048</v>
      </c>
      <c r="B1647" s="3">
        <v>45445</v>
      </c>
      <c r="C1647" t="s">
        <v>18</v>
      </c>
      <c r="D1647" t="s">
        <v>19</v>
      </c>
      <c r="E1647" t="s">
        <v>288</v>
      </c>
      <c r="F1647" t="s">
        <v>15</v>
      </c>
      <c r="G1647" t="s">
        <v>111</v>
      </c>
      <c r="H1647">
        <v>10</v>
      </c>
      <c r="I1647">
        <v>144.77000000000001</v>
      </c>
      <c r="J1647">
        <v>0</v>
      </c>
      <c r="K1647">
        <v>1447.7</v>
      </c>
      <c r="M1647" t="str">
        <f t="shared" si="100"/>
        <v>Jun</v>
      </c>
      <c r="N1647">
        <f t="shared" si="101"/>
        <v>6</v>
      </c>
      <c r="O1647">
        <f t="shared" si="102"/>
        <v>1447.7</v>
      </c>
      <c r="P1647" t="str">
        <f t="shared" si="103"/>
        <v>OK</v>
      </c>
    </row>
    <row r="1648" spans="1:16" x14ac:dyDescent="0.35">
      <c r="A1648" t="s">
        <v>2049</v>
      </c>
      <c r="B1648" s="3">
        <v>45347</v>
      </c>
      <c r="C1648" t="s">
        <v>65</v>
      </c>
      <c r="D1648" t="s">
        <v>19</v>
      </c>
      <c r="E1648" t="s">
        <v>542</v>
      </c>
      <c r="F1648" t="s">
        <v>44</v>
      </c>
      <c r="G1648" t="s">
        <v>94</v>
      </c>
      <c r="H1648">
        <v>4</v>
      </c>
      <c r="I1648">
        <v>101.75</v>
      </c>
      <c r="J1648">
        <v>0</v>
      </c>
      <c r="K1648">
        <v>407</v>
      </c>
      <c r="M1648" t="str">
        <f t="shared" si="100"/>
        <v>Feb</v>
      </c>
      <c r="N1648">
        <f t="shared" si="101"/>
        <v>2</v>
      </c>
      <c r="O1648">
        <f t="shared" si="102"/>
        <v>407</v>
      </c>
      <c r="P1648" t="str">
        <f t="shared" si="103"/>
        <v>OK</v>
      </c>
    </row>
    <row r="1649" spans="1:16" x14ac:dyDescent="0.35">
      <c r="A1649" t="s">
        <v>2050</v>
      </c>
      <c r="B1649" s="3">
        <v>45369</v>
      </c>
      <c r="C1649" t="s">
        <v>18</v>
      </c>
      <c r="D1649" t="s">
        <v>42</v>
      </c>
      <c r="E1649" t="s">
        <v>415</v>
      </c>
      <c r="F1649" t="s">
        <v>21</v>
      </c>
      <c r="G1649" t="s">
        <v>22</v>
      </c>
      <c r="H1649">
        <v>11</v>
      </c>
      <c r="I1649">
        <v>132.57</v>
      </c>
      <c r="J1649">
        <v>0</v>
      </c>
      <c r="K1649">
        <v>1458.27</v>
      </c>
      <c r="M1649" t="str">
        <f t="shared" si="100"/>
        <v>Mar</v>
      </c>
      <c r="N1649">
        <f t="shared" si="101"/>
        <v>3</v>
      </c>
      <c r="O1649">
        <f t="shared" si="102"/>
        <v>1458.27</v>
      </c>
      <c r="P1649" t="str">
        <f t="shared" si="103"/>
        <v>OK</v>
      </c>
    </row>
    <row r="1650" spans="1:16" x14ac:dyDescent="0.35">
      <c r="A1650" t="s">
        <v>2052</v>
      </c>
      <c r="B1650" s="3">
        <v>45299</v>
      </c>
      <c r="C1650" t="s">
        <v>24</v>
      </c>
      <c r="D1650" t="s">
        <v>25</v>
      </c>
      <c r="E1650" t="s">
        <v>69</v>
      </c>
      <c r="F1650" t="s">
        <v>35</v>
      </c>
      <c r="G1650" t="s">
        <v>177</v>
      </c>
      <c r="H1650">
        <v>9</v>
      </c>
      <c r="I1650">
        <v>230.2</v>
      </c>
      <c r="J1650">
        <v>0</v>
      </c>
      <c r="K1650">
        <v>2071.8000000000002</v>
      </c>
      <c r="M1650" t="str">
        <f t="shared" si="100"/>
        <v>Jan</v>
      </c>
      <c r="N1650">
        <f t="shared" si="101"/>
        <v>1</v>
      </c>
      <c r="O1650">
        <f t="shared" si="102"/>
        <v>2071.7999999999997</v>
      </c>
      <c r="P1650" t="str">
        <f t="shared" si="103"/>
        <v>OK</v>
      </c>
    </row>
    <row r="1651" spans="1:16" x14ac:dyDescent="0.35">
      <c r="A1651" t="s">
        <v>2053</v>
      </c>
      <c r="B1651" s="3">
        <v>45407</v>
      </c>
      <c r="C1651" t="s">
        <v>65</v>
      </c>
      <c r="D1651" t="s">
        <v>19</v>
      </c>
      <c r="E1651" t="s">
        <v>477</v>
      </c>
      <c r="F1651" t="s">
        <v>21</v>
      </c>
      <c r="G1651" t="s">
        <v>129</v>
      </c>
      <c r="H1651">
        <v>12</v>
      </c>
      <c r="I1651">
        <v>193.94</v>
      </c>
      <c r="J1651">
        <v>0</v>
      </c>
      <c r="K1651">
        <v>2327.2800000000002</v>
      </c>
      <c r="M1651" t="str">
        <f t="shared" si="100"/>
        <v>Apr</v>
      </c>
      <c r="N1651">
        <f t="shared" si="101"/>
        <v>4</v>
      </c>
      <c r="O1651">
        <f t="shared" si="102"/>
        <v>2327.2799999999997</v>
      </c>
      <c r="P1651" t="str">
        <f t="shared" si="103"/>
        <v>OK</v>
      </c>
    </row>
    <row r="1652" spans="1:16" x14ac:dyDescent="0.35">
      <c r="A1652" t="s">
        <v>2055</v>
      </c>
      <c r="B1652" s="3">
        <v>45358</v>
      </c>
      <c r="C1652" t="s">
        <v>65</v>
      </c>
      <c r="D1652" t="s">
        <v>42</v>
      </c>
      <c r="E1652" t="s">
        <v>510</v>
      </c>
      <c r="F1652" t="s">
        <v>35</v>
      </c>
      <c r="G1652" t="s">
        <v>36</v>
      </c>
      <c r="H1652">
        <v>4</v>
      </c>
      <c r="I1652">
        <v>187.37</v>
      </c>
      <c r="J1652">
        <v>0.05</v>
      </c>
      <c r="K1652">
        <v>712.01</v>
      </c>
      <c r="M1652" t="str">
        <f t="shared" si="100"/>
        <v>Mar</v>
      </c>
      <c r="N1652">
        <f t="shared" si="101"/>
        <v>3</v>
      </c>
      <c r="O1652">
        <f t="shared" si="102"/>
        <v>712.00599999999997</v>
      </c>
      <c r="P1652" t="str">
        <f t="shared" si="103"/>
        <v>OK</v>
      </c>
    </row>
    <row r="1653" spans="1:16" x14ac:dyDescent="0.35">
      <c r="A1653" t="s">
        <v>2056</v>
      </c>
      <c r="B1653" s="3">
        <v>45538</v>
      </c>
      <c r="C1653" t="s">
        <v>33</v>
      </c>
      <c r="D1653" t="s">
        <v>13</v>
      </c>
      <c r="E1653" t="s">
        <v>357</v>
      </c>
      <c r="F1653" t="s">
        <v>53</v>
      </c>
      <c r="G1653" t="s">
        <v>63</v>
      </c>
      <c r="H1653">
        <v>6</v>
      </c>
      <c r="I1653">
        <v>108.5</v>
      </c>
      <c r="J1653">
        <v>0.1</v>
      </c>
      <c r="K1653">
        <v>585.9</v>
      </c>
      <c r="M1653" t="str">
        <f t="shared" si="100"/>
        <v>Sep</v>
      </c>
      <c r="N1653">
        <f t="shared" si="101"/>
        <v>9</v>
      </c>
      <c r="O1653">
        <f t="shared" si="102"/>
        <v>585.9</v>
      </c>
      <c r="P1653" t="str">
        <f t="shared" si="103"/>
        <v>OK</v>
      </c>
    </row>
    <row r="1654" spans="1:16" x14ac:dyDescent="0.35">
      <c r="A1654" t="s">
        <v>2057</v>
      </c>
      <c r="B1654" s="3">
        <v>45317</v>
      </c>
      <c r="C1654" t="s">
        <v>24</v>
      </c>
      <c r="D1654" t="s">
        <v>25</v>
      </c>
      <c r="E1654" t="s">
        <v>720</v>
      </c>
      <c r="F1654" t="s">
        <v>44</v>
      </c>
      <c r="G1654" t="s">
        <v>86</v>
      </c>
      <c r="H1654">
        <v>1</v>
      </c>
      <c r="I1654">
        <v>236.96</v>
      </c>
      <c r="J1654">
        <v>0</v>
      </c>
      <c r="K1654">
        <v>236.96</v>
      </c>
      <c r="M1654" t="str">
        <f t="shared" si="100"/>
        <v>Jan</v>
      </c>
      <c r="N1654">
        <f t="shared" si="101"/>
        <v>1</v>
      </c>
      <c r="O1654">
        <f t="shared" si="102"/>
        <v>236.96</v>
      </c>
      <c r="P1654" t="str">
        <f t="shared" si="103"/>
        <v>OK</v>
      </c>
    </row>
    <row r="1655" spans="1:16" x14ac:dyDescent="0.35">
      <c r="A1655" t="s">
        <v>1974</v>
      </c>
      <c r="B1655" s="3">
        <v>45460</v>
      </c>
      <c r="C1655" t="s">
        <v>18</v>
      </c>
      <c r="D1655" t="s">
        <v>57</v>
      </c>
      <c r="E1655" t="s">
        <v>62</v>
      </c>
      <c r="F1655" t="s">
        <v>44</v>
      </c>
      <c r="G1655" t="s">
        <v>107</v>
      </c>
      <c r="H1655">
        <v>1</v>
      </c>
      <c r="I1655">
        <v>236.91</v>
      </c>
      <c r="J1655">
        <v>0</v>
      </c>
      <c r="K1655">
        <v>236.91</v>
      </c>
      <c r="M1655" t="str">
        <f t="shared" si="100"/>
        <v>Jun</v>
      </c>
      <c r="N1655">
        <f t="shared" si="101"/>
        <v>6</v>
      </c>
      <c r="O1655">
        <f t="shared" si="102"/>
        <v>236.91</v>
      </c>
      <c r="P1655" t="str">
        <f t="shared" si="103"/>
        <v>OK</v>
      </c>
    </row>
    <row r="1656" spans="1:16" x14ac:dyDescent="0.35">
      <c r="A1656" t="s">
        <v>2058</v>
      </c>
      <c r="B1656" s="3">
        <v>45404</v>
      </c>
      <c r="C1656" t="s">
        <v>33</v>
      </c>
      <c r="D1656" t="s">
        <v>42</v>
      </c>
      <c r="E1656" t="s">
        <v>77</v>
      </c>
      <c r="F1656" t="s">
        <v>44</v>
      </c>
      <c r="G1656" t="s">
        <v>45</v>
      </c>
      <c r="H1656">
        <v>1</v>
      </c>
      <c r="I1656">
        <v>111.78</v>
      </c>
      <c r="J1656">
        <v>0.05</v>
      </c>
      <c r="K1656">
        <v>106.19</v>
      </c>
      <c r="M1656" t="str">
        <f t="shared" si="100"/>
        <v>Apr</v>
      </c>
      <c r="N1656">
        <f t="shared" si="101"/>
        <v>4</v>
      </c>
      <c r="O1656">
        <f t="shared" si="102"/>
        <v>106.191</v>
      </c>
      <c r="P1656" t="str">
        <f t="shared" si="103"/>
        <v>OK</v>
      </c>
    </row>
    <row r="1657" spans="1:16" x14ac:dyDescent="0.35">
      <c r="A1657" t="s">
        <v>2059</v>
      </c>
      <c r="B1657" s="3">
        <v>45363</v>
      </c>
      <c r="C1657" t="s">
        <v>24</v>
      </c>
      <c r="D1657" t="s">
        <v>57</v>
      </c>
      <c r="E1657" t="s">
        <v>404</v>
      </c>
      <c r="F1657" t="s">
        <v>44</v>
      </c>
      <c r="G1657" t="s">
        <v>86</v>
      </c>
      <c r="H1657">
        <v>7</v>
      </c>
      <c r="I1657">
        <v>93.09</v>
      </c>
      <c r="J1657">
        <v>0.1</v>
      </c>
      <c r="K1657">
        <v>586.47</v>
      </c>
      <c r="M1657" t="str">
        <f t="shared" si="100"/>
        <v>Mar</v>
      </c>
      <c r="N1657">
        <f t="shared" si="101"/>
        <v>3</v>
      </c>
      <c r="O1657">
        <f t="shared" si="102"/>
        <v>586.46699999999998</v>
      </c>
      <c r="P1657" t="str">
        <f t="shared" si="103"/>
        <v>OK</v>
      </c>
    </row>
    <row r="1658" spans="1:16" x14ac:dyDescent="0.35">
      <c r="A1658" t="s">
        <v>2060</v>
      </c>
      <c r="B1658" s="3">
        <v>45568</v>
      </c>
      <c r="C1658" t="s">
        <v>41</v>
      </c>
      <c r="D1658" t="s">
        <v>2216</v>
      </c>
      <c r="E1658" t="s">
        <v>542</v>
      </c>
      <c r="F1658" t="s">
        <v>21</v>
      </c>
      <c r="G1658" t="s">
        <v>167</v>
      </c>
      <c r="H1658">
        <v>1</v>
      </c>
      <c r="I1658">
        <v>17.43</v>
      </c>
      <c r="J1658">
        <v>0.05</v>
      </c>
      <c r="K1658">
        <v>16.559999999999999</v>
      </c>
      <c r="M1658" t="str">
        <f t="shared" si="100"/>
        <v>Oct</v>
      </c>
      <c r="N1658">
        <f t="shared" si="101"/>
        <v>10</v>
      </c>
      <c r="O1658">
        <f t="shared" si="102"/>
        <v>16.558499999999999</v>
      </c>
      <c r="P1658" t="str">
        <f t="shared" si="103"/>
        <v>OK</v>
      </c>
    </row>
    <row r="1659" spans="1:16" x14ac:dyDescent="0.35">
      <c r="A1659" t="s">
        <v>2061</v>
      </c>
      <c r="B1659" s="3">
        <v>45608</v>
      </c>
      <c r="C1659" t="s">
        <v>33</v>
      </c>
      <c r="D1659" t="s">
        <v>42</v>
      </c>
      <c r="E1659" t="s">
        <v>142</v>
      </c>
      <c r="F1659" t="s">
        <v>35</v>
      </c>
      <c r="G1659" t="s">
        <v>134</v>
      </c>
      <c r="H1659">
        <v>7</v>
      </c>
      <c r="I1659">
        <v>126.8</v>
      </c>
      <c r="J1659">
        <v>0</v>
      </c>
      <c r="K1659">
        <v>887.6</v>
      </c>
      <c r="M1659" t="str">
        <f t="shared" si="100"/>
        <v>Nov</v>
      </c>
      <c r="N1659">
        <f t="shared" si="101"/>
        <v>11</v>
      </c>
      <c r="O1659">
        <f t="shared" si="102"/>
        <v>887.6</v>
      </c>
      <c r="P1659" t="str">
        <f t="shared" si="103"/>
        <v>OK</v>
      </c>
    </row>
    <row r="1660" spans="1:16" x14ac:dyDescent="0.35">
      <c r="A1660" t="s">
        <v>2062</v>
      </c>
      <c r="B1660" s="3">
        <v>45610</v>
      </c>
      <c r="C1660" t="s">
        <v>41</v>
      </c>
      <c r="D1660" t="s">
        <v>42</v>
      </c>
      <c r="E1660" t="s">
        <v>477</v>
      </c>
      <c r="F1660" t="s">
        <v>44</v>
      </c>
      <c r="G1660" t="s">
        <v>45</v>
      </c>
      <c r="H1660">
        <v>11</v>
      </c>
      <c r="I1660">
        <v>175.29</v>
      </c>
      <c r="J1660">
        <v>0</v>
      </c>
      <c r="K1660">
        <v>1928.19</v>
      </c>
      <c r="M1660" t="str">
        <f t="shared" si="100"/>
        <v>Nov</v>
      </c>
      <c r="N1660">
        <f t="shared" si="101"/>
        <v>11</v>
      </c>
      <c r="O1660">
        <f t="shared" si="102"/>
        <v>1928.1899999999998</v>
      </c>
      <c r="P1660" t="str">
        <f t="shared" si="103"/>
        <v>OK</v>
      </c>
    </row>
    <row r="1661" spans="1:16" x14ac:dyDescent="0.35">
      <c r="A1661" t="s">
        <v>2063</v>
      </c>
      <c r="B1661" s="3">
        <v>45374</v>
      </c>
      <c r="C1661" t="s">
        <v>41</v>
      </c>
      <c r="D1661" t="s">
        <v>19</v>
      </c>
      <c r="E1661" t="s">
        <v>503</v>
      </c>
      <c r="F1661" t="s">
        <v>53</v>
      </c>
      <c r="G1661" t="s">
        <v>54</v>
      </c>
      <c r="H1661">
        <v>9</v>
      </c>
      <c r="I1661">
        <v>179.86</v>
      </c>
      <c r="J1661">
        <v>0</v>
      </c>
      <c r="K1661">
        <v>1618.74</v>
      </c>
      <c r="M1661" t="str">
        <f t="shared" si="100"/>
        <v>Mar</v>
      </c>
      <c r="N1661">
        <f t="shared" si="101"/>
        <v>3</v>
      </c>
      <c r="O1661">
        <f t="shared" si="102"/>
        <v>1618.7400000000002</v>
      </c>
      <c r="P1661" t="str">
        <f t="shared" si="103"/>
        <v>OK</v>
      </c>
    </row>
    <row r="1662" spans="1:16" x14ac:dyDescent="0.35">
      <c r="A1662" t="s">
        <v>2064</v>
      </c>
      <c r="B1662" s="3">
        <v>45360</v>
      </c>
      <c r="C1662" t="s">
        <v>24</v>
      </c>
      <c r="D1662" t="s">
        <v>42</v>
      </c>
      <c r="E1662" t="s">
        <v>180</v>
      </c>
      <c r="F1662" t="s">
        <v>21</v>
      </c>
      <c r="G1662" t="s">
        <v>167</v>
      </c>
      <c r="H1662">
        <v>6</v>
      </c>
      <c r="I1662">
        <v>179.44</v>
      </c>
      <c r="J1662">
        <v>0</v>
      </c>
      <c r="K1662">
        <v>1076.6400000000001</v>
      </c>
      <c r="M1662" t="str">
        <f t="shared" si="100"/>
        <v>Mar</v>
      </c>
      <c r="N1662">
        <f t="shared" si="101"/>
        <v>3</v>
      </c>
      <c r="O1662">
        <f t="shared" si="102"/>
        <v>1076.6399999999999</v>
      </c>
      <c r="P1662" t="str">
        <f t="shared" si="103"/>
        <v>OK</v>
      </c>
    </row>
    <row r="1663" spans="1:16" x14ac:dyDescent="0.35">
      <c r="A1663" t="s">
        <v>2065</v>
      </c>
      <c r="B1663" s="3">
        <v>45537</v>
      </c>
      <c r="C1663" t="s">
        <v>65</v>
      </c>
      <c r="D1663" t="s">
        <v>19</v>
      </c>
      <c r="E1663" t="s">
        <v>185</v>
      </c>
      <c r="F1663" t="s">
        <v>15</v>
      </c>
      <c r="G1663" t="s">
        <v>16</v>
      </c>
      <c r="H1663">
        <v>5</v>
      </c>
      <c r="I1663">
        <v>38.53</v>
      </c>
      <c r="J1663">
        <v>0.05</v>
      </c>
      <c r="K1663">
        <v>183.02</v>
      </c>
      <c r="M1663" t="str">
        <f t="shared" si="100"/>
        <v>Sep</v>
      </c>
      <c r="N1663">
        <f t="shared" si="101"/>
        <v>9</v>
      </c>
      <c r="O1663">
        <f t="shared" si="102"/>
        <v>183.01749999999998</v>
      </c>
      <c r="P1663" t="str">
        <f t="shared" si="103"/>
        <v>OK</v>
      </c>
    </row>
    <row r="1664" spans="1:16" x14ac:dyDescent="0.35">
      <c r="A1664" t="s">
        <v>2066</v>
      </c>
      <c r="B1664" s="3">
        <v>45347</v>
      </c>
      <c r="C1664" t="s">
        <v>65</v>
      </c>
      <c r="D1664" t="s">
        <v>25</v>
      </c>
      <c r="E1664" t="s">
        <v>1159</v>
      </c>
      <c r="F1664" t="s">
        <v>35</v>
      </c>
      <c r="G1664" t="s">
        <v>177</v>
      </c>
      <c r="H1664">
        <v>10</v>
      </c>
      <c r="I1664">
        <v>128.44</v>
      </c>
      <c r="J1664">
        <v>0</v>
      </c>
      <c r="K1664">
        <v>1284.4000000000001</v>
      </c>
      <c r="M1664" t="str">
        <f t="shared" si="100"/>
        <v>Feb</v>
      </c>
      <c r="N1664">
        <f t="shared" si="101"/>
        <v>2</v>
      </c>
      <c r="O1664">
        <f t="shared" si="102"/>
        <v>1284.4000000000001</v>
      </c>
      <c r="P1664" t="str">
        <f t="shared" si="103"/>
        <v>OK</v>
      </c>
    </row>
    <row r="1665" spans="1:16" x14ac:dyDescent="0.35">
      <c r="A1665" t="s">
        <v>2067</v>
      </c>
      <c r="B1665" s="3">
        <v>45637</v>
      </c>
      <c r="C1665" t="s">
        <v>33</v>
      </c>
      <c r="D1665" t="s">
        <v>19</v>
      </c>
      <c r="E1665" t="s">
        <v>847</v>
      </c>
      <c r="F1665" t="s">
        <v>35</v>
      </c>
      <c r="G1665" t="s">
        <v>83</v>
      </c>
      <c r="H1665">
        <v>7</v>
      </c>
      <c r="I1665">
        <v>25.66</v>
      </c>
      <c r="J1665">
        <v>0</v>
      </c>
      <c r="K1665">
        <v>179.62</v>
      </c>
      <c r="M1665" t="str">
        <f t="shared" si="100"/>
        <v>Dec</v>
      </c>
      <c r="N1665">
        <f t="shared" si="101"/>
        <v>12</v>
      </c>
      <c r="O1665">
        <f t="shared" si="102"/>
        <v>179.62</v>
      </c>
      <c r="P1665" t="str">
        <f t="shared" si="103"/>
        <v>OK</v>
      </c>
    </row>
    <row r="1666" spans="1:16" x14ac:dyDescent="0.35">
      <c r="A1666" t="s">
        <v>2068</v>
      </c>
      <c r="B1666" s="3">
        <v>45404</v>
      </c>
      <c r="C1666" t="s">
        <v>41</v>
      </c>
      <c r="D1666" t="s">
        <v>13</v>
      </c>
      <c r="E1666" t="s">
        <v>638</v>
      </c>
      <c r="F1666" t="s">
        <v>53</v>
      </c>
      <c r="G1666" t="s">
        <v>54</v>
      </c>
      <c r="H1666">
        <v>10</v>
      </c>
      <c r="I1666">
        <v>131.9</v>
      </c>
      <c r="J1666">
        <v>0.05</v>
      </c>
      <c r="K1666">
        <v>1253.05</v>
      </c>
      <c r="M1666" t="str">
        <f t="shared" si="100"/>
        <v>Apr</v>
      </c>
      <c r="N1666">
        <f t="shared" si="101"/>
        <v>4</v>
      </c>
      <c r="O1666">
        <f t="shared" si="102"/>
        <v>1253.05</v>
      </c>
      <c r="P1666" t="str">
        <f t="shared" si="103"/>
        <v>OK</v>
      </c>
    </row>
    <row r="1667" spans="1:16" x14ac:dyDescent="0.35">
      <c r="A1667" t="s">
        <v>2069</v>
      </c>
      <c r="B1667" s="3">
        <v>45645</v>
      </c>
      <c r="C1667" t="s">
        <v>33</v>
      </c>
      <c r="D1667" t="s">
        <v>57</v>
      </c>
      <c r="E1667" t="s">
        <v>825</v>
      </c>
      <c r="F1667" t="s">
        <v>15</v>
      </c>
      <c r="G1667" t="s">
        <v>111</v>
      </c>
      <c r="H1667">
        <v>9</v>
      </c>
      <c r="I1667">
        <v>87.31</v>
      </c>
      <c r="J1667">
        <v>0.15</v>
      </c>
      <c r="K1667">
        <v>667.92</v>
      </c>
      <c r="M1667" t="str">
        <f t="shared" ref="M1667:M1730" si="104">TEXT(B1667,"mmm")</f>
        <v>Dec</v>
      </c>
      <c r="N1667">
        <f t="shared" ref="N1667:N1730" si="105">MONTH(B1667)</f>
        <v>12</v>
      </c>
      <c r="O1667">
        <f t="shared" ref="O1667:O1730" si="106">H1667*I1667*(1-J1667)</f>
        <v>667.92149999999992</v>
      </c>
      <c r="P1667" t="str">
        <f t="shared" ref="P1667:P1730" si="107">IF(ROUND(K1667,2)=ROUND(O1667,2),"OK","MISMATCH")</f>
        <v>OK</v>
      </c>
    </row>
    <row r="1668" spans="1:16" x14ac:dyDescent="0.35">
      <c r="A1668" t="s">
        <v>2070</v>
      </c>
      <c r="B1668" s="3">
        <v>45328</v>
      </c>
      <c r="C1668" t="s">
        <v>24</v>
      </c>
      <c r="D1668" t="s">
        <v>19</v>
      </c>
      <c r="E1668" t="s">
        <v>225</v>
      </c>
      <c r="F1668" t="s">
        <v>53</v>
      </c>
      <c r="G1668" t="s">
        <v>104</v>
      </c>
      <c r="H1668">
        <v>10</v>
      </c>
      <c r="I1668">
        <v>151.55000000000001</v>
      </c>
      <c r="J1668">
        <v>0</v>
      </c>
      <c r="K1668">
        <v>1515.5</v>
      </c>
      <c r="M1668" t="str">
        <f t="shared" si="104"/>
        <v>Feb</v>
      </c>
      <c r="N1668">
        <f t="shared" si="105"/>
        <v>2</v>
      </c>
      <c r="O1668">
        <f t="shared" si="106"/>
        <v>1515.5</v>
      </c>
      <c r="P1668" t="str">
        <f t="shared" si="107"/>
        <v>OK</v>
      </c>
    </row>
    <row r="1669" spans="1:16" x14ac:dyDescent="0.35">
      <c r="A1669" t="s">
        <v>2071</v>
      </c>
      <c r="B1669" s="3">
        <v>45507</v>
      </c>
      <c r="C1669" t="s">
        <v>41</v>
      </c>
      <c r="D1669" t="s">
        <v>25</v>
      </c>
      <c r="E1669" t="s">
        <v>238</v>
      </c>
      <c r="F1669" t="s">
        <v>35</v>
      </c>
      <c r="G1669" t="s">
        <v>36</v>
      </c>
      <c r="H1669">
        <v>5</v>
      </c>
      <c r="I1669">
        <v>234.52</v>
      </c>
      <c r="J1669">
        <v>0</v>
      </c>
      <c r="K1669">
        <v>1172.5999999999999</v>
      </c>
      <c r="M1669" t="str">
        <f t="shared" si="104"/>
        <v>Aug</v>
      </c>
      <c r="N1669">
        <f t="shared" si="105"/>
        <v>8</v>
      </c>
      <c r="O1669">
        <f t="shared" si="106"/>
        <v>1172.6000000000001</v>
      </c>
      <c r="P1669" t="str">
        <f t="shared" si="107"/>
        <v>OK</v>
      </c>
    </row>
    <row r="1670" spans="1:16" x14ac:dyDescent="0.35">
      <c r="A1670" t="s">
        <v>1117</v>
      </c>
      <c r="B1670" s="3">
        <v>45349</v>
      </c>
      <c r="C1670" t="s">
        <v>24</v>
      </c>
      <c r="D1670" t="s">
        <v>13</v>
      </c>
      <c r="E1670" t="s">
        <v>293</v>
      </c>
      <c r="F1670" t="s">
        <v>21</v>
      </c>
      <c r="G1670" t="s">
        <v>70</v>
      </c>
      <c r="H1670">
        <v>8</v>
      </c>
      <c r="I1670">
        <v>44.81</v>
      </c>
      <c r="J1670">
        <v>0.15</v>
      </c>
      <c r="K1670">
        <v>304.70999999999998</v>
      </c>
      <c r="M1670" t="str">
        <f t="shared" si="104"/>
        <v>Feb</v>
      </c>
      <c r="N1670">
        <f t="shared" si="105"/>
        <v>2</v>
      </c>
      <c r="O1670">
        <f t="shared" si="106"/>
        <v>304.70800000000003</v>
      </c>
      <c r="P1670" t="str">
        <f t="shared" si="107"/>
        <v>OK</v>
      </c>
    </row>
    <row r="1671" spans="1:16" x14ac:dyDescent="0.35">
      <c r="A1671" t="s">
        <v>2072</v>
      </c>
      <c r="B1671" s="3">
        <v>45315</v>
      </c>
      <c r="C1671" t="s">
        <v>24</v>
      </c>
      <c r="D1671" t="s">
        <v>25</v>
      </c>
      <c r="E1671" t="s">
        <v>185</v>
      </c>
      <c r="F1671" t="s">
        <v>44</v>
      </c>
      <c r="G1671" t="s">
        <v>86</v>
      </c>
      <c r="H1671">
        <v>8</v>
      </c>
      <c r="I1671">
        <v>21.89</v>
      </c>
      <c r="J1671">
        <v>0</v>
      </c>
      <c r="K1671">
        <v>175.12</v>
      </c>
      <c r="M1671" t="str">
        <f t="shared" si="104"/>
        <v>Jan</v>
      </c>
      <c r="N1671">
        <f t="shared" si="105"/>
        <v>1</v>
      </c>
      <c r="O1671">
        <f t="shared" si="106"/>
        <v>175.12</v>
      </c>
      <c r="P1671" t="str">
        <f t="shared" si="107"/>
        <v>OK</v>
      </c>
    </row>
    <row r="1672" spans="1:16" x14ac:dyDescent="0.35">
      <c r="A1672" t="s">
        <v>2073</v>
      </c>
      <c r="B1672" s="3">
        <v>45339</v>
      </c>
      <c r="C1672" t="s">
        <v>24</v>
      </c>
      <c r="D1672" t="s">
        <v>57</v>
      </c>
      <c r="E1672" t="s">
        <v>696</v>
      </c>
      <c r="F1672" t="s">
        <v>15</v>
      </c>
      <c r="G1672" t="s">
        <v>111</v>
      </c>
      <c r="H1672">
        <v>1</v>
      </c>
      <c r="I1672">
        <v>208.19</v>
      </c>
      <c r="J1672">
        <v>0</v>
      </c>
      <c r="K1672">
        <v>208.19</v>
      </c>
      <c r="M1672" t="str">
        <f t="shared" si="104"/>
        <v>Feb</v>
      </c>
      <c r="N1672">
        <f t="shared" si="105"/>
        <v>2</v>
      </c>
      <c r="O1672">
        <f t="shared" si="106"/>
        <v>208.19</v>
      </c>
      <c r="P1672" t="str">
        <f t="shared" si="107"/>
        <v>OK</v>
      </c>
    </row>
    <row r="1673" spans="1:16" x14ac:dyDescent="0.35">
      <c r="A1673" t="s">
        <v>2074</v>
      </c>
      <c r="B1673" s="3">
        <v>45488</v>
      </c>
      <c r="C1673" t="s">
        <v>65</v>
      </c>
      <c r="D1673" t="s">
        <v>19</v>
      </c>
      <c r="E1673" t="s">
        <v>164</v>
      </c>
      <c r="F1673" t="s">
        <v>21</v>
      </c>
      <c r="G1673" t="s">
        <v>129</v>
      </c>
      <c r="H1673">
        <v>3</v>
      </c>
      <c r="I1673">
        <v>65.83</v>
      </c>
      <c r="J1673">
        <v>0</v>
      </c>
      <c r="K1673">
        <v>197.49</v>
      </c>
      <c r="M1673" t="str">
        <f t="shared" si="104"/>
        <v>Jul</v>
      </c>
      <c r="N1673">
        <f t="shared" si="105"/>
        <v>7</v>
      </c>
      <c r="O1673">
        <f t="shared" si="106"/>
        <v>197.49</v>
      </c>
      <c r="P1673" t="str">
        <f t="shared" si="107"/>
        <v>OK</v>
      </c>
    </row>
    <row r="1674" spans="1:16" x14ac:dyDescent="0.35">
      <c r="A1674" t="s">
        <v>2075</v>
      </c>
      <c r="B1674" s="3">
        <v>45639</v>
      </c>
      <c r="C1674" t="s">
        <v>65</v>
      </c>
      <c r="D1674" t="s">
        <v>19</v>
      </c>
      <c r="E1674" t="s">
        <v>590</v>
      </c>
      <c r="F1674" t="s">
        <v>44</v>
      </c>
      <c r="G1674" t="s">
        <v>50</v>
      </c>
      <c r="H1674">
        <v>7</v>
      </c>
      <c r="I1674">
        <v>222.56</v>
      </c>
      <c r="J1674">
        <v>0.1</v>
      </c>
      <c r="K1674">
        <v>1402.13</v>
      </c>
      <c r="M1674" t="str">
        <f t="shared" si="104"/>
        <v>Dec</v>
      </c>
      <c r="N1674">
        <f t="shared" si="105"/>
        <v>12</v>
      </c>
      <c r="O1674">
        <f t="shared" si="106"/>
        <v>1402.1280000000002</v>
      </c>
      <c r="P1674" t="str">
        <f t="shared" si="107"/>
        <v>OK</v>
      </c>
    </row>
    <row r="1675" spans="1:16" x14ac:dyDescent="0.35">
      <c r="A1675" t="s">
        <v>2076</v>
      </c>
      <c r="B1675" s="3">
        <v>45373</v>
      </c>
      <c r="C1675" t="s">
        <v>41</v>
      </c>
      <c r="D1675" t="s">
        <v>25</v>
      </c>
      <c r="E1675" t="s">
        <v>201</v>
      </c>
      <c r="F1675" t="s">
        <v>44</v>
      </c>
      <c r="G1675" t="s">
        <v>86</v>
      </c>
      <c r="H1675">
        <v>8</v>
      </c>
      <c r="I1675">
        <v>145.61000000000001</v>
      </c>
      <c r="J1675">
        <v>0.1</v>
      </c>
      <c r="K1675">
        <v>1048.3900000000001</v>
      </c>
      <c r="M1675" t="str">
        <f t="shared" si="104"/>
        <v>Mar</v>
      </c>
      <c r="N1675">
        <f t="shared" si="105"/>
        <v>3</v>
      </c>
      <c r="O1675">
        <f t="shared" si="106"/>
        <v>1048.3920000000001</v>
      </c>
      <c r="P1675" t="str">
        <f t="shared" si="107"/>
        <v>OK</v>
      </c>
    </row>
    <row r="1676" spans="1:16" x14ac:dyDescent="0.35">
      <c r="A1676" t="s">
        <v>2077</v>
      </c>
      <c r="B1676" s="3">
        <v>45607</v>
      </c>
      <c r="C1676" t="s">
        <v>65</v>
      </c>
      <c r="D1676" t="s">
        <v>42</v>
      </c>
      <c r="E1676" t="s">
        <v>642</v>
      </c>
      <c r="F1676" t="s">
        <v>44</v>
      </c>
      <c r="G1676" t="s">
        <v>107</v>
      </c>
      <c r="H1676">
        <v>5</v>
      </c>
      <c r="I1676">
        <v>235.07</v>
      </c>
      <c r="J1676">
        <v>0</v>
      </c>
      <c r="K1676">
        <v>1175.3499999999999</v>
      </c>
      <c r="M1676" t="str">
        <f t="shared" si="104"/>
        <v>Nov</v>
      </c>
      <c r="N1676">
        <f t="shared" si="105"/>
        <v>11</v>
      </c>
      <c r="O1676">
        <f t="shared" si="106"/>
        <v>1175.3499999999999</v>
      </c>
      <c r="P1676" t="str">
        <f t="shared" si="107"/>
        <v>OK</v>
      </c>
    </row>
    <row r="1677" spans="1:16" x14ac:dyDescent="0.35">
      <c r="A1677" t="s">
        <v>2078</v>
      </c>
      <c r="B1677" s="3">
        <v>45558</v>
      </c>
      <c r="C1677" t="s">
        <v>65</v>
      </c>
      <c r="D1677" t="s">
        <v>19</v>
      </c>
      <c r="E1677" t="s">
        <v>238</v>
      </c>
      <c r="F1677" t="s">
        <v>44</v>
      </c>
      <c r="G1677" t="s">
        <v>45</v>
      </c>
      <c r="H1677">
        <v>4</v>
      </c>
      <c r="I1677">
        <v>33.479999999999997</v>
      </c>
      <c r="J1677">
        <v>0.15</v>
      </c>
      <c r="K1677">
        <v>113.83</v>
      </c>
      <c r="M1677" t="str">
        <f t="shared" si="104"/>
        <v>Sep</v>
      </c>
      <c r="N1677">
        <f t="shared" si="105"/>
        <v>9</v>
      </c>
      <c r="O1677">
        <f t="shared" si="106"/>
        <v>113.83199999999998</v>
      </c>
      <c r="P1677" t="str">
        <f t="shared" si="107"/>
        <v>OK</v>
      </c>
    </row>
    <row r="1678" spans="1:16" x14ac:dyDescent="0.35">
      <c r="A1678" t="s">
        <v>2079</v>
      </c>
      <c r="B1678" s="3">
        <v>45502</v>
      </c>
      <c r="C1678" t="s">
        <v>24</v>
      </c>
      <c r="D1678" t="s">
        <v>2216</v>
      </c>
      <c r="E1678" t="s">
        <v>881</v>
      </c>
      <c r="F1678" t="s">
        <v>15</v>
      </c>
      <c r="G1678" t="s">
        <v>74</v>
      </c>
      <c r="H1678">
        <v>11</v>
      </c>
      <c r="I1678">
        <v>113.54</v>
      </c>
      <c r="J1678">
        <v>0.15</v>
      </c>
      <c r="K1678">
        <v>1061.5999999999999</v>
      </c>
      <c r="M1678" t="str">
        <f t="shared" si="104"/>
        <v>Jul</v>
      </c>
      <c r="N1678">
        <f t="shared" si="105"/>
        <v>7</v>
      </c>
      <c r="O1678">
        <f t="shared" si="106"/>
        <v>1061.5989999999999</v>
      </c>
      <c r="P1678" t="str">
        <f t="shared" si="107"/>
        <v>OK</v>
      </c>
    </row>
    <row r="1679" spans="1:16" x14ac:dyDescent="0.35">
      <c r="A1679" t="s">
        <v>2080</v>
      </c>
      <c r="B1679" s="3">
        <v>45546</v>
      </c>
      <c r="C1679" t="s">
        <v>33</v>
      </c>
      <c r="D1679" t="s">
        <v>13</v>
      </c>
      <c r="E1679" t="s">
        <v>152</v>
      </c>
      <c r="F1679" t="s">
        <v>44</v>
      </c>
      <c r="G1679" t="s">
        <v>94</v>
      </c>
      <c r="H1679">
        <v>9</v>
      </c>
      <c r="I1679">
        <v>210.89</v>
      </c>
      <c r="J1679">
        <v>0</v>
      </c>
      <c r="K1679">
        <v>1898.01</v>
      </c>
      <c r="M1679" t="str">
        <f t="shared" si="104"/>
        <v>Sep</v>
      </c>
      <c r="N1679">
        <f t="shared" si="105"/>
        <v>9</v>
      </c>
      <c r="O1679">
        <f t="shared" si="106"/>
        <v>1898.0099999999998</v>
      </c>
      <c r="P1679" t="str">
        <f t="shared" si="107"/>
        <v>OK</v>
      </c>
    </row>
    <row r="1680" spans="1:16" x14ac:dyDescent="0.35">
      <c r="A1680" t="s">
        <v>2081</v>
      </c>
      <c r="B1680" s="3">
        <v>45643</v>
      </c>
      <c r="C1680" t="s">
        <v>18</v>
      </c>
      <c r="D1680" t="s">
        <v>13</v>
      </c>
      <c r="E1680" t="s">
        <v>217</v>
      </c>
      <c r="F1680" t="s">
        <v>21</v>
      </c>
      <c r="G1680" t="s">
        <v>167</v>
      </c>
      <c r="H1680">
        <v>10</v>
      </c>
      <c r="I1680">
        <v>238.12</v>
      </c>
      <c r="J1680">
        <v>0.15</v>
      </c>
      <c r="K1680">
        <v>2024.02</v>
      </c>
      <c r="M1680" t="str">
        <f t="shared" si="104"/>
        <v>Dec</v>
      </c>
      <c r="N1680">
        <f t="shared" si="105"/>
        <v>12</v>
      </c>
      <c r="O1680">
        <f t="shared" si="106"/>
        <v>2024.0199999999998</v>
      </c>
      <c r="P1680" t="str">
        <f t="shared" si="107"/>
        <v>OK</v>
      </c>
    </row>
    <row r="1681" spans="1:16" x14ac:dyDescent="0.35">
      <c r="A1681" t="s">
        <v>2082</v>
      </c>
      <c r="B1681" s="3">
        <v>45529</v>
      </c>
      <c r="C1681" t="s">
        <v>18</v>
      </c>
      <c r="D1681" t="s">
        <v>13</v>
      </c>
      <c r="E1681" t="s">
        <v>825</v>
      </c>
      <c r="F1681" t="s">
        <v>44</v>
      </c>
      <c r="G1681" t="s">
        <v>107</v>
      </c>
      <c r="H1681">
        <v>8</v>
      </c>
      <c r="I1681">
        <v>237.76</v>
      </c>
      <c r="J1681">
        <v>0.1</v>
      </c>
      <c r="K1681">
        <v>1711.87</v>
      </c>
      <c r="M1681" t="str">
        <f t="shared" si="104"/>
        <v>Aug</v>
      </c>
      <c r="N1681">
        <f t="shared" si="105"/>
        <v>8</v>
      </c>
      <c r="O1681">
        <f t="shared" si="106"/>
        <v>1711.8720000000001</v>
      </c>
      <c r="P1681" t="str">
        <f t="shared" si="107"/>
        <v>OK</v>
      </c>
    </row>
    <row r="1682" spans="1:16" x14ac:dyDescent="0.35">
      <c r="A1682" t="s">
        <v>2083</v>
      </c>
      <c r="B1682" s="3">
        <v>45317</v>
      </c>
      <c r="C1682" t="s">
        <v>24</v>
      </c>
      <c r="D1682" t="s">
        <v>25</v>
      </c>
      <c r="E1682" t="s">
        <v>171</v>
      </c>
      <c r="F1682" t="s">
        <v>21</v>
      </c>
      <c r="G1682" t="s">
        <v>129</v>
      </c>
      <c r="H1682">
        <v>10</v>
      </c>
      <c r="I1682">
        <v>178.53</v>
      </c>
      <c r="J1682">
        <v>0.15</v>
      </c>
      <c r="K1682">
        <v>1517.5</v>
      </c>
      <c r="M1682" t="str">
        <f t="shared" si="104"/>
        <v>Jan</v>
      </c>
      <c r="N1682">
        <f t="shared" si="105"/>
        <v>1</v>
      </c>
      <c r="O1682">
        <f t="shared" si="106"/>
        <v>1517.5049999999999</v>
      </c>
      <c r="P1682" t="str">
        <f t="shared" si="107"/>
        <v>MISMATCH</v>
      </c>
    </row>
    <row r="1683" spans="1:16" x14ac:dyDescent="0.35">
      <c r="A1683" t="s">
        <v>2084</v>
      </c>
      <c r="B1683" s="3">
        <v>45463</v>
      </c>
      <c r="C1683" t="s">
        <v>41</v>
      </c>
      <c r="D1683" t="s">
        <v>19</v>
      </c>
      <c r="E1683" t="s">
        <v>415</v>
      </c>
      <c r="F1683" t="s">
        <v>44</v>
      </c>
      <c r="G1683" t="s">
        <v>50</v>
      </c>
      <c r="H1683">
        <v>4</v>
      </c>
      <c r="I1683">
        <v>35.130000000000003</v>
      </c>
      <c r="J1683">
        <v>0.05</v>
      </c>
      <c r="K1683">
        <v>133.49</v>
      </c>
      <c r="M1683" t="str">
        <f t="shared" si="104"/>
        <v>Jun</v>
      </c>
      <c r="N1683">
        <f t="shared" si="105"/>
        <v>6</v>
      </c>
      <c r="O1683">
        <f t="shared" si="106"/>
        <v>133.494</v>
      </c>
      <c r="P1683" t="str">
        <f t="shared" si="107"/>
        <v>OK</v>
      </c>
    </row>
    <row r="1684" spans="1:16" x14ac:dyDescent="0.35">
      <c r="A1684" t="s">
        <v>2086</v>
      </c>
      <c r="B1684" s="3">
        <v>45646</v>
      </c>
      <c r="C1684" t="s">
        <v>24</v>
      </c>
      <c r="D1684" t="s">
        <v>19</v>
      </c>
      <c r="E1684" t="s">
        <v>117</v>
      </c>
      <c r="F1684" t="s">
        <v>44</v>
      </c>
      <c r="G1684" t="s">
        <v>50</v>
      </c>
      <c r="H1684">
        <v>7</v>
      </c>
      <c r="I1684">
        <v>231.99</v>
      </c>
      <c r="J1684">
        <v>0.05</v>
      </c>
      <c r="K1684">
        <v>1542.73</v>
      </c>
      <c r="M1684" t="str">
        <f t="shared" si="104"/>
        <v>Dec</v>
      </c>
      <c r="N1684">
        <f t="shared" si="105"/>
        <v>12</v>
      </c>
      <c r="O1684">
        <f t="shared" si="106"/>
        <v>1542.7335</v>
      </c>
      <c r="P1684" t="str">
        <f t="shared" si="107"/>
        <v>OK</v>
      </c>
    </row>
    <row r="1685" spans="1:16" x14ac:dyDescent="0.35">
      <c r="A1685" t="s">
        <v>2087</v>
      </c>
      <c r="B1685" s="3">
        <v>45452</v>
      </c>
      <c r="C1685" t="s">
        <v>65</v>
      </c>
      <c r="D1685" t="s">
        <v>25</v>
      </c>
      <c r="E1685" t="s">
        <v>343</v>
      </c>
      <c r="F1685" t="s">
        <v>15</v>
      </c>
      <c r="G1685" t="s">
        <v>147</v>
      </c>
      <c r="H1685">
        <v>6</v>
      </c>
      <c r="I1685">
        <v>223.7</v>
      </c>
      <c r="J1685">
        <v>0.15</v>
      </c>
      <c r="K1685">
        <v>1140.8699999999999</v>
      </c>
      <c r="M1685" t="str">
        <f t="shared" si="104"/>
        <v>Jun</v>
      </c>
      <c r="N1685">
        <f t="shared" si="105"/>
        <v>6</v>
      </c>
      <c r="O1685">
        <f t="shared" si="106"/>
        <v>1140.8699999999999</v>
      </c>
      <c r="P1685" t="str">
        <f t="shared" si="107"/>
        <v>OK</v>
      </c>
    </row>
    <row r="1686" spans="1:16" x14ac:dyDescent="0.35">
      <c r="A1686" t="s">
        <v>2088</v>
      </c>
      <c r="B1686" s="3">
        <v>45293</v>
      </c>
      <c r="C1686" t="s">
        <v>41</v>
      </c>
      <c r="D1686" t="s">
        <v>25</v>
      </c>
      <c r="E1686" t="s">
        <v>663</v>
      </c>
      <c r="F1686" t="s">
        <v>15</v>
      </c>
      <c r="G1686" t="s">
        <v>74</v>
      </c>
      <c r="H1686">
        <v>7</v>
      </c>
      <c r="I1686">
        <v>122.14</v>
      </c>
      <c r="J1686">
        <v>0.15</v>
      </c>
      <c r="K1686">
        <v>726.73</v>
      </c>
      <c r="M1686" t="str">
        <f t="shared" si="104"/>
        <v>Jan</v>
      </c>
      <c r="N1686">
        <f t="shared" si="105"/>
        <v>1</v>
      </c>
      <c r="O1686">
        <f t="shared" si="106"/>
        <v>726.73299999999995</v>
      </c>
      <c r="P1686" t="str">
        <f t="shared" si="107"/>
        <v>OK</v>
      </c>
    </row>
    <row r="1687" spans="1:16" x14ac:dyDescent="0.35">
      <c r="A1687" t="s">
        <v>2089</v>
      </c>
      <c r="B1687" s="3">
        <v>45406</v>
      </c>
      <c r="C1687" t="s">
        <v>33</v>
      </c>
      <c r="D1687" t="s">
        <v>25</v>
      </c>
      <c r="E1687" t="s">
        <v>2217</v>
      </c>
      <c r="F1687" t="s">
        <v>21</v>
      </c>
      <c r="G1687" t="s">
        <v>194</v>
      </c>
      <c r="H1687">
        <v>6</v>
      </c>
      <c r="I1687">
        <v>182.1</v>
      </c>
      <c r="J1687">
        <v>0</v>
      </c>
      <c r="K1687">
        <v>1092.5999999999999</v>
      </c>
      <c r="M1687" t="str">
        <f t="shared" si="104"/>
        <v>Apr</v>
      </c>
      <c r="N1687">
        <f t="shared" si="105"/>
        <v>4</v>
      </c>
      <c r="O1687">
        <f t="shared" si="106"/>
        <v>1092.5999999999999</v>
      </c>
      <c r="P1687" t="str">
        <f t="shared" si="107"/>
        <v>OK</v>
      </c>
    </row>
    <row r="1688" spans="1:16" x14ac:dyDescent="0.35">
      <c r="A1688" t="s">
        <v>2090</v>
      </c>
      <c r="B1688" s="3">
        <v>45589</v>
      </c>
      <c r="C1688" t="s">
        <v>24</v>
      </c>
      <c r="D1688" t="s">
        <v>19</v>
      </c>
      <c r="E1688" t="s">
        <v>415</v>
      </c>
      <c r="F1688" t="s">
        <v>44</v>
      </c>
      <c r="G1688" t="s">
        <v>50</v>
      </c>
      <c r="H1688">
        <v>12</v>
      </c>
      <c r="I1688">
        <v>213.2</v>
      </c>
      <c r="J1688">
        <v>0</v>
      </c>
      <c r="K1688">
        <v>2558.4</v>
      </c>
      <c r="M1688" t="str">
        <f t="shared" si="104"/>
        <v>Oct</v>
      </c>
      <c r="N1688">
        <f t="shared" si="105"/>
        <v>10</v>
      </c>
      <c r="O1688">
        <f t="shared" si="106"/>
        <v>2558.3999999999996</v>
      </c>
      <c r="P1688" t="str">
        <f t="shared" si="107"/>
        <v>OK</v>
      </c>
    </row>
    <row r="1689" spans="1:16" x14ac:dyDescent="0.35">
      <c r="A1689" t="s">
        <v>2091</v>
      </c>
      <c r="B1689" s="3">
        <v>45420</v>
      </c>
      <c r="C1689" t="s">
        <v>65</v>
      </c>
      <c r="D1689" t="s">
        <v>13</v>
      </c>
      <c r="E1689" t="s">
        <v>103</v>
      </c>
      <c r="F1689" t="s">
        <v>21</v>
      </c>
      <c r="G1689" t="s">
        <v>167</v>
      </c>
      <c r="H1689">
        <v>8</v>
      </c>
      <c r="I1689">
        <v>123.9</v>
      </c>
      <c r="J1689">
        <v>0.1</v>
      </c>
      <c r="K1689">
        <v>892.08</v>
      </c>
      <c r="M1689" t="str">
        <f t="shared" si="104"/>
        <v>May</v>
      </c>
      <c r="N1689">
        <f t="shared" si="105"/>
        <v>5</v>
      </c>
      <c r="O1689">
        <f t="shared" si="106"/>
        <v>892.08</v>
      </c>
      <c r="P1689" t="str">
        <f t="shared" si="107"/>
        <v>OK</v>
      </c>
    </row>
    <row r="1690" spans="1:16" x14ac:dyDescent="0.35">
      <c r="A1690" t="s">
        <v>2092</v>
      </c>
      <c r="B1690" s="3">
        <v>45547</v>
      </c>
      <c r="C1690" t="s">
        <v>24</v>
      </c>
      <c r="D1690" t="s">
        <v>19</v>
      </c>
      <c r="E1690" t="s">
        <v>155</v>
      </c>
      <c r="F1690" t="s">
        <v>35</v>
      </c>
      <c r="G1690" t="s">
        <v>134</v>
      </c>
      <c r="H1690">
        <v>10</v>
      </c>
      <c r="I1690">
        <v>17.57</v>
      </c>
      <c r="J1690">
        <v>0</v>
      </c>
      <c r="K1690">
        <v>175.7</v>
      </c>
      <c r="M1690" t="str">
        <f t="shared" si="104"/>
        <v>Sep</v>
      </c>
      <c r="N1690">
        <f t="shared" si="105"/>
        <v>9</v>
      </c>
      <c r="O1690">
        <f t="shared" si="106"/>
        <v>175.7</v>
      </c>
      <c r="P1690" t="str">
        <f t="shared" si="107"/>
        <v>OK</v>
      </c>
    </row>
    <row r="1691" spans="1:16" x14ac:dyDescent="0.35">
      <c r="A1691" t="s">
        <v>2093</v>
      </c>
      <c r="B1691" s="3">
        <v>45334</v>
      </c>
      <c r="C1691" t="s">
        <v>41</v>
      </c>
      <c r="D1691" t="s">
        <v>42</v>
      </c>
      <c r="E1691" t="s">
        <v>771</v>
      </c>
      <c r="F1691" t="s">
        <v>53</v>
      </c>
      <c r="G1691" t="s">
        <v>54</v>
      </c>
      <c r="H1691">
        <v>8</v>
      </c>
      <c r="I1691">
        <v>72.319999999999993</v>
      </c>
      <c r="J1691">
        <v>0.1</v>
      </c>
      <c r="K1691">
        <v>520.70000000000005</v>
      </c>
      <c r="M1691" t="str">
        <f t="shared" si="104"/>
        <v>Feb</v>
      </c>
      <c r="N1691">
        <f t="shared" si="105"/>
        <v>2</v>
      </c>
      <c r="O1691">
        <f t="shared" si="106"/>
        <v>520.70399999999995</v>
      </c>
      <c r="P1691" t="str">
        <f t="shared" si="107"/>
        <v>OK</v>
      </c>
    </row>
    <row r="1692" spans="1:16" x14ac:dyDescent="0.35">
      <c r="A1692" t="s">
        <v>2094</v>
      </c>
      <c r="B1692" s="3">
        <v>45583</v>
      </c>
      <c r="C1692" t="s">
        <v>18</v>
      </c>
      <c r="D1692" t="s">
        <v>25</v>
      </c>
      <c r="E1692" t="s">
        <v>266</v>
      </c>
      <c r="F1692" t="s">
        <v>21</v>
      </c>
      <c r="G1692" t="s">
        <v>194</v>
      </c>
      <c r="H1692">
        <v>1</v>
      </c>
      <c r="I1692">
        <v>104.49</v>
      </c>
      <c r="J1692">
        <v>0</v>
      </c>
      <c r="K1692">
        <v>104.49</v>
      </c>
      <c r="M1692" t="str">
        <f t="shared" si="104"/>
        <v>Oct</v>
      </c>
      <c r="N1692">
        <f t="shared" si="105"/>
        <v>10</v>
      </c>
      <c r="O1692">
        <f t="shared" si="106"/>
        <v>104.49</v>
      </c>
      <c r="P1692" t="str">
        <f t="shared" si="107"/>
        <v>OK</v>
      </c>
    </row>
    <row r="1693" spans="1:16" x14ac:dyDescent="0.35">
      <c r="A1693" t="s">
        <v>2095</v>
      </c>
      <c r="B1693" s="3">
        <v>45430</v>
      </c>
      <c r="C1693" t="s">
        <v>41</v>
      </c>
      <c r="D1693" t="s">
        <v>57</v>
      </c>
      <c r="E1693" t="s">
        <v>69</v>
      </c>
      <c r="F1693" t="s">
        <v>44</v>
      </c>
      <c r="G1693" t="s">
        <v>107</v>
      </c>
      <c r="H1693">
        <v>7</v>
      </c>
      <c r="I1693">
        <v>141.06</v>
      </c>
      <c r="J1693">
        <v>0</v>
      </c>
      <c r="K1693">
        <v>987.42</v>
      </c>
      <c r="M1693" t="str">
        <f t="shared" si="104"/>
        <v>May</v>
      </c>
      <c r="N1693">
        <f t="shared" si="105"/>
        <v>5</v>
      </c>
      <c r="O1693">
        <f t="shared" si="106"/>
        <v>987.42000000000007</v>
      </c>
      <c r="P1693" t="str">
        <f t="shared" si="107"/>
        <v>OK</v>
      </c>
    </row>
    <row r="1694" spans="1:16" x14ac:dyDescent="0.35">
      <c r="A1694" t="s">
        <v>2096</v>
      </c>
      <c r="B1694" s="3">
        <v>45393</v>
      </c>
      <c r="C1694" t="s">
        <v>41</v>
      </c>
      <c r="D1694" t="s">
        <v>19</v>
      </c>
      <c r="E1694" t="s">
        <v>212</v>
      </c>
      <c r="F1694" t="s">
        <v>21</v>
      </c>
      <c r="G1694" t="s">
        <v>70</v>
      </c>
      <c r="H1694">
        <v>2</v>
      </c>
      <c r="I1694">
        <v>134.18</v>
      </c>
      <c r="J1694">
        <v>0.1</v>
      </c>
      <c r="K1694">
        <v>241.52</v>
      </c>
      <c r="M1694" t="str">
        <f t="shared" si="104"/>
        <v>Apr</v>
      </c>
      <c r="N1694">
        <f t="shared" si="105"/>
        <v>4</v>
      </c>
      <c r="O1694">
        <f t="shared" si="106"/>
        <v>241.52400000000003</v>
      </c>
      <c r="P1694" t="str">
        <f t="shared" si="107"/>
        <v>OK</v>
      </c>
    </row>
    <row r="1695" spans="1:16" x14ac:dyDescent="0.35">
      <c r="A1695" t="s">
        <v>2097</v>
      </c>
      <c r="B1695" s="3">
        <v>45487</v>
      </c>
      <c r="C1695" t="s">
        <v>24</v>
      </c>
      <c r="D1695" t="s">
        <v>57</v>
      </c>
      <c r="E1695" t="s">
        <v>14</v>
      </c>
      <c r="F1695" t="s">
        <v>21</v>
      </c>
      <c r="G1695" t="s">
        <v>167</v>
      </c>
      <c r="H1695">
        <v>8</v>
      </c>
      <c r="I1695">
        <v>32.65</v>
      </c>
      <c r="J1695">
        <v>0.05</v>
      </c>
      <c r="K1695">
        <v>248.14</v>
      </c>
      <c r="M1695" t="str">
        <f t="shared" si="104"/>
        <v>Jul</v>
      </c>
      <c r="N1695">
        <f t="shared" si="105"/>
        <v>7</v>
      </c>
      <c r="O1695">
        <f t="shared" si="106"/>
        <v>248.14</v>
      </c>
      <c r="P1695" t="str">
        <f t="shared" si="107"/>
        <v>OK</v>
      </c>
    </row>
    <row r="1696" spans="1:16" x14ac:dyDescent="0.35">
      <c r="A1696" t="s">
        <v>2098</v>
      </c>
      <c r="B1696" s="3">
        <v>45446</v>
      </c>
      <c r="C1696" t="s">
        <v>33</v>
      </c>
      <c r="D1696" t="s">
        <v>19</v>
      </c>
      <c r="E1696" t="s">
        <v>106</v>
      </c>
      <c r="F1696" t="s">
        <v>35</v>
      </c>
      <c r="G1696" t="s">
        <v>177</v>
      </c>
      <c r="H1696">
        <v>7</v>
      </c>
      <c r="I1696">
        <v>47.46</v>
      </c>
      <c r="J1696">
        <v>0.15</v>
      </c>
      <c r="K1696">
        <v>282.39</v>
      </c>
      <c r="M1696" t="str">
        <f t="shared" si="104"/>
        <v>Jun</v>
      </c>
      <c r="N1696">
        <f t="shared" si="105"/>
        <v>6</v>
      </c>
      <c r="O1696">
        <f t="shared" si="106"/>
        <v>282.387</v>
      </c>
      <c r="P1696" t="str">
        <f t="shared" si="107"/>
        <v>OK</v>
      </c>
    </row>
    <row r="1697" spans="1:16" x14ac:dyDescent="0.35">
      <c r="A1697" t="s">
        <v>2099</v>
      </c>
      <c r="B1697" s="3">
        <v>45335</v>
      </c>
      <c r="C1697" t="s">
        <v>24</v>
      </c>
      <c r="D1697" t="s">
        <v>13</v>
      </c>
      <c r="E1697" t="s">
        <v>131</v>
      </c>
      <c r="F1697" t="s">
        <v>15</v>
      </c>
      <c r="G1697" t="s">
        <v>27</v>
      </c>
      <c r="H1697">
        <v>11</v>
      </c>
      <c r="I1697">
        <v>49.21</v>
      </c>
      <c r="J1697">
        <v>0</v>
      </c>
      <c r="K1697">
        <v>541.30999999999995</v>
      </c>
      <c r="M1697" t="str">
        <f t="shared" si="104"/>
        <v>Feb</v>
      </c>
      <c r="N1697">
        <f t="shared" si="105"/>
        <v>2</v>
      </c>
      <c r="O1697">
        <f t="shared" si="106"/>
        <v>541.31000000000006</v>
      </c>
      <c r="P1697" t="str">
        <f t="shared" si="107"/>
        <v>OK</v>
      </c>
    </row>
    <row r="1698" spans="1:16" x14ac:dyDescent="0.35">
      <c r="A1698" t="s">
        <v>2100</v>
      </c>
      <c r="B1698" s="3">
        <v>45311</v>
      </c>
      <c r="C1698" t="s">
        <v>65</v>
      </c>
      <c r="D1698" t="s">
        <v>25</v>
      </c>
      <c r="E1698" t="s">
        <v>299</v>
      </c>
      <c r="F1698" t="s">
        <v>35</v>
      </c>
      <c r="G1698" t="s">
        <v>83</v>
      </c>
      <c r="H1698">
        <v>3</v>
      </c>
      <c r="I1698">
        <v>169.89</v>
      </c>
      <c r="J1698">
        <v>0</v>
      </c>
      <c r="K1698">
        <v>509.67</v>
      </c>
      <c r="M1698" t="str">
        <f t="shared" si="104"/>
        <v>Jan</v>
      </c>
      <c r="N1698">
        <f t="shared" si="105"/>
        <v>1</v>
      </c>
      <c r="O1698">
        <f t="shared" si="106"/>
        <v>509.66999999999996</v>
      </c>
      <c r="P1698" t="str">
        <f t="shared" si="107"/>
        <v>OK</v>
      </c>
    </row>
    <row r="1699" spans="1:16" x14ac:dyDescent="0.35">
      <c r="A1699" t="s">
        <v>2101</v>
      </c>
      <c r="B1699" s="3">
        <v>45403</v>
      </c>
      <c r="C1699" t="s">
        <v>24</v>
      </c>
      <c r="D1699" t="s">
        <v>13</v>
      </c>
      <c r="E1699" t="s">
        <v>133</v>
      </c>
      <c r="F1699" t="s">
        <v>44</v>
      </c>
      <c r="G1699" t="s">
        <v>50</v>
      </c>
      <c r="H1699">
        <v>5</v>
      </c>
      <c r="I1699">
        <v>28.73</v>
      </c>
      <c r="J1699">
        <v>0</v>
      </c>
      <c r="K1699">
        <v>143.65</v>
      </c>
      <c r="M1699" t="str">
        <f t="shared" si="104"/>
        <v>Apr</v>
      </c>
      <c r="N1699">
        <f t="shared" si="105"/>
        <v>4</v>
      </c>
      <c r="O1699">
        <f t="shared" si="106"/>
        <v>143.65</v>
      </c>
      <c r="P1699" t="str">
        <f t="shared" si="107"/>
        <v>OK</v>
      </c>
    </row>
    <row r="1700" spans="1:16" x14ac:dyDescent="0.35">
      <c r="A1700" t="s">
        <v>2102</v>
      </c>
      <c r="B1700" s="3">
        <v>45421</v>
      </c>
      <c r="C1700" t="s">
        <v>24</v>
      </c>
      <c r="D1700" t="s">
        <v>57</v>
      </c>
      <c r="E1700" t="s">
        <v>113</v>
      </c>
      <c r="F1700" t="s">
        <v>53</v>
      </c>
      <c r="G1700" t="s">
        <v>63</v>
      </c>
      <c r="H1700">
        <v>4</v>
      </c>
      <c r="I1700">
        <v>161.44</v>
      </c>
      <c r="J1700">
        <v>0</v>
      </c>
      <c r="K1700">
        <v>645.76</v>
      </c>
      <c r="M1700" t="str">
        <f t="shared" si="104"/>
        <v>May</v>
      </c>
      <c r="N1700">
        <f t="shared" si="105"/>
        <v>5</v>
      </c>
      <c r="O1700">
        <f t="shared" si="106"/>
        <v>645.76</v>
      </c>
      <c r="P1700" t="str">
        <f t="shared" si="107"/>
        <v>OK</v>
      </c>
    </row>
    <row r="1701" spans="1:16" x14ac:dyDescent="0.35">
      <c r="A1701" t="s">
        <v>2103</v>
      </c>
      <c r="B1701" s="3">
        <v>45555</v>
      </c>
      <c r="C1701" t="s">
        <v>24</v>
      </c>
      <c r="D1701" t="s">
        <v>42</v>
      </c>
      <c r="E1701" t="s">
        <v>847</v>
      </c>
      <c r="F1701" t="s">
        <v>35</v>
      </c>
      <c r="G1701" t="s">
        <v>177</v>
      </c>
      <c r="H1701">
        <v>6</v>
      </c>
      <c r="I1701">
        <v>175.2</v>
      </c>
      <c r="J1701">
        <v>0.05</v>
      </c>
      <c r="K1701">
        <v>998.64</v>
      </c>
      <c r="M1701" t="str">
        <f t="shared" si="104"/>
        <v>Sep</v>
      </c>
      <c r="N1701">
        <f t="shared" si="105"/>
        <v>9</v>
      </c>
      <c r="O1701">
        <f t="shared" si="106"/>
        <v>998.63999999999976</v>
      </c>
      <c r="P1701" t="str">
        <f t="shared" si="107"/>
        <v>OK</v>
      </c>
    </row>
    <row r="1702" spans="1:16" x14ac:dyDescent="0.35">
      <c r="A1702" t="s">
        <v>2104</v>
      </c>
      <c r="B1702" s="3">
        <v>45639</v>
      </c>
      <c r="C1702" t="s">
        <v>24</v>
      </c>
      <c r="D1702" t="s">
        <v>42</v>
      </c>
      <c r="E1702" t="s">
        <v>1159</v>
      </c>
      <c r="F1702" t="s">
        <v>53</v>
      </c>
      <c r="G1702" t="s">
        <v>59</v>
      </c>
      <c r="H1702">
        <v>2</v>
      </c>
      <c r="I1702">
        <v>235.11</v>
      </c>
      <c r="J1702">
        <v>0</v>
      </c>
      <c r="K1702">
        <v>470.22</v>
      </c>
      <c r="M1702" t="str">
        <f t="shared" si="104"/>
        <v>Dec</v>
      </c>
      <c r="N1702">
        <f t="shared" si="105"/>
        <v>12</v>
      </c>
      <c r="O1702">
        <f t="shared" si="106"/>
        <v>470.22</v>
      </c>
      <c r="P1702" t="str">
        <f t="shared" si="107"/>
        <v>OK</v>
      </c>
    </row>
    <row r="1703" spans="1:16" x14ac:dyDescent="0.35">
      <c r="A1703" t="s">
        <v>2105</v>
      </c>
      <c r="B1703" s="3">
        <v>45348</v>
      </c>
      <c r="C1703" t="s">
        <v>65</v>
      </c>
      <c r="D1703" t="s">
        <v>25</v>
      </c>
      <c r="E1703" t="s">
        <v>462</v>
      </c>
      <c r="F1703" t="s">
        <v>21</v>
      </c>
      <c r="G1703" t="s">
        <v>129</v>
      </c>
      <c r="H1703">
        <v>4</v>
      </c>
      <c r="I1703">
        <v>143.94</v>
      </c>
      <c r="J1703">
        <v>0</v>
      </c>
      <c r="K1703">
        <v>575.76</v>
      </c>
      <c r="M1703" t="str">
        <f t="shared" si="104"/>
        <v>Feb</v>
      </c>
      <c r="N1703">
        <f t="shared" si="105"/>
        <v>2</v>
      </c>
      <c r="O1703">
        <f t="shared" si="106"/>
        <v>575.76</v>
      </c>
      <c r="P1703" t="str">
        <f t="shared" si="107"/>
        <v>OK</v>
      </c>
    </row>
    <row r="1704" spans="1:16" x14ac:dyDescent="0.35">
      <c r="A1704" t="s">
        <v>2106</v>
      </c>
      <c r="B1704" s="3">
        <v>45485</v>
      </c>
      <c r="C1704" t="s">
        <v>65</v>
      </c>
      <c r="D1704" t="s">
        <v>42</v>
      </c>
      <c r="E1704" t="s">
        <v>454</v>
      </c>
      <c r="F1704" t="s">
        <v>35</v>
      </c>
      <c r="G1704" t="s">
        <v>177</v>
      </c>
      <c r="H1704">
        <v>2</v>
      </c>
      <c r="I1704">
        <v>138.78</v>
      </c>
      <c r="J1704">
        <v>0.05</v>
      </c>
      <c r="K1704">
        <v>263.68</v>
      </c>
      <c r="M1704" t="str">
        <f t="shared" si="104"/>
        <v>Jul</v>
      </c>
      <c r="N1704">
        <f t="shared" si="105"/>
        <v>7</v>
      </c>
      <c r="O1704">
        <f t="shared" si="106"/>
        <v>263.68200000000002</v>
      </c>
      <c r="P1704" t="str">
        <f t="shared" si="107"/>
        <v>OK</v>
      </c>
    </row>
    <row r="1705" spans="1:16" x14ac:dyDescent="0.35">
      <c r="A1705" t="s">
        <v>2107</v>
      </c>
      <c r="B1705" s="3">
        <v>45514</v>
      </c>
      <c r="C1705" t="s">
        <v>33</v>
      </c>
      <c r="D1705" t="s">
        <v>57</v>
      </c>
      <c r="E1705" t="s">
        <v>547</v>
      </c>
      <c r="F1705" t="s">
        <v>35</v>
      </c>
      <c r="G1705" t="s">
        <v>67</v>
      </c>
      <c r="H1705">
        <v>10</v>
      </c>
      <c r="I1705">
        <v>116.08</v>
      </c>
      <c r="J1705">
        <v>0</v>
      </c>
      <c r="K1705">
        <v>1160.8</v>
      </c>
      <c r="M1705" t="str">
        <f t="shared" si="104"/>
        <v>Aug</v>
      </c>
      <c r="N1705">
        <f t="shared" si="105"/>
        <v>8</v>
      </c>
      <c r="O1705">
        <f t="shared" si="106"/>
        <v>1160.8</v>
      </c>
      <c r="P1705" t="str">
        <f t="shared" si="107"/>
        <v>OK</v>
      </c>
    </row>
    <row r="1706" spans="1:16" x14ac:dyDescent="0.35">
      <c r="A1706" t="s">
        <v>2108</v>
      </c>
      <c r="B1706" s="3">
        <v>45410</v>
      </c>
      <c r="C1706" t="s">
        <v>41</v>
      </c>
      <c r="D1706" t="s">
        <v>42</v>
      </c>
      <c r="E1706" t="s">
        <v>751</v>
      </c>
      <c r="F1706" t="s">
        <v>53</v>
      </c>
      <c r="G1706" t="s">
        <v>260</v>
      </c>
      <c r="H1706">
        <v>12</v>
      </c>
      <c r="I1706">
        <v>12.28</v>
      </c>
      <c r="J1706">
        <v>0</v>
      </c>
      <c r="K1706">
        <v>147.36000000000001</v>
      </c>
      <c r="M1706" t="str">
        <f t="shared" si="104"/>
        <v>Apr</v>
      </c>
      <c r="N1706">
        <f t="shared" si="105"/>
        <v>4</v>
      </c>
      <c r="O1706">
        <f t="shared" si="106"/>
        <v>147.35999999999999</v>
      </c>
      <c r="P1706" t="str">
        <f t="shared" si="107"/>
        <v>OK</v>
      </c>
    </row>
    <row r="1707" spans="1:16" x14ac:dyDescent="0.35">
      <c r="A1707" t="s">
        <v>2109</v>
      </c>
      <c r="B1707" s="3">
        <v>45306</v>
      </c>
      <c r="C1707" t="s">
        <v>41</v>
      </c>
      <c r="D1707" t="s">
        <v>13</v>
      </c>
      <c r="E1707" t="s">
        <v>415</v>
      </c>
      <c r="F1707" t="s">
        <v>35</v>
      </c>
      <c r="G1707" t="s">
        <v>67</v>
      </c>
      <c r="H1707">
        <v>5</v>
      </c>
      <c r="I1707">
        <v>200.28</v>
      </c>
      <c r="J1707">
        <v>0.05</v>
      </c>
      <c r="K1707">
        <v>951.33</v>
      </c>
      <c r="M1707" t="str">
        <f t="shared" si="104"/>
        <v>Jan</v>
      </c>
      <c r="N1707">
        <f t="shared" si="105"/>
        <v>1</v>
      </c>
      <c r="O1707">
        <f t="shared" si="106"/>
        <v>951.32999999999993</v>
      </c>
      <c r="P1707" t="str">
        <f t="shared" si="107"/>
        <v>OK</v>
      </c>
    </row>
    <row r="1708" spans="1:16" x14ac:dyDescent="0.35">
      <c r="A1708" t="s">
        <v>2111</v>
      </c>
      <c r="B1708" s="3">
        <v>45300</v>
      </c>
      <c r="C1708" t="s">
        <v>65</v>
      </c>
      <c r="D1708" t="s">
        <v>13</v>
      </c>
      <c r="E1708" t="s">
        <v>847</v>
      </c>
      <c r="F1708" t="s">
        <v>35</v>
      </c>
      <c r="G1708" t="s">
        <v>177</v>
      </c>
      <c r="H1708">
        <v>12</v>
      </c>
      <c r="I1708">
        <v>90.31</v>
      </c>
      <c r="J1708">
        <v>0</v>
      </c>
      <c r="K1708">
        <v>1083.72</v>
      </c>
      <c r="M1708" t="str">
        <f t="shared" si="104"/>
        <v>Jan</v>
      </c>
      <c r="N1708">
        <f t="shared" si="105"/>
        <v>1</v>
      </c>
      <c r="O1708">
        <f t="shared" si="106"/>
        <v>1083.72</v>
      </c>
      <c r="P1708" t="str">
        <f t="shared" si="107"/>
        <v>OK</v>
      </c>
    </row>
    <row r="1709" spans="1:16" x14ac:dyDescent="0.35">
      <c r="A1709" t="s">
        <v>2112</v>
      </c>
      <c r="B1709" s="3">
        <v>45300</v>
      </c>
      <c r="C1709" t="s">
        <v>24</v>
      </c>
      <c r="D1709" t="s">
        <v>25</v>
      </c>
      <c r="E1709" t="s">
        <v>842</v>
      </c>
      <c r="F1709" t="s">
        <v>15</v>
      </c>
      <c r="G1709" t="s">
        <v>111</v>
      </c>
      <c r="H1709">
        <v>12</v>
      </c>
      <c r="I1709">
        <v>126.28</v>
      </c>
      <c r="J1709">
        <v>0.05</v>
      </c>
      <c r="K1709">
        <v>1439.59</v>
      </c>
      <c r="M1709" t="str">
        <f t="shared" si="104"/>
        <v>Jan</v>
      </c>
      <c r="N1709">
        <f t="shared" si="105"/>
        <v>1</v>
      </c>
      <c r="O1709">
        <f t="shared" si="106"/>
        <v>1439.5920000000001</v>
      </c>
      <c r="P1709" t="str">
        <f t="shared" si="107"/>
        <v>OK</v>
      </c>
    </row>
    <row r="1710" spans="1:16" x14ac:dyDescent="0.35">
      <c r="A1710" t="s">
        <v>2113</v>
      </c>
      <c r="B1710" s="3">
        <v>45378</v>
      </c>
      <c r="C1710" t="s">
        <v>41</v>
      </c>
      <c r="D1710" t="s">
        <v>42</v>
      </c>
      <c r="E1710" t="s">
        <v>85</v>
      </c>
      <c r="F1710" t="s">
        <v>44</v>
      </c>
      <c r="G1710" t="s">
        <v>45</v>
      </c>
      <c r="H1710">
        <v>4</v>
      </c>
      <c r="I1710">
        <v>81.739999999999995</v>
      </c>
      <c r="J1710">
        <v>0.15</v>
      </c>
      <c r="K1710">
        <v>277.92</v>
      </c>
      <c r="M1710" t="str">
        <f t="shared" si="104"/>
        <v>Mar</v>
      </c>
      <c r="N1710">
        <f t="shared" si="105"/>
        <v>3</v>
      </c>
      <c r="O1710">
        <f t="shared" si="106"/>
        <v>277.916</v>
      </c>
      <c r="P1710" t="str">
        <f t="shared" si="107"/>
        <v>OK</v>
      </c>
    </row>
    <row r="1711" spans="1:16" x14ac:dyDescent="0.35">
      <c r="A1711" t="s">
        <v>2114</v>
      </c>
      <c r="B1711" s="3">
        <v>45510</v>
      </c>
      <c r="C1711" t="s">
        <v>41</v>
      </c>
      <c r="D1711" t="s">
        <v>42</v>
      </c>
      <c r="E1711" t="s">
        <v>418</v>
      </c>
      <c r="F1711" t="s">
        <v>35</v>
      </c>
      <c r="G1711" t="s">
        <v>36</v>
      </c>
      <c r="H1711">
        <v>8</v>
      </c>
      <c r="I1711">
        <v>125.12</v>
      </c>
      <c r="J1711">
        <v>0</v>
      </c>
      <c r="K1711">
        <v>1000.96</v>
      </c>
      <c r="M1711" t="str">
        <f t="shared" si="104"/>
        <v>Aug</v>
      </c>
      <c r="N1711">
        <f t="shared" si="105"/>
        <v>8</v>
      </c>
      <c r="O1711">
        <f t="shared" si="106"/>
        <v>1000.96</v>
      </c>
      <c r="P1711" t="str">
        <f t="shared" si="107"/>
        <v>OK</v>
      </c>
    </row>
    <row r="1712" spans="1:16" x14ac:dyDescent="0.35">
      <c r="A1712" t="s">
        <v>2115</v>
      </c>
      <c r="B1712" s="3">
        <v>45484</v>
      </c>
      <c r="C1712" t="s">
        <v>33</v>
      </c>
      <c r="D1712" t="s">
        <v>13</v>
      </c>
      <c r="E1712" t="s">
        <v>825</v>
      </c>
      <c r="F1712" t="s">
        <v>15</v>
      </c>
      <c r="G1712" t="s">
        <v>27</v>
      </c>
      <c r="H1712">
        <v>9</v>
      </c>
      <c r="I1712">
        <v>195.6</v>
      </c>
      <c r="J1712">
        <v>0</v>
      </c>
      <c r="K1712">
        <v>1760.4</v>
      </c>
      <c r="M1712" t="str">
        <f t="shared" si="104"/>
        <v>Jul</v>
      </c>
      <c r="N1712">
        <f t="shared" si="105"/>
        <v>7</v>
      </c>
      <c r="O1712">
        <f t="shared" si="106"/>
        <v>1760.3999999999999</v>
      </c>
      <c r="P1712" t="str">
        <f t="shared" si="107"/>
        <v>OK</v>
      </c>
    </row>
    <row r="1713" spans="1:16" x14ac:dyDescent="0.35">
      <c r="A1713" t="s">
        <v>2116</v>
      </c>
      <c r="B1713" s="3">
        <v>45365</v>
      </c>
      <c r="C1713" t="s">
        <v>65</v>
      </c>
      <c r="D1713" t="s">
        <v>19</v>
      </c>
      <c r="E1713" t="s">
        <v>659</v>
      </c>
      <c r="F1713" t="s">
        <v>15</v>
      </c>
      <c r="G1713" t="s">
        <v>16</v>
      </c>
      <c r="H1713">
        <v>9</v>
      </c>
      <c r="I1713">
        <v>206.42</v>
      </c>
      <c r="J1713">
        <v>0.15</v>
      </c>
      <c r="K1713">
        <v>1579.11</v>
      </c>
      <c r="M1713" t="str">
        <f t="shared" si="104"/>
        <v>Mar</v>
      </c>
      <c r="N1713">
        <f t="shared" si="105"/>
        <v>3</v>
      </c>
      <c r="O1713">
        <f t="shared" si="106"/>
        <v>1579.1129999999998</v>
      </c>
      <c r="P1713" t="str">
        <f t="shared" si="107"/>
        <v>OK</v>
      </c>
    </row>
    <row r="1714" spans="1:16" x14ac:dyDescent="0.35">
      <c r="A1714" t="s">
        <v>2117</v>
      </c>
      <c r="B1714" s="3">
        <v>45547</v>
      </c>
      <c r="C1714" t="s">
        <v>33</v>
      </c>
      <c r="D1714" t="s">
        <v>57</v>
      </c>
      <c r="E1714" t="s">
        <v>160</v>
      </c>
      <c r="F1714" t="s">
        <v>21</v>
      </c>
      <c r="G1714" t="s">
        <v>70</v>
      </c>
      <c r="H1714">
        <v>7</v>
      </c>
      <c r="I1714">
        <v>88.26</v>
      </c>
      <c r="J1714">
        <v>0.05</v>
      </c>
      <c r="K1714">
        <v>586.92999999999995</v>
      </c>
      <c r="M1714" t="str">
        <f t="shared" si="104"/>
        <v>Sep</v>
      </c>
      <c r="N1714">
        <f t="shared" si="105"/>
        <v>9</v>
      </c>
      <c r="O1714">
        <f t="shared" si="106"/>
        <v>586.92899999999997</v>
      </c>
      <c r="P1714" t="str">
        <f t="shared" si="107"/>
        <v>OK</v>
      </c>
    </row>
    <row r="1715" spans="1:16" x14ac:dyDescent="0.35">
      <c r="A1715" t="s">
        <v>386</v>
      </c>
      <c r="B1715" s="3">
        <v>45504</v>
      </c>
      <c r="C1715" t="s">
        <v>18</v>
      </c>
      <c r="D1715" t="s">
        <v>57</v>
      </c>
      <c r="E1715" t="s">
        <v>133</v>
      </c>
      <c r="F1715" t="s">
        <v>21</v>
      </c>
      <c r="G1715" t="s">
        <v>194</v>
      </c>
      <c r="H1715">
        <v>8</v>
      </c>
      <c r="I1715">
        <v>86.07</v>
      </c>
      <c r="J1715">
        <v>0.05</v>
      </c>
      <c r="K1715">
        <v>654.13</v>
      </c>
      <c r="M1715" t="str">
        <f t="shared" si="104"/>
        <v>Jul</v>
      </c>
      <c r="N1715">
        <f t="shared" si="105"/>
        <v>7</v>
      </c>
      <c r="O1715">
        <f t="shared" si="106"/>
        <v>654.13199999999995</v>
      </c>
      <c r="P1715" t="str">
        <f t="shared" si="107"/>
        <v>OK</v>
      </c>
    </row>
    <row r="1716" spans="1:16" x14ac:dyDescent="0.35">
      <c r="A1716" t="s">
        <v>2118</v>
      </c>
      <c r="B1716" s="3">
        <v>45371</v>
      </c>
      <c r="C1716" t="s">
        <v>65</v>
      </c>
      <c r="D1716" t="s">
        <v>19</v>
      </c>
      <c r="E1716" t="s">
        <v>229</v>
      </c>
      <c r="F1716" t="s">
        <v>35</v>
      </c>
      <c r="G1716" t="s">
        <v>67</v>
      </c>
      <c r="H1716">
        <v>12</v>
      </c>
      <c r="I1716">
        <v>51.18</v>
      </c>
      <c r="J1716">
        <v>0</v>
      </c>
      <c r="K1716">
        <v>614.16</v>
      </c>
      <c r="M1716" t="str">
        <f t="shared" si="104"/>
        <v>Mar</v>
      </c>
      <c r="N1716">
        <f t="shared" si="105"/>
        <v>3</v>
      </c>
      <c r="O1716">
        <f t="shared" si="106"/>
        <v>614.16</v>
      </c>
      <c r="P1716" t="str">
        <f t="shared" si="107"/>
        <v>OK</v>
      </c>
    </row>
    <row r="1717" spans="1:16" x14ac:dyDescent="0.35">
      <c r="A1717" t="s">
        <v>413</v>
      </c>
      <c r="B1717" s="3">
        <v>45611</v>
      </c>
      <c r="C1717" t="s">
        <v>41</v>
      </c>
      <c r="D1717" t="s">
        <v>19</v>
      </c>
      <c r="E1717" t="s">
        <v>388</v>
      </c>
      <c r="F1717" t="s">
        <v>44</v>
      </c>
      <c r="G1717" t="s">
        <v>107</v>
      </c>
      <c r="H1717">
        <v>10</v>
      </c>
      <c r="I1717">
        <v>98.32</v>
      </c>
      <c r="J1717">
        <v>0.1</v>
      </c>
      <c r="K1717">
        <v>884.88</v>
      </c>
      <c r="M1717" t="str">
        <f t="shared" si="104"/>
        <v>Nov</v>
      </c>
      <c r="N1717">
        <f t="shared" si="105"/>
        <v>11</v>
      </c>
      <c r="O1717">
        <f t="shared" si="106"/>
        <v>884.88</v>
      </c>
      <c r="P1717" t="str">
        <f t="shared" si="107"/>
        <v>OK</v>
      </c>
    </row>
    <row r="1718" spans="1:16" x14ac:dyDescent="0.35">
      <c r="A1718" t="s">
        <v>2119</v>
      </c>
      <c r="B1718" s="3">
        <v>45428</v>
      </c>
      <c r="C1718" t="s">
        <v>18</v>
      </c>
      <c r="D1718" t="s">
        <v>57</v>
      </c>
      <c r="E1718" t="s">
        <v>720</v>
      </c>
      <c r="F1718" t="s">
        <v>21</v>
      </c>
      <c r="G1718" t="s">
        <v>194</v>
      </c>
      <c r="H1718">
        <v>2</v>
      </c>
      <c r="I1718">
        <v>106.63</v>
      </c>
      <c r="J1718">
        <v>0</v>
      </c>
      <c r="K1718">
        <v>213.26</v>
      </c>
      <c r="M1718" t="str">
        <f t="shared" si="104"/>
        <v>May</v>
      </c>
      <c r="N1718">
        <f t="shared" si="105"/>
        <v>5</v>
      </c>
      <c r="O1718">
        <f t="shared" si="106"/>
        <v>213.26</v>
      </c>
      <c r="P1718" t="str">
        <f t="shared" si="107"/>
        <v>OK</v>
      </c>
    </row>
    <row r="1719" spans="1:16" x14ac:dyDescent="0.35">
      <c r="A1719" t="s">
        <v>2120</v>
      </c>
      <c r="B1719" s="3">
        <v>45524</v>
      </c>
      <c r="C1719" t="s">
        <v>41</v>
      </c>
      <c r="D1719" t="s">
        <v>19</v>
      </c>
      <c r="E1719" t="s">
        <v>62</v>
      </c>
      <c r="F1719" t="s">
        <v>21</v>
      </c>
      <c r="G1719" t="s">
        <v>194</v>
      </c>
      <c r="H1719">
        <v>12</v>
      </c>
      <c r="I1719">
        <v>108.64</v>
      </c>
      <c r="J1719">
        <v>0.1</v>
      </c>
      <c r="K1719">
        <v>1173.31</v>
      </c>
      <c r="M1719" t="str">
        <f t="shared" si="104"/>
        <v>Aug</v>
      </c>
      <c r="N1719">
        <f t="shared" si="105"/>
        <v>8</v>
      </c>
      <c r="O1719">
        <f t="shared" si="106"/>
        <v>1173.3120000000001</v>
      </c>
      <c r="P1719" t="str">
        <f t="shared" si="107"/>
        <v>OK</v>
      </c>
    </row>
    <row r="1720" spans="1:16" x14ac:dyDescent="0.35">
      <c r="A1720" t="s">
        <v>2121</v>
      </c>
      <c r="B1720" s="3">
        <v>45468</v>
      </c>
      <c r="C1720" t="s">
        <v>33</v>
      </c>
      <c r="D1720" t="s">
        <v>19</v>
      </c>
      <c r="E1720" t="s">
        <v>506</v>
      </c>
      <c r="F1720" t="s">
        <v>35</v>
      </c>
      <c r="G1720" t="s">
        <v>67</v>
      </c>
      <c r="H1720">
        <v>10</v>
      </c>
      <c r="I1720">
        <v>199.2</v>
      </c>
      <c r="J1720">
        <v>0</v>
      </c>
      <c r="K1720">
        <v>1992</v>
      </c>
      <c r="M1720" t="str">
        <f t="shared" si="104"/>
        <v>Jun</v>
      </c>
      <c r="N1720">
        <f t="shared" si="105"/>
        <v>6</v>
      </c>
      <c r="O1720">
        <f t="shared" si="106"/>
        <v>1992</v>
      </c>
      <c r="P1720" t="str">
        <f t="shared" si="107"/>
        <v>OK</v>
      </c>
    </row>
    <row r="1721" spans="1:16" x14ac:dyDescent="0.35">
      <c r="A1721" t="s">
        <v>2122</v>
      </c>
      <c r="B1721" s="3">
        <v>45647</v>
      </c>
      <c r="C1721" t="s">
        <v>41</v>
      </c>
      <c r="D1721" t="s">
        <v>13</v>
      </c>
      <c r="E1721" t="s">
        <v>334</v>
      </c>
      <c r="F1721" t="s">
        <v>53</v>
      </c>
      <c r="G1721" t="s">
        <v>260</v>
      </c>
      <c r="H1721">
        <v>6</v>
      </c>
      <c r="I1721">
        <v>136.74</v>
      </c>
      <c r="J1721">
        <v>0</v>
      </c>
      <c r="K1721">
        <v>820.44</v>
      </c>
      <c r="M1721" t="str">
        <f t="shared" si="104"/>
        <v>Dec</v>
      </c>
      <c r="N1721">
        <f t="shared" si="105"/>
        <v>12</v>
      </c>
      <c r="O1721">
        <f t="shared" si="106"/>
        <v>820.44</v>
      </c>
      <c r="P1721" t="str">
        <f t="shared" si="107"/>
        <v>OK</v>
      </c>
    </row>
    <row r="1722" spans="1:16" x14ac:dyDescent="0.35">
      <c r="A1722" t="s">
        <v>2123</v>
      </c>
      <c r="B1722" s="3">
        <v>45548</v>
      </c>
      <c r="C1722" t="s">
        <v>41</v>
      </c>
      <c r="D1722" t="s">
        <v>19</v>
      </c>
      <c r="E1722" t="s">
        <v>221</v>
      </c>
      <c r="F1722" t="s">
        <v>21</v>
      </c>
      <c r="G1722" t="s">
        <v>194</v>
      </c>
      <c r="H1722">
        <v>3</v>
      </c>
      <c r="I1722">
        <v>153.13</v>
      </c>
      <c r="J1722">
        <v>0.15</v>
      </c>
      <c r="K1722">
        <v>390.48</v>
      </c>
      <c r="M1722" t="str">
        <f t="shared" si="104"/>
        <v>Sep</v>
      </c>
      <c r="N1722">
        <f t="shared" si="105"/>
        <v>9</v>
      </c>
      <c r="O1722">
        <f t="shared" si="106"/>
        <v>390.48149999999998</v>
      </c>
      <c r="P1722" t="str">
        <f t="shared" si="107"/>
        <v>OK</v>
      </c>
    </row>
    <row r="1723" spans="1:16" x14ac:dyDescent="0.35">
      <c r="A1723" t="s">
        <v>2124</v>
      </c>
      <c r="B1723" s="3">
        <v>45445</v>
      </c>
      <c r="C1723" t="s">
        <v>41</v>
      </c>
      <c r="D1723" t="s">
        <v>19</v>
      </c>
      <c r="E1723" t="s">
        <v>315</v>
      </c>
      <c r="F1723" t="s">
        <v>35</v>
      </c>
      <c r="G1723" t="s">
        <v>177</v>
      </c>
      <c r="H1723">
        <v>10</v>
      </c>
      <c r="I1723">
        <v>64.41</v>
      </c>
      <c r="J1723">
        <v>0.05</v>
      </c>
      <c r="K1723">
        <v>611.89</v>
      </c>
      <c r="M1723" t="str">
        <f t="shared" si="104"/>
        <v>Jun</v>
      </c>
      <c r="N1723">
        <f t="shared" si="105"/>
        <v>6</v>
      </c>
      <c r="O1723">
        <f t="shared" si="106"/>
        <v>611.89499999999987</v>
      </c>
      <c r="P1723" t="str">
        <f t="shared" si="107"/>
        <v>MISMATCH</v>
      </c>
    </row>
    <row r="1724" spans="1:16" x14ac:dyDescent="0.35">
      <c r="A1724" t="s">
        <v>2125</v>
      </c>
      <c r="B1724" s="3">
        <v>45473</v>
      </c>
      <c r="C1724" t="s">
        <v>65</v>
      </c>
      <c r="D1724" t="s">
        <v>57</v>
      </c>
      <c r="E1724" t="s">
        <v>865</v>
      </c>
      <c r="F1724" t="s">
        <v>15</v>
      </c>
      <c r="G1724" t="s">
        <v>147</v>
      </c>
      <c r="H1724">
        <v>7</v>
      </c>
      <c r="I1724">
        <v>56.96</v>
      </c>
      <c r="J1724">
        <v>0.1</v>
      </c>
      <c r="K1724">
        <v>358.85</v>
      </c>
      <c r="M1724" t="str">
        <f t="shared" si="104"/>
        <v>Jun</v>
      </c>
      <c r="N1724">
        <f t="shared" si="105"/>
        <v>6</v>
      </c>
      <c r="O1724">
        <f t="shared" si="106"/>
        <v>358.84800000000001</v>
      </c>
      <c r="P1724" t="str">
        <f t="shared" si="107"/>
        <v>OK</v>
      </c>
    </row>
    <row r="1725" spans="1:16" x14ac:dyDescent="0.35">
      <c r="A1725" t="s">
        <v>2126</v>
      </c>
      <c r="B1725" s="3">
        <v>45615</v>
      </c>
      <c r="C1725" t="s">
        <v>24</v>
      </c>
      <c r="D1725" t="s">
        <v>19</v>
      </c>
      <c r="E1725" t="s">
        <v>217</v>
      </c>
      <c r="F1725" t="s">
        <v>15</v>
      </c>
      <c r="G1725" t="s">
        <v>111</v>
      </c>
      <c r="H1725">
        <v>9</v>
      </c>
      <c r="I1725">
        <v>148.36000000000001</v>
      </c>
      <c r="J1725">
        <v>0</v>
      </c>
      <c r="K1725">
        <v>1335.24</v>
      </c>
      <c r="M1725" t="str">
        <f t="shared" si="104"/>
        <v>Nov</v>
      </c>
      <c r="N1725">
        <f t="shared" si="105"/>
        <v>11</v>
      </c>
      <c r="O1725">
        <f t="shared" si="106"/>
        <v>1335.2400000000002</v>
      </c>
      <c r="P1725" t="str">
        <f t="shared" si="107"/>
        <v>OK</v>
      </c>
    </row>
    <row r="1726" spans="1:16" x14ac:dyDescent="0.35">
      <c r="A1726" t="s">
        <v>2128</v>
      </c>
      <c r="B1726" s="3">
        <v>45440</v>
      </c>
      <c r="C1726" t="s">
        <v>33</v>
      </c>
      <c r="D1726" t="s">
        <v>25</v>
      </c>
      <c r="E1726" t="s">
        <v>547</v>
      </c>
      <c r="F1726" t="s">
        <v>53</v>
      </c>
      <c r="G1726" t="s">
        <v>59</v>
      </c>
      <c r="H1726">
        <v>11</v>
      </c>
      <c r="I1726">
        <v>164.22</v>
      </c>
      <c r="J1726">
        <v>0</v>
      </c>
      <c r="K1726">
        <v>1806.42</v>
      </c>
      <c r="M1726" t="str">
        <f t="shared" si="104"/>
        <v>May</v>
      </c>
      <c r="N1726">
        <f t="shared" si="105"/>
        <v>5</v>
      </c>
      <c r="O1726">
        <f t="shared" si="106"/>
        <v>1806.42</v>
      </c>
      <c r="P1726" t="str">
        <f t="shared" si="107"/>
        <v>OK</v>
      </c>
    </row>
    <row r="1727" spans="1:16" x14ac:dyDescent="0.35">
      <c r="A1727" t="s">
        <v>2129</v>
      </c>
      <c r="B1727" s="3">
        <v>45304</v>
      </c>
      <c r="C1727" t="s">
        <v>41</v>
      </c>
      <c r="D1727" t="s">
        <v>25</v>
      </c>
      <c r="E1727" t="s">
        <v>659</v>
      </c>
      <c r="F1727" t="s">
        <v>15</v>
      </c>
      <c r="G1727" t="s">
        <v>74</v>
      </c>
      <c r="H1727">
        <v>3</v>
      </c>
      <c r="I1727">
        <v>83.05</v>
      </c>
      <c r="J1727">
        <v>0</v>
      </c>
      <c r="K1727">
        <v>249.15</v>
      </c>
      <c r="M1727" t="str">
        <f t="shared" si="104"/>
        <v>Jan</v>
      </c>
      <c r="N1727">
        <f t="shared" si="105"/>
        <v>1</v>
      </c>
      <c r="O1727">
        <f t="shared" si="106"/>
        <v>249.14999999999998</v>
      </c>
      <c r="P1727" t="str">
        <f t="shared" si="107"/>
        <v>OK</v>
      </c>
    </row>
    <row r="1728" spans="1:16" x14ac:dyDescent="0.35">
      <c r="A1728" t="s">
        <v>2130</v>
      </c>
      <c r="B1728" s="3">
        <v>45316</v>
      </c>
      <c r="C1728" t="s">
        <v>33</v>
      </c>
      <c r="D1728" t="s">
        <v>42</v>
      </c>
      <c r="E1728" t="s">
        <v>189</v>
      </c>
      <c r="F1728" t="s">
        <v>21</v>
      </c>
      <c r="G1728" t="s">
        <v>70</v>
      </c>
      <c r="H1728">
        <v>2</v>
      </c>
      <c r="I1728">
        <v>74.02</v>
      </c>
      <c r="J1728">
        <v>0.05</v>
      </c>
      <c r="K1728">
        <v>140.63999999999999</v>
      </c>
      <c r="M1728" t="str">
        <f t="shared" si="104"/>
        <v>Jan</v>
      </c>
      <c r="N1728">
        <f t="shared" si="105"/>
        <v>1</v>
      </c>
      <c r="O1728">
        <f t="shared" si="106"/>
        <v>140.63799999999998</v>
      </c>
      <c r="P1728" t="str">
        <f t="shared" si="107"/>
        <v>OK</v>
      </c>
    </row>
    <row r="1729" spans="1:16" x14ac:dyDescent="0.35">
      <c r="A1729" t="s">
        <v>2131</v>
      </c>
      <c r="B1729" s="3">
        <v>45428</v>
      </c>
      <c r="C1729" t="s">
        <v>18</v>
      </c>
      <c r="D1729" t="s">
        <v>13</v>
      </c>
      <c r="E1729" t="s">
        <v>663</v>
      </c>
      <c r="F1729" t="s">
        <v>53</v>
      </c>
      <c r="G1729" t="s">
        <v>125</v>
      </c>
      <c r="H1729">
        <v>2</v>
      </c>
      <c r="I1729">
        <v>197.91</v>
      </c>
      <c r="J1729">
        <v>0.05</v>
      </c>
      <c r="K1729">
        <v>376.03</v>
      </c>
      <c r="M1729" t="str">
        <f t="shared" si="104"/>
        <v>May</v>
      </c>
      <c r="N1729">
        <f t="shared" si="105"/>
        <v>5</v>
      </c>
      <c r="O1729">
        <f t="shared" si="106"/>
        <v>376.029</v>
      </c>
      <c r="P1729" t="str">
        <f t="shared" si="107"/>
        <v>OK</v>
      </c>
    </row>
    <row r="1730" spans="1:16" x14ac:dyDescent="0.35">
      <c r="A1730" t="s">
        <v>2132</v>
      </c>
      <c r="B1730" s="3">
        <v>45382</v>
      </c>
      <c r="C1730" t="s">
        <v>41</v>
      </c>
      <c r="D1730" t="s">
        <v>25</v>
      </c>
      <c r="E1730" t="s">
        <v>711</v>
      </c>
      <c r="F1730" t="s">
        <v>15</v>
      </c>
      <c r="G1730" t="s">
        <v>27</v>
      </c>
      <c r="H1730">
        <v>10</v>
      </c>
      <c r="I1730">
        <v>207.49</v>
      </c>
      <c r="J1730">
        <v>0.05</v>
      </c>
      <c r="K1730">
        <v>1971.15</v>
      </c>
      <c r="M1730" t="str">
        <f t="shared" si="104"/>
        <v>Mar</v>
      </c>
      <c r="N1730">
        <f t="shared" si="105"/>
        <v>3</v>
      </c>
      <c r="O1730">
        <f t="shared" si="106"/>
        <v>1971.155</v>
      </c>
      <c r="P1730" t="str">
        <f t="shared" si="107"/>
        <v>MISMATCH</v>
      </c>
    </row>
    <row r="1731" spans="1:16" x14ac:dyDescent="0.35">
      <c r="A1731" t="s">
        <v>2133</v>
      </c>
      <c r="B1731" s="3">
        <v>45495</v>
      </c>
      <c r="C1731" t="s">
        <v>24</v>
      </c>
      <c r="D1731" t="s">
        <v>13</v>
      </c>
      <c r="E1731" t="s">
        <v>334</v>
      </c>
      <c r="F1731" t="s">
        <v>53</v>
      </c>
      <c r="G1731" t="s">
        <v>104</v>
      </c>
      <c r="H1731">
        <v>1</v>
      </c>
      <c r="I1731">
        <v>89.02</v>
      </c>
      <c r="J1731">
        <v>0.1</v>
      </c>
      <c r="K1731">
        <v>80.12</v>
      </c>
      <c r="M1731" t="str">
        <f t="shared" ref="M1731:M1794" si="108">TEXT(B1731,"mmm")</f>
        <v>Jul</v>
      </c>
      <c r="N1731">
        <f t="shared" ref="N1731:N1794" si="109">MONTH(B1731)</f>
        <v>7</v>
      </c>
      <c r="O1731">
        <f t="shared" ref="O1731:O1794" si="110">H1731*I1731*(1-J1731)</f>
        <v>80.117999999999995</v>
      </c>
      <c r="P1731" t="str">
        <f t="shared" ref="P1731:P1794" si="111">IF(ROUND(K1731,2)=ROUND(O1731,2),"OK","MISMATCH")</f>
        <v>OK</v>
      </c>
    </row>
    <row r="1732" spans="1:16" x14ac:dyDescent="0.35">
      <c r="A1732" t="s">
        <v>2134</v>
      </c>
      <c r="B1732" s="3">
        <v>45608</v>
      </c>
      <c r="C1732" t="s">
        <v>65</v>
      </c>
      <c r="D1732" t="s">
        <v>42</v>
      </c>
      <c r="E1732" t="s">
        <v>133</v>
      </c>
      <c r="F1732" t="s">
        <v>44</v>
      </c>
      <c r="G1732" t="s">
        <v>50</v>
      </c>
      <c r="H1732">
        <v>3</v>
      </c>
      <c r="I1732">
        <v>58.63</v>
      </c>
      <c r="J1732">
        <v>0.15</v>
      </c>
      <c r="K1732">
        <v>149.51</v>
      </c>
      <c r="M1732" t="str">
        <f t="shared" si="108"/>
        <v>Nov</v>
      </c>
      <c r="N1732">
        <f t="shared" si="109"/>
        <v>11</v>
      </c>
      <c r="O1732">
        <f t="shared" si="110"/>
        <v>149.50650000000002</v>
      </c>
      <c r="P1732" t="str">
        <f t="shared" si="111"/>
        <v>OK</v>
      </c>
    </row>
    <row r="1733" spans="1:16" x14ac:dyDescent="0.35">
      <c r="A1733" t="s">
        <v>2135</v>
      </c>
      <c r="B1733" s="3">
        <v>45404</v>
      </c>
      <c r="C1733" t="s">
        <v>41</v>
      </c>
      <c r="D1733" t="s">
        <v>19</v>
      </c>
      <c r="E1733" t="s">
        <v>204</v>
      </c>
      <c r="F1733" t="s">
        <v>15</v>
      </c>
      <c r="G1733" t="s">
        <v>111</v>
      </c>
      <c r="H1733">
        <v>6</v>
      </c>
      <c r="I1733">
        <v>179.72</v>
      </c>
      <c r="J1733">
        <v>0.1</v>
      </c>
      <c r="K1733">
        <v>970.49</v>
      </c>
      <c r="M1733" t="str">
        <f t="shared" si="108"/>
        <v>Apr</v>
      </c>
      <c r="N1733">
        <f t="shared" si="109"/>
        <v>4</v>
      </c>
      <c r="O1733">
        <f t="shared" si="110"/>
        <v>970.48799999999994</v>
      </c>
      <c r="P1733" t="str">
        <f t="shared" si="111"/>
        <v>OK</v>
      </c>
    </row>
    <row r="1734" spans="1:16" x14ac:dyDescent="0.35">
      <c r="A1734" t="s">
        <v>2136</v>
      </c>
      <c r="B1734" s="3">
        <v>45292</v>
      </c>
      <c r="C1734" t="s">
        <v>65</v>
      </c>
      <c r="D1734" t="s">
        <v>13</v>
      </c>
      <c r="E1734" t="s">
        <v>339</v>
      </c>
      <c r="F1734" t="s">
        <v>21</v>
      </c>
      <c r="G1734" t="s">
        <v>22</v>
      </c>
      <c r="H1734">
        <v>3</v>
      </c>
      <c r="I1734">
        <v>168.38</v>
      </c>
      <c r="J1734">
        <v>0.05</v>
      </c>
      <c r="K1734">
        <v>479.88</v>
      </c>
      <c r="M1734" t="str">
        <f t="shared" si="108"/>
        <v>Jan</v>
      </c>
      <c r="N1734">
        <f t="shared" si="109"/>
        <v>1</v>
      </c>
      <c r="O1734">
        <f t="shared" si="110"/>
        <v>479.88299999999998</v>
      </c>
      <c r="P1734" t="str">
        <f t="shared" si="111"/>
        <v>OK</v>
      </c>
    </row>
    <row r="1735" spans="1:16" x14ac:dyDescent="0.35">
      <c r="A1735" t="s">
        <v>2137</v>
      </c>
      <c r="B1735" s="3">
        <v>45557</v>
      </c>
      <c r="C1735" t="s">
        <v>65</v>
      </c>
      <c r="D1735" t="s">
        <v>25</v>
      </c>
      <c r="E1735" t="s">
        <v>243</v>
      </c>
      <c r="F1735" t="s">
        <v>44</v>
      </c>
      <c r="G1735" t="s">
        <v>45</v>
      </c>
      <c r="H1735">
        <v>2</v>
      </c>
      <c r="I1735">
        <v>15.31</v>
      </c>
      <c r="J1735">
        <v>0.1</v>
      </c>
      <c r="K1735">
        <v>27.56</v>
      </c>
      <c r="M1735" t="str">
        <f t="shared" si="108"/>
        <v>Sep</v>
      </c>
      <c r="N1735">
        <f t="shared" si="109"/>
        <v>9</v>
      </c>
      <c r="O1735">
        <f t="shared" si="110"/>
        <v>27.558</v>
      </c>
      <c r="P1735" t="str">
        <f t="shared" si="111"/>
        <v>OK</v>
      </c>
    </row>
    <row r="1736" spans="1:16" x14ac:dyDescent="0.35">
      <c r="A1736" t="s">
        <v>2138</v>
      </c>
      <c r="B1736" s="3">
        <v>45506</v>
      </c>
      <c r="C1736" t="s">
        <v>33</v>
      </c>
      <c r="D1736" t="s">
        <v>19</v>
      </c>
      <c r="E1736" t="s">
        <v>100</v>
      </c>
      <c r="F1736" t="s">
        <v>35</v>
      </c>
      <c r="G1736" t="s">
        <v>83</v>
      </c>
      <c r="H1736">
        <v>4</v>
      </c>
      <c r="I1736">
        <v>141.63999999999999</v>
      </c>
      <c r="J1736">
        <v>0</v>
      </c>
      <c r="K1736">
        <v>566.55999999999995</v>
      </c>
      <c r="M1736" t="str">
        <f t="shared" si="108"/>
        <v>Aug</v>
      </c>
      <c r="N1736">
        <f t="shared" si="109"/>
        <v>8</v>
      </c>
      <c r="O1736">
        <f t="shared" si="110"/>
        <v>566.55999999999995</v>
      </c>
      <c r="P1736" t="str">
        <f t="shared" si="111"/>
        <v>OK</v>
      </c>
    </row>
    <row r="1737" spans="1:16" x14ac:dyDescent="0.35">
      <c r="A1737" t="s">
        <v>2139</v>
      </c>
      <c r="B1737" s="3">
        <v>45625</v>
      </c>
      <c r="C1737" t="s">
        <v>41</v>
      </c>
      <c r="D1737" t="s">
        <v>42</v>
      </c>
      <c r="E1737" t="s">
        <v>204</v>
      </c>
      <c r="F1737" t="s">
        <v>35</v>
      </c>
      <c r="G1737" t="s">
        <v>83</v>
      </c>
      <c r="H1737">
        <v>12</v>
      </c>
      <c r="I1737">
        <v>142.49</v>
      </c>
      <c r="J1737">
        <v>0.1</v>
      </c>
      <c r="K1737">
        <v>1538.89</v>
      </c>
      <c r="M1737" t="str">
        <f t="shared" si="108"/>
        <v>Nov</v>
      </c>
      <c r="N1737">
        <f t="shared" si="109"/>
        <v>11</v>
      </c>
      <c r="O1737">
        <f t="shared" si="110"/>
        <v>1538.8920000000001</v>
      </c>
      <c r="P1737" t="str">
        <f t="shared" si="111"/>
        <v>OK</v>
      </c>
    </row>
    <row r="1738" spans="1:16" x14ac:dyDescent="0.35">
      <c r="A1738" t="s">
        <v>2141</v>
      </c>
      <c r="B1738" s="3">
        <v>45611</v>
      </c>
      <c r="C1738" t="s">
        <v>18</v>
      </c>
      <c r="D1738" t="s">
        <v>19</v>
      </c>
      <c r="E1738" t="s">
        <v>14</v>
      </c>
      <c r="F1738" t="s">
        <v>35</v>
      </c>
      <c r="G1738" t="s">
        <v>67</v>
      </c>
      <c r="H1738">
        <v>12</v>
      </c>
      <c r="I1738">
        <v>14.8</v>
      </c>
      <c r="J1738">
        <v>0.15</v>
      </c>
      <c r="K1738">
        <v>150.96</v>
      </c>
      <c r="M1738" t="str">
        <f t="shared" si="108"/>
        <v>Nov</v>
      </c>
      <c r="N1738">
        <f t="shared" si="109"/>
        <v>11</v>
      </c>
      <c r="O1738">
        <f t="shared" si="110"/>
        <v>150.96</v>
      </c>
      <c r="P1738" t="str">
        <f t="shared" si="111"/>
        <v>OK</v>
      </c>
    </row>
    <row r="1739" spans="1:16" x14ac:dyDescent="0.35">
      <c r="A1739" t="s">
        <v>2142</v>
      </c>
      <c r="B1739" s="3">
        <v>45642</v>
      </c>
      <c r="C1739" t="s">
        <v>24</v>
      </c>
      <c r="D1739" t="s">
        <v>57</v>
      </c>
      <c r="E1739" t="s">
        <v>810</v>
      </c>
      <c r="F1739" t="s">
        <v>44</v>
      </c>
      <c r="G1739" t="s">
        <v>50</v>
      </c>
      <c r="H1739">
        <v>8</v>
      </c>
      <c r="I1739">
        <v>123.35</v>
      </c>
      <c r="J1739">
        <v>0</v>
      </c>
      <c r="K1739">
        <v>986.8</v>
      </c>
      <c r="M1739" t="str">
        <f t="shared" si="108"/>
        <v>Dec</v>
      </c>
      <c r="N1739">
        <f t="shared" si="109"/>
        <v>12</v>
      </c>
      <c r="O1739">
        <f t="shared" si="110"/>
        <v>986.8</v>
      </c>
      <c r="P1739" t="str">
        <f t="shared" si="111"/>
        <v>OK</v>
      </c>
    </row>
    <row r="1740" spans="1:16" x14ac:dyDescent="0.35">
      <c r="A1740" t="s">
        <v>2143</v>
      </c>
      <c r="B1740" s="3">
        <v>45607</v>
      </c>
      <c r="C1740" t="s">
        <v>18</v>
      </c>
      <c r="D1740" t="s">
        <v>42</v>
      </c>
      <c r="E1740" t="s">
        <v>477</v>
      </c>
      <c r="F1740" t="s">
        <v>35</v>
      </c>
      <c r="G1740" t="s">
        <v>177</v>
      </c>
      <c r="H1740">
        <v>10</v>
      </c>
      <c r="I1740">
        <v>176.23</v>
      </c>
      <c r="J1740">
        <v>0.05</v>
      </c>
      <c r="K1740">
        <v>1674.18</v>
      </c>
      <c r="M1740" t="str">
        <f t="shared" si="108"/>
        <v>Nov</v>
      </c>
      <c r="N1740">
        <f t="shared" si="109"/>
        <v>11</v>
      </c>
      <c r="O1740">
        <f t="shared" si="110"/>
        <v>1674.1849999999999</v>
      </c>
      <c r="P1740" t="str">
        <f t="shared" si="111"/>
        <v>MISMATCH</v>
      </c>
    </row>
    <row r="1741" spans="1:16" x14ac:dyDescent="0.35">
      <c r="A1741" t="s">
        <v>2144</v>
      </c>
      <c r="B1741" s="3">
        <v>45454</v>
      </c>
      <c r="C1741" t="s">
        <v>41</v>
      </c>
      <c r="D1741" t="s">
        <v>13</v>
      </c>
      <c r="E1741" t="s">
        <v>394</v>
      </c>
      <c r="F1741" t="s">
        <v>15</v>
      </c>
      <c r="G1741" t="s">
        <v>147</v>
      </c>
      <c r="H1741">
        <v>12</v>
      </c>
      <c r="I1741">
        <v>29.82</v>
      </c>
      <c r="J1741">
        <v>0</v>
      </c>
      <c r="K1741">
        <v>357.84</v>
      </c>
      <c r="M1741" t="str">
        <f t="shared" si="108"/>
        <v>Jun</v>
      </c>
      <c r="N1741">
        <f t="shared" si="109"/>
        <v>6</v>
      </c>
      <c r="O1741">
        <f t="shared" si="110"/>
        <v>357.84000000000003</v>
      </c>
      <c r="P1741" t="str">
        <f t="shared" si="111"/>
        <v>OK</v>
      </c>
    </row>
    <row r="1742" spans="1:16" x14ac:dyDescent="0.35">
      <c r="A1742" t="s">
        <v>2145</v>
      </c>
      <c r="B1742" s="3">
        <v>45609</v>
      </c>
      <c r="C1742" t="s">
        <v>41</v>
      </c>
      <c r="D1742" t="s">
        <v>25</v>
      </c>
      <c r="E1742" t="s">
        <v>437</v>
      </c>
      <c r="F1742" t="s">
        <v>35</v>
      </c>
      <c r="G1742" t="s">
        <v>177</v>
      </c>
      <c r="H1742">
        <v>11</v>
      </c>
      <c r="I1742">
        <v>88.21</v>
      </c>
      <c r="J1742">
        <v>0</v>
      </c>
      <c r="K1742">
        <v>970.31</v>
      </c>
      <c r="M1742" t="str">
        <f t="shared" si="108"/>
        <v>Nov</v>
      </c>
      <c r="N1742">
        <f t="shared" si="109"/>
        <v>11</v>
      </c>
      <c r="O1742">
        <f t="shared" si="110"/>
        <v>970.31</v>
      </c>
      <c r="P1742" t="str">
        <f t="shared" si="111"/>
        <v>OK</v>
      </c>
    </row>
    <row r="1743" spans="1:16" x14ac:dyDescent="0.35">
      <c r="A1743" t="s">
        <v>2146</v>
      </c>
      <c r="B1743" s="3">
        <v>45581</v>
      </c>
      <c r="C1743" t="s">
        <v>24</v>
      </c>
      <c r="D1743" t="s">
        <v>57</v>
      </c>
      <c r="E1743" t="s">
        <v>93</v>
      </c>
      <c r="F1743" t="s">
        <v>15</v>
      </c>
      <c r="G1743" t="s">
        <v>27</v>
      </c>
      <c r="H1743">
        <v>12</v>
      </c>
      <c r="I1743">
        <v>228.1</v>
      </c>
      <c r="J1743">
        <v>0.05</v>
      </c>
      <c r="K1743">
        <v>2600.34</v>
      </c>
      <c r="M1743" t="str">
        <f t="shared" si="108"/>
        <v>Oct</v>
      </c>
      <c r="N1743">
        <f t="shared" si="109"/>
        <v>10</v>
      </c>
      <c r="O1743">
        <f t="shared" si="110"/>
        <v>2600.3399999999997</v>
      </c>
      <c r="P1743" t="str">
        <f t="shared" si="111"/>
        <v>OK</v>
      </c>
    </row>
    <row r="1744" spans="1:16" x14ac:dyDescent="0.35">
      <c r="A1744" t="s">
        <v>2147</v>
      </c>
      <c r="B1744" s="3">
        <v>45439</v>
      </c>
      <c r="C1744" t="s">
        <v>65</v>
      </c>
      <c r="D1744" t="s">
        <v>25</v>
      </c>
      <c r="E1744" t="s">
        <v>238</v>
      </c>
      <c r="F1744" t="s">
        <v>44</v>
      </c>
      <c r="G1744" t="s">
        <v>86</v>
      </c>
      <c r="H1744">
        <v>6</v>
      </c>
      <c r="I1744">
        <v>59.15</v>
      </c>
      <c r="J1744">
        <v>0.1</v>
      </c>
      <c r="K1744">
        <v>319.41000000000003</v>
      </c>
      <c r="M1744" t="str">
        <f t="shared" si="108"/>
        <v>May</v>
      </c>
      <c r="N1744">
        <f t="shared" si="109"/>
        <v>5</v>
      </c>
      <c r="O1744">
        <f t="shared" si="110"/>
        <v>319.40999999999997</v>
      </c>
      <c r="P1744" t="str">
        <f t="shared" si="111"/>
        <v>OK</v>
      </c>
    </row>
    <row r="1745" spans="1:16" x14ac:dyDescent="0.35">
      <c r="A1745" t="s">
        <v>2148</v>
      </c>
      <c r="B1745" s="3">
        <v>45442</v>
      </c>
      <c r="C1745" t="s">
        <v>24</v>
      </c>
      <c r="D1745" t="s">
        <v>13</v>
      </c>
      <c r="E1745" t="s">
        <v>751</v>
      </c>
      <c r="F1745" t="s">
        <v>53</v>
      </c>
      <c r="G1745" t="s">
        <v>104</v>
      </c>
      <c r="H1745">
        <v>5</v>
      </c>
      <c r="I1745">
        <v>215.33</v>
      </c>
      <c r="J1745">
        <v>0</v>
      </c>
      <c r="K1745">
        <v>1076.6500000000001</v>
      </c>
      <c r="M1745" t="str">
        <f t="shared" si="108"/>
        <v>May</v>
      </c>
      <c r="N1745">
        <f t="shared" si="109"/>
        <v>5</v>
      </c>
      <c r="O1745">
        <f t="shared" si="110"/>
        <v>1076.6500000000001</v>
      </c>
      <c r="P1745" t="str">
        <f t="shared" si="111"/>
        <v>OK</v>
      </c>
    </row>
    <row r="1746" spans="1:16" x14ac:dyDescent="0.35">
      <c r="A1746" t="s">
        <v>2149</v>
      </c>
      <c r="B1746" s="3">
        <v>45375</v>
      </c>
      <c r="C1746" t="s">
        <v>24</v>
      </c>
      <c r="D1746" t="s">
        <v>19</v>
      </c>
      <c r="E1746" t="s">
        <v>189</v>
      </c>
      <c r="F1746" t="s">
        <v>15</v>
      </c>
      <c r="G1746" t="s">
        <v>74</v>
      </c>
      <c r="H1746">
        <v>1</v>
      </c>
      <c r="I1746">
        <v>84.09</v>
      </c>
      <c r="J1746">
        <v>0</v>
      </c>
      <c r="K1746">
        <v>84.09</v>
      </c>
      <c r="M1746" t="str">
        <f t="shared" si="108"/>
        <v>Mar</v>
      </c>
      <c r="N1746">
        <f t="shared" si="109"/>
        <v>3</v>
      </c>
      <c r="O1746">
        <f t="shared" si="110"/>
        <v>84.09</v>
      </c>
      <c r="P1746" t="str">
        <f t="shared" si="111"/>
        <v>OK</v>
      </c>
    </row>
    <row r="1747" spans="1:16" x14ac:dyDescent="0.35">
      <c r="A1747" t="s">
        <v>2150</v>
      </c>
      <c r="B1747" s="3">
        <v>45566</v>
      </c>
      <c r="C1747" t="s">
        <v>65</v>
      </c>
      <c r="D1747" t="s">
        <v>19</v>
      </c>
      <c r="E1747" t="s">
        <v>400</v>
      </c>
      <c r="F1747" t="s">
        <v>44</v>
      </c>
      <c r="G1747" t="s">
        <v>86</v>
      </c>
      <c r="H1747">
        <v>2</v>
      </c>
      <c r="I1747">
        <v>76.900000000000006</v>
      </c>
      <c r="J1747">
        <v>0</v>
      </c>
      <c r="K1747">
        <v>153.80000000000001</v>
      </c>
      <c r="M1747" t="str">
        <f t="shared" si="108"/>
        <v>Oct</v>
      </c>
      <c r="N1747">
        <f t="shared" si="109"/>
        <v>10</v>
      </c>
      <c r="O1747">
        <f t="shared" si="110"/>
        <v>153.80000000000001</v>
      </c>
      <c r="P1747" t="str">
        <f t="shared" si="111"/>
        <v>OK</v>
      </c>
    </row>
    <row r="1748" spans="1:16" x14ac:dyDescent="0.35">
      <c r="A1748" t="s">
        <v>2151</v>
      </c>
      <c r="B1748" s="3">
        <v>45504</v>
      </c>
      <c r="C1748" t="s">
        <v>65</v>
      </c>
      <c r="D1748" t="s">
        <v>57</v>
      </c>
      <c r="E1748" t="s">
        <v>2217</v>
      </c>
      <c r="F1748" t="s">
        <v>53</v>
      </c>
      <c r="G1748" t="s">
        <v>63</v>
      </c>
      <c r="H1748">
        <v>6</v>
      </c>
      <c r="I1748">
        <v>204.83</v>
      </c>
      <c r="J1748">
        <v>0.1</v>
      </c>
      <c r="K1748">
        <v>1106.08</v>
      </c>
      <c r="M1748" t="str">
        <f t="shared" si="108"/>
        <v>Jul</v>
      </c>
      <c r="N1748">
        <f t="shared" si="109"/>
        <v>7</v>
      </c>
      <c r="O1748">
        <f t="shared" si="110"/>
        <v>1106.0820000000001</v>
      </c>
      <c r="P1748" t="str">
        <f t="shared" si="111"/>
        <v>OK</v>
      </c>
    </row>
    <row r="1749" spans="1:16" x14ac:dyDescent="0.35">
      <c r="A1749" t="s">
        <v>2152</v>
      </c>
      <c r="B1749" s="3">
        <v>45648</v>
      </c>
      <c r="C1749" t="s">
        <v>33</v>
      </c>
      <c r="D1749" t="s">
        <v>25</v>
      </c>
      <c r="E1749" t="s">
        <v>454</v>
      </c>
      <c r="F1749" t="s">
        <v>53</v>
      </c>
      <c r="G1749" t="s">
        <v>260</v>
      </c>
      <c r="H1749">
        <v>9</v>
      </c>
      <c r="I1749">
        <v>191.8</v>
      </c>
      <c r="J1749">
        <v>0</v>
      </c>
      <c r="K1749">
        <v>1726.2</v>
      </c>
      <c r="M1749" t="str">
        <f t="shared" si="108"/>
        <v>Dec</v>
      </c>
      <c r="N1749">
        <f t="shared" si="109"/>
        <v>12</v>
      </c>
      <c r="O1749">
        <f t="shared" si="110"/>
        <v>1726.2</v>
      </c>
      <c r="P1749" t="str">
        <f t="shared" si="111"/>
        <v>OK</v>
      </c>
    </row>
    <row r="1750" spans="1:16" x14ac:dyDescent="0.35">
      <c r="A1750" t="s">
        <v>2153</v>
      </c>
      <c r="B1750" s="3">
        <v>45318</v>
      </c>
      <c r="C1750" t="s">
        <v>41</v>
      </c>
      <c r="D1750" t="s">
        <v>19</v>
      </c>
      <c r="E1750" t="s">
        <v>370</v>
      </c>
      <c r="F1750" t="s">
        <v>21</v>
      </c>
      <c r="G1750" t="s">
        <v>129</v>
      </c>
      <c r="H1750">
        <v>3</v>
      </c>
      <c r="I1750">
        <v>129.72</v>
      </c>
      <c r="J1750">
        <v>0.05</v>
      </c>
      <c r="K1750">
        <v>369.7</v>
      </c>
      <c r="M1750" t="str">
        <f t="shared" si="108"/>
        <v>Jan</v>
      </c>
      <c r="N1750">
        <f t="shared" si="109"/>
        <v>1</v>
      </c>
      <c r="O1750">
        <f t="shared" si="110"/>
        <v>369.70199999999994</v>
      </c>
      <c r="P1750" t="str">
        <f t="shared" si="111"/>
        <v>OK</v>
      </c>
    </row>
    <row r="1751" spans="1:16" x14ac:dyDescent="0.35">
      <c r="A1751" t="s">
        <v>2154</v>
      </c>
      <c r="B1751" s="3">
        <v>45635</v>
      </c>
      <c r="C1751" t="s">
        <v>65</v>
      </c>
      <c r="D1751" t="s">
        <v>57</v>
      </c>
      <c r="E1751" t="s">
        <v>379</v>
      </c>
      <c r="F1751" t="s">
        <v>35</v>
      </c>
      <c r="G1751" t="s">
        <v>177</v>
      </c>
      <c r="H1751">
        <v>5</v>
      </c>
      <c r="I1751">
        <v>95.08</v>
      </c>
      <c r="J1751">
        <v>0</v>
      </c>
      <c r="K1751">
        <v>475.4</v>
      </c>
      <c r="M1751" t="str">
        <f t="shared" si="108"/>
        <v>Dec</v>
      </c>
      <c r="N1751">
        <f t="shared" si="109"/>
        <v>12</v>
      </c>
      <c r="O1751">
        <f t="shared" si="110"/>
        <v>475.4</v>
      </c>
      <c r="P1751" t="str">
        <f t="shared" si="111"/>
        <v>OK</v>
      </c>
    </row>
    <row r="1752" spans="1:16" x14ac:dyDescent="0.35">
      <c r="A1752" t="s">
        <v>2155</v>
      </c>
      <c r="B1752" s="3">
        <v>45542</v>
      </c>
      <c r="C1752" t="s">
        <v>18</v>
      </c>
      <c r="D1752" t="s">
        <v>19</v>
      </c>
      <c r="E1752" t="s">
        <v>858</v>
      </c>
      <c r="F1752" t="s">
        <v>53</v>
      </c>
      <c r="G1752" t="s">
        <v>260</v>
      </c>
      <c r="H1752">
        <v>4</v>
      </c>
      <c r="I1752">
        <v>148.65</v>
      </c>
      <c r="J1752">
        <v>0</v>
      </c>
      <c r="K1752">
        <v>594.6</v>
      </c>
      <c r="M1752" t="str">
        <f t="shared" si="108"/>
        <v>Sep</v>
      </c>
      <c r="N1752">
        <f t="shared" si="109"/>
        <v>9</v>
      </c>
      <c r="O1752">
        <f t="shared" si="110"/>
        <v>594.6</v>
      </c>
      <c r="P1752" t="str">
        <f t="shared" si="111"/>
        <v>OK</v>
      </c>
    </row>
    <row r="1753" spans="1:16" x14ac:dyDescent="0.35">
      <c r="A1753" t="s">
        <v>2156</v>
      </c>
      <c r="B1753" s="3">
        <v>45388</v>
      </c>
      <c r="C1753" t="s">
        <v>33</v>
      </c>
      <c r="D1753" t="s">
        <v>19</v>
      </c>
      <c r="E1753" t="s">
        <v>351</v>
      </c>
      <c r="F1753" t="s">
        <v>21</v>
      </c>
      <c r="G1753" t="s">
        <v>129</v>
      </c>
      <c r="H1753">
        <v>8</v>
      </c>
      <c r="I1753">
        <v>175.22</v>
      </c>
      <c r="J1753">
        <v>0.1</v>
      </c>
      <c r="K1753">
        <v>1261.58</v>
      </c>
      <c r="M1753" t="str">
        <f t="shared" si="108"/>
        <v>Apr</v>
      </c>
      <c r="N1753">
        <f t="shared" si="109"/>
        <v>4</v>
      </c>
      <c r="O1753">
        <f t="shared" si="110"/>
        <v>1261.5840000000001</v>
      </c>
      <c r="P1753" t="str">
        <f t="shared" si="111"/>
        <v>OK</v>
      </c>
    </row>
    <row r="1754" spans="1:16" x14ac:dyDescent="0.35">
      <c r="A1754" t="s">
        <v>2157</v>
      </c>
      <c r="B1754" s="3">
        <v>45654</v>
      </c>
      <c r="C1754" t="s">
        <v>18</v>
      </c>
      <c r="D1754" t="s">
        <v>25</v>
      </c>
      <c r="E1754" t="s">
        <v>185</v>
      </c>
      <c r="F1754" t="s">
        <v>15</v>
      </c>
      <c r="G1754" t="s">
        <v>147</v>
      </c>
      <c r="H1754">
        <v>6</v>
      </c>
      <c r="I1754">
        <v>168.06</v>
      </c>
      <c r="J1754">
        <v>0</v>
      </c>
      <c r="K1754">
        <v>1008.36</v>
      </c>
      <c r="M1754" t="str">
        <f t="shared" si="108"/>
        <v>Dec</v>
      </c>
      <c r="N1754">
        <f t="shared" si="109"/>
        <v>12</v>
      </c>
      <c r="O1754">
        <f t="shared" si="110"/>
        <v>1008.36</v>
      </c>
      <c r="P1754" t="str">
        <f t="shared" si="111"/>
        <v>OK</v>
      </c>
    </row>
    <row r="1755" spans="1:16" x14ac:dyDescent="0.35">
      <c r="A1755" t="s">
        <v>2158</v>
      </c>
      <c r="B1755" s="3">
        <v>45547</v>
      </c>
      <c r="C1755" t="s">
        <v>24</v>
      </c>
      <c r="D1755" t="s">
        <v>57</v>
      </c>
      <c r="E1755" t="s">
        <v>418</v>
      </c>
      <c r="F1755" t="s">
        <v>44</v>
      </c>
      <c r="G1755" t="s">
        <v>45</v>
      </c>
      <c r="H1755">
        <v>5</v>
      </c>
      <c r="I1755">
        <v>91.12</v>
      </c>
      <c r="J1755">
        <v>0.15</v>
      </c>
      <c r="K1755">
        <v>387.26</v>
      </c>
      <c r="M1755" t="str">
        <f t="shared" si="108"/>
        <v>Sep</v>
      </c>
      <c r="N1755">
        <f t="shared" si="109"/>
        <v>9</v>
      </c>
      <c r="O1755">
        <f t="shared" si="110"/>
        <v>387.26</v>
      </c>
      <c r="P1755" t="str">
        <f t="shared" si="111"/>
        <v>OK</v>
      </c>
    </row>
    <row r="1756" spans="1:16" x14ac:dyDescent="0.35">
      <c r="A1756" t="s">
        <v>2159</v>
      </c>
      <c r="B1756" s="3">
        <v>45430</v>
      </c>
      <c r="C1756" t="s">
        <v>33</v>
      </c>
      <c r="D1756" t="s">
        <v>42</v>
      </c>
      <c r="E1756" t="s">
        <v>1447</v>
      </c>
      <c r="F1756" t="s">
        <v>35</v>
      </c>
      <c r="G1756" t="s">
        <v>134</v>
      </c>
      <c r="H1756">
        <v>3</v>
      </c>
      <c r="I1756">
        <v>136.66999999999999</v>
      </c>
      <c r="J1756">
        <v>0</v>
      </c>
      <c r="K1756">
        <v>410.01</v>
      </c>
      <c r="M1756" t="str">
        <f t="shared" si="108"/>
        <v>May</v>
      </c>
      <c r="N1756">
        <f t="shared" si="109"/>
        <v>5</v>
      </c>
      <c r="O1756">
        <f t="shared" si="110"/>
        <v>410.01</v>
      </c>
      <c r="P1756" t="str">
        <f t="shared" si="111"/>
        <v>OK</v>
      </c>
    </row>
    <row r="1757" spans="1:16" x14ac:dyDescent="0.35">
      <c r="A1757" t="s">
        <v>2160</v>
      </c>
      <c r="B1757" s="3">
        <v>45312</v>
      </c>
      <c r="C1757" t="s">
        <v>41</v>
      </c>
      <c r="D1757" t="s">
        <v>57</v>
      </c>
      <c r="E1757" t="s">
        <v>20</v>
      </c>
      <c r="F1757" t="s">
        <v>15</v>
      </c>
      <c r="G1757" t="s">
        <v>16</v>
      </c>
      <c r="H1757">
        <v>9</v>
      </c>
      <c r="I1757">
        <v>30.29</v>
      </c>
      <c r="J1757">
        <v>0.15</v>
      </c>
      <c r="K1757">
        <v>231.72</v>
      </c>
      <c r="M1757" t="str">
        <f t="shared" si="108"/>
        <v>Jan</v>
      </c>
      <c r="N1757">
        <f t="shared" si="109"/>
        <v>1</v>
      </c>
      <c r="O1757">
        <f t="shared" si="110"/>
        <v>231.71850000000001</v>
      </c>
      <c r="P1757" t="str">
        <f t="shared" si="111"/>
        <v>OK</v>
      </c>
    </row>
    <row r="1758" spans="1:16" x14ac:dyDescent="0.35">
      <c r="A1758" t="s">
        <v>2161</v>
      </c>
      <c r="B1758" s="3">
        <v>45562</v>
      </c>
      <c r="C1758" t="s">
        <v>18</v>
      </c>
      <c r="D1758" t="s">
        <v>57</v>
      </c>
      <c r="E1758" t="s">
        <v>189</v>
      </c>
      <c r="F1758" t="s">
        <v>21</v>
      </c>
      <c r="G1758" t="s">
        <v>194</v>
      </c>
      <c r="H1758">
        <v>9</v>
      </c>
      <c r="I1758">
        <v>137.28</v>
      </c>
      <c r="J1758">
        <v>0.1</v>
      </c>
      <c r="K1758">
        <v>1111.97</v>
      </c>
      <c r="M1758" t="str">
        <f t="shared" si="108"/>
        <v>Sep</v>
      </c>
      <c r="N1758">
        <f t="shared" si="109"/>
        <v>9</v>
      </c>
      <c r="O1758">
        <f t="shared" si="110"/>
        <v>1111.9680000000001</v>
      </c>
      <c r="P1758" t="str">
        <f t="shared" si="111"/>
        <v>OK</v>
      </c>
    </row>
    <row r="1759" spans="1:16" x14ac:dyDescent="0.35">
      <c r="A1759" t="s">
        <v>2163</v>
      </c>
      <c r="B1759" s="3">
        <v>45583</v>
      </c>
      <c r="C1759" t="s">
        <v>33</v>
      </c>
      <c r="D1759" t="s">
        <v>57</v>
      </c>
      <c r="E1759" t="s">
        <v>58</v>
      </c>
      <c r="F1759" t="s">
        <v>44</v>
      </c>
      <c r="G1759" t="s">
        <v>107</v>
      </c>
      <c r="H1759">
        <v>10</v>
      </c>
      <c r="I1759">
        <v>135.41</v>
      </c>
      <c r="J1759">
        <v>0.1</v>
      </c>
      <c r="K1759">
        <v>1218.69</v>
      </c>
      <c r="M1759" t="str">
        <f t="shared" si="108"/>
        <v>Oct</v>
      </c>
      <c r="N1759">
        <f t="shared" si="109"/>
        <v>10</v>
      </c>
      <c r="O1759">
        <f t="shared" si="110"/>
        <v>1218.69</v>
      </c>
      <c r="P1759" t="str">
        <f t="shared" si="111"/>
        <v>OK</v>
      </c>
    </row>
    <row r="1760" spans="1:16" x14ac:dyDescent="0.35">
      <c r="A1760" t="s">
        <v>2164</v>
      </c>
      <c r="B1760" s="3">
        <v>45648</v>
      </c>
      <c r="C1760" t="s">
        <v>18</v>
      </c>
      <c r="D1760" t="s">
        <v>13</v>
      </c>
      <c r="E1760" t="s">
        <v>867</v>
      </c>
      <c r="F1760" t="s">
        <v>35</v>
      </c>
      <c r="G1760" t="s">
        <v>177</v>
      </c>
      <c r="H1760">
        <v>12</v>
      </c>
      <c r="I1760">
        <v>91.9</v>
      </c>
      <c r="J1760">
        <v>0.1</v>
      </c>
      <c r="K1760">
        <v>992.52</v>
      </c>
      <c r="M1760" t="str">
        <f t="shared" si="108"/>
        <v>Dec</v>
      </c>
      <c r="N1760">
        <f t="shared" si="109"/>
        <v>12</v>
      </c>
      <c r="O1760">
        <f t="shared" si="110"/>
        <v>992.52000000000021</v>
      </c>
      <c r="P1760" t="str">
        <f t="shared" si="111"/>
        <v>OK</v>
      </c>
    </row>
    <row r="1761" spans="1:16" x14ac:dyDescent="0.35">
      <c r="A1761" t="s">
        <v>2165</v>
      </c>
      <c r="B1761" s="3">
        <v>45579</v>
      </c>
      <c r="C1761" t="s">
        <v>24</v>
      </c>
      <c r="D1761" t="s">
        <v>42</v>
      </c>
      <c r="E1761" t="s">
        <v>34</v>
      </c>
      <c r="F1761" t="s">
        <v>15</v>
      </c>
      <c r="G1761" t="s">
        <v>16</v>
      </c>
      <c r="H1761">
        <v>12</v>
      </c>
      <c r="I1761">
        <v>123.42</v>
      </c>
      <c r="J1761">
        <v>0.1</v>
      </c>
      <c r="K1761">
        <v>1332.94</v>
      </c>
      <c r="M1761" t="str">
        <f t="shared" si="108"/>
        <v>Oct</v>
      </c>
      <c r="N1761">
        <f t="shared" si="109"/>
        <v>10</v>
      </c>
      <c r="O1761">
        <f t="shared" si="110"/>
        <v>1332.9359999999999</v>
      </c>
      <c r="P1761" t="str">
        <f t="shared" si="111"/>
        <v>OK</v>
      </c>
    </row>
    <row r="1762" spans="1:16" x14ac:dyDescent="0.35">
      <c r="A1762" t="s">
        <v>2166</v>
      </c>
      <c r="B1762" s="3">
        <v>45365</v>
      </c>
      <c r="C1762" t="s">
        <v>24</v>
      </c>
      <c r="D1762" t="s">
        <v>57</v>
      </c>
      <c r="E1762" t="s">
        <v>43</v>
      </c>
      <c r="F1762" t="s">
        <v>53</v>
      </c>
      <c r="G1762" t="s">
        <v>59</v>
      </c>
      <c r="H1762">
        <v>7</v>
      </c>
      <c r="I1762">
        <v>16.39</v>
      </c>
      <c r="J1762">
        <v>0.1</v>
      </c>
      <c r="K1762">
        <v>103.26</v>
      </c>
      <c r="M1762" t="str">
        <f t="shared" si="108"/>
        <v>Mar</v>
      </c>
      <c r="N1762">
        <f t="shared" si="109"/>
        <v>3</v>
      </c>
      <c r="O1762">
        <f t="shared" si="110"/>
        <v>103.25700000000001</v>
      </c>
      <c r="P1762" t="str">
        <f t="shared" si="111"/>
        <v>OK</v>
      </c>
    </row>
    <row r="1763" spans="1:16" x14ac:dyDescent="0.35">
      <c r="A1763" t="s">
        <v>2167</v>
      </c>
      <c r="B1763" s="3">
        <v>45402</v>
      </c>
      <c r="C1763" t="s">
        <v>41</v>
      </c>
      <c r="D1763" t="s">
        <v>25</v>
      </c>
      <c r="E1763" t="s">
        <v>394</v>
      </c>
      <c r="F1763" t="s">
        <v>35</v>
      </c>
      <c r="G1763" t="s">
        <v>67</v>
      </c>
      <c r="H1763">
        <v>10</v>
      </c>
      <c r="I1763">
        <v>109.1</v>
      </c>
      <c r="J1763">
        <v>0.05</v>
      </c>
      <c r="K1763">
        <v>1036.45</v>
      </c>
      <c r="M1763" t="str">
        <f t="shared" si="108"/>
        <v>Apr</v>
      </c>
      <c r="N1763">
        <f t="shared" si="109"/>
        <v>4</v>
      </c>
      <c r="O1763">
        <f t="shared" si="110"/>
        <v>1036.45</v>
      </c>
      <c r="P1763" t="str">
        <f t="shared" si="111"/>
        <v>OK</v>
      </c>
    </row>
    <row r="1764" spans="1:16" x14ac:dyDescent="0.35">
      <c r="A1764" t="s">
        <v>2168</v>
      </c>
      <c r="B1764" s="3">
        <v>45602</v>
      </c>
      <c r="C1764" t="s">
        <v>33</v>
      </c>
      <c r="D1764" t="s">
        <v>42</v>
      </c>
      <c r="E1764" t="s">
        <v>526</v>
      </c>
      <c r="F1764" t="s">
        <v>21</v>
      </c>
      <c r="G1764" t="s">
        <v>194</v>
      </c>
      <c r="H1764">
        <v>4</v>
      </c>
      <c r="I1764">
        <v>28.76</v>
      </c>
      <c r="J1764">
        <v>0</v>
      </c>
      <c r="K1764">
        <v>115.04</v>
      </c>
      <c r="M1764" t="str">
        <f t="shared" si="108"/>
        <v>Nov</v>
      </c>
      <c r="N1764">
        <f t="shared" si="109"/>
        <v>11</v>
      </c>
      <c r="O1764">
        <f t="shared" si="110"/>
        <v>115.04</v>
      </c>
      <c r="P1764" t="str">
        <f t="shared" si="111"/>
        <v>OK</v>
      </c>
    </row>
    <row r="1765" spans="1:16" x14ac:dyDescent="0.35">
      <c r="A1765" t="s">
        <v>2169</v>
      </c>
      <c r="B1765" s="3">
        <v>45372</v>
      </c>
      <c r="C1765" t="s">
        <v>18</v>
      </c>
      <c r="D1765" t="s">
        <v>25</v>
      </c>
      <c r="E1765" t="s">
        <v>291</v>
      </c>
      <c r="F1765" t="s">
        <v>44</v>
      </c>
      <c r="G1765" t="s">
        <v>107</v>
      </c>
      <c r="H1765">
        <v>9</v>
      </c>
      <c r="I1765">
        <v>21.61</v>
      </c>
      <c r="J1765">
        <v>0.15</v>
      </c>
      <c r="K1765">
        <v>165.32</v>
      </c>
      <c r="M1765" t="str">
        <f t="shared" si="108"/>
        <v>Mar</v>
      </c>
      <c r="N1765">
        <f t="shared" si="109"/>
        <v>3</v>
      </c>
      <c r="O1765">
        <f t="shared" si="110"/>
        <v>165.31649999999999</v>
      </c>
      <c r="P1765" t="str">
        <f t="shared" si="111"/>
        <v>OK</v>
      </c>
    </row>
    <row r="1766" spans="1:16" x14ac:dyDescent="0.35">
      <c r="A1766" t="s">
        <v>2170</v>
      </c>
      <c r="B1766" s="3">
        <v>45566</v>
      </c>
      <c r="C1766" t="s">
        <v>41</v>
      </c>
      <c r="D1766" t="s">
        <v>13</v>
      </c>
      <c r="E1766" t="s">
        <v>206</v>
      </c>
      <c r="F1766" t="s">
        <v>21</v>
      </c>
      <c r="G1766" t="s">
        <v>167</v>
      </c>
      <c r="H1766">
        <v>6</v>
      </c>
      <c r="I1766">
        <v>198.45</v>
      </c>
      <c r="J1766">
        <v>0</v>
      </c>
      <c r="K1766">
        <v>1190.7</v>
      </c>
      <c r="M1766" t="str">
        <f t="shared" si="108"/>
        <v>Oct</v>
      </c>
      <c r="N1766">
        <f t="shared" si="109"/>
        <v>10</v>
      </c>
      <c r="O1766">
        <f t="shared" si="110"/>
        <v>1190.6999999999998</v>
      </c>
      <c r="P1766" t="str">
        <f t="shared" si="111"/>
        <v>OK</v>
      </c>
    </row>
    <row r="1767" spans="1:16" x14ac:dyDescent="0.35">
      <c r="A1767" t="s">
        <v>2171</v>
      </c>
      <c r="B1767" s="3">
        <v>45378</v>
      </c>
      <c r="C1767" t="s">
        <v>65</v>
      </c>
      <c r="D1767" t="s">
        <v>25</v>
      </c>
      <c r="E1767" t="s">
        <v>418</v>
      </c>
      <c r="F1767" t="s">
        <v>44</v>
      </c>
      <c r="G1767" t="s">
        <v>94</v>
      </c>
      <c r="H1767">
        <v>5</v>
      </c>
      <c r="I1767">
        <v>165.8</v>
      </c>
      <c r="J1767">
        <v>0.15</v>
      </c>
      <c r="K1767">
        <v>704.65</v>
      </c>
      <c r="M1767" t="str">
        <f t="shared" si="108"/>
        <v>Mar</v>
      </c>
      <c r="N1767">
        <f t="shared" si="109"/>
        <v>3</v>
      </c>
      <c r="O1767">
        <f t="shared" si="110"/>
        <v>704.65</v>
      </c>
      <c r="P1767" t="str">
        <f t="shared" si="111"/>
        <v>OK</v>
      </c>
    </row>
    <row r="1768" spans="1:16" x14ac:dyDescent="0.35">
      <c r="A1768" t="s">
        <v>2172</v>
      </c>
      <c r="B1768" s="3">
        <v>45519</v>
      </c>
      <c r="C1768" t="s">
        <v>18</v>
      </c>
      <c r="D1768" t="s">
        <v>19</v>
      </c>
      <c r="E1768" t="s">
        <v>131</v>
      </c>
      <c r="F1768" t="s">
        <v>15</v>
      </c>
      <c r="G1768" t="s">
        <v>16</v>
      </c>
      <c r="H1768">
        <v>3</v>
      </c>
      <c r="I1768">
        <v>215.15</v>
      </c>
      <c r="J1768">
        <v>0</v>
      </c>
      <c r="K1768">
        <v>645.45000000000005</v>
      </c>
      <c r="M1768" t="str">
        <f t="shared" si="108"/>
        <v>Aug</v>
      </c>
      <c r="N1768">
        <f t="shared" si="109"/>
        <v>8</v>
      </c>
      <c r="O1768">
        <f t="shared" si="110"/>
        <v>645.45000000000005</v>
      </c>
      <c r="P1768" t="str">
        <f t="shared" si="111"/>
        <v>OK</v>
      </c>
    </row>
    <row r="1769" spans="1:16" x14ac:dyDescent="0.35">
      <c r="A1769" t="s">
        <v>2174</v>
      </c>
      <c r="B1769" s="3">
        <v>45641</v>
      </c>
      <c r="C1769" t="s">
        <v>33</v>
      </c>
      <c r="D1769" t="s">
        <v>57</v>
      </c>
      <c r="E1769" t="s">
        <v>166</v>
      </c>
      <c r="F1769" t="s">
        <v>35</v>
      </c>
      <c r="G1769" t="s">
        <v>177</v>
      </c>
      <c r="H1769">
        <v>6</v>
      </c>
      <c r="I1769">
        <v>165.12</v>
      </c>
      <c r="J1769">
        <v>0</v>
      </c>
      <c r="K1769">
        <v>990.72</v>
      </c>
      <c r="M1769" t="str">
        <f t="shared" si="108"/>
        <v>Dec</v>
      </c>
      <c r="N1769">
        <f t="shared" si="109"/>
        <v>12</v>
      </c>
      <c r="O1769">
        <f t="shared" si="110"/>
        <v>990.72</v>
      </c>
      <c r="P1769" t="str">
        <f t="shared" si="111"/>
        <v>OK</v>
      </c>
    </row>
    <row r="1770" spans="1:16" x14ac:dyDescent="0.35">
      <c r="A1770" t="s">
        <v>2176</v>
      </c>
      <c r="B1770" s="3">
        <v>45397</v>
      </c>
      <c r="C1770" t="s">
        <v>18</v>
      </c>
      <c r="D1770" t="s">
        <v>19</v>
      </c>
      <c r="E1770" t="s">
        <v>128</v>
      </c>
      <c r="F1770" t="s">
        <v>35</v>
      </c>
      <c r="G1770" t="s">
        <v>67</v>
      </c>
      <c r="H1770">
        <v>9</v>
      </c>
      <c r="I1770">
        <v>105.27</v>
      </c>
      <c r="J1770">
        <v>0.15</v>
      </c>
      <c r="K1770">
        <v>805.32</v>
      </c>
      <c r="M1770" t="str">
        <f t="shared" si="108"/>
        <v>Apr</v>
      </c>
      <c r="N1770">
        <f t="shared" si="109"/>
        <v>4</v>
      </c>
      <c r="O1770">
        <f t="shared" si="110"/>
        <v>805.31549999999993</v>
      </c>
      <c r="P1770" t="str">
        <f t="shared" si="111"/>
        <v>OK</v>
      </c>
    </row>
    <row r="1771" spans="1:16" x14ac:dyDescent="0.35">
      <c r="A1771" t="s">
        <v>2177</v>
      </c>
      <c r="B1771" s="3">
        <v>45643</v>
      </c>
      <c r="C1771" t="s">
        <v>41</v>
      </c>
      <c r="D1771" t="s">
        <v>13</v>
      </c>
      <c r="E1771" t="s">
        <v>503</v>
      </c>
      <c r="F1771" t="s">
        <v>35</v>
      </c>
      <c r="G1771" t="s">
        <v>134</v>
      </c>
      <c r="H1771">
        <v>12</v>
      </c>
      <c r="I1771">
        <v>207.46</v>
      </c>
      <c r="J1771">
        <v>0.1</v>
      </c>
      <c r="K1771">
        <v>2240.5700000000002</v>
      </c>
      <c r="M1771" t="str">
        <f t="shared" si="108"/>
        <v>Dec</v>
      </c>
      <c r="N1771">
        <f t="shared" si="109"/>
        <v>12</v>
      </c>
      <c r="O1771">
        <f t="shared" si="110"/>
        <v>2240.5680000000002</v>
      </c>
      <c r="P1771" t="str">
        <f t="shared" si="111"/>
        <v>OK</v>
      </c>
    </row>
    <row r="1772" spans="1:16" x14ac:dyDescent="0.35">
      <c r="A1772" t="s">
        <v>2178</v>
      </c>
      <c r="B1772" s="3">
        <v>45321</v>
      </c>
      <c r="C1772" t="s">
        <v>18</v>
      </c>
      <c r="D1772" t="s">
        <v>13</v>
      </c>
      <c r="E1772" t="s">
        <v>470</v>
      </c>
      <c r="F1772" t="s">
        <v>15</v>
      </c>
      <c r="G1772" t="s">
        <v>27</v>
      </c>
      <c r="H1772">
        <v>9</v>
      </c>
      <c r="I1772">
        <v>129.24</v>
      </c>
      <c r="J1772">
        <v>0</v>
      </c>
      <c r="K1772">
        <v>1163.1600000000001</v>
      </c>
      <c r="M1772" t="str">
        <f t="shared" si="108"/>
        <v>Jan</v>
      </c>
      <c r="N1772">
        <f t="shared" si="109"/>
        <v>1</v>
      </c>
      <c r="O1772">
        <f t="shared" si="110"/>
        <v>1163.1600000000001</v>
      </c>
      <c r="P1772" t="str">
        <f t="shared" si="111"/>
        <v>OK</v>
      </c>
    </row>
    <row r="1773" spans="1:16" x14ac:dyDescent="0.35">
      <c r="A1773" t="s">
        <v>2180</v>
      </c>
      <c r="B1773" s="3">
        <v>45380</v>
      </c>
      <c r="C1773" t="s">
        <v>65</v>
      </c>
      <c r="D1773" t="s">
        <v>13</v>
      </c>
      <c r="E1773" t="s">
        <v>989</v>
      </c>
      <c r="F1773" t="s">
        <v>21</v>
      </c>
      <c r="G1773" t="s">
        <v>194</v>
      </c>
      <c r="H1773">
        <v>3</v>
      </c>
      <c r="I1773">
        <v>80.34</v>
      </c>
      <c r="J1773">
        <v>0</v>
      </c>
      <c r="K1773">
        <v>241.02</v>
      </c>
      <c r="M1773" t="str">
        <f t="shared" si="108"/>
        <v>Mar</v>
      </c>
      <c r="N1773">
        <f t="shared" si="109"/>
        <v>3</v>
      </c>
      <c r="O1773">
        <f t="shared" si="110"/>
        <v>241.02</v>
      </c>
      <c r="P1773" t="str">
        <f t="shared" si="111"/>
        <v>OK</v>
      </c>
    </row>
    <row r="1774" spans="1:16" x14ac:dyDescent="0.35">
      <c r="A1774" t="s">
        <v>2181</v>
      </c>
      <c r="B1774" s="3">
        <v>45569</v>
      </c>
      <c r="C1774" t="s">
        <v>18</v>
      </c>
      <c r="D1774" t="s">
        <v>19</v>
      </c>
      <c r="E1774" t="s">
        <v>73</v>
      </c>
      <c r="F1774" t="s">
        <v>35</v>
      </c>
      <c r="G1774" t="s">
        <v>177</v>
      </c>
      <c r="H1774">
        <v>6</v>
      </c>
      <c r="I1774">
        <v>133.18</v>
      </c>
      <c r="J1774">
        <v>0</v>
      </c>
      <c r="K1774">
        <v>799.08</v>
      </c>
      <c r="M1774" t="str">
        <f t="shared" si="108"/>
        <v>Oct</v>
      </c>
      <c r="N1774">
        <f t="shared" si="109"/>
        <v>10</v>
      </c>
      <c r="O1774">
        <f t="shared" si="110"/>
        <v>799.08</v>
      </c>
      <c r="P1774" t="str">
        <f t="shared" si="111"/>
        <v>OK</v>
      </c>
    </row>
    <row r="1775" spans="1:16" x14ac:dyDescent="0.35">
      <c r="A1775" t="s">
        <v>2182</v>
      </c>
      <c r="B1775" s="3">
        <v>45354</v>
      </c>
      <c r="C1775" t="s">
        <v>24</v>
      </c>
      <c r="D1775" t="s">
        <v>19</v>
      </c>
      <c r="E1775" t="s">
        <v>88</v>
      </c>
      <c r="F1775" t="s">
        <v>35</v>
      </c>
      <c r="G1775" t="s">
        <v>134</v>
      </c>
      <c r="H1775">
        <v>7</v>
      </c>
      <c r="I1775">
        <v>224.46</v>
      </c>
      <c r="J1775">
        <v>0</v>
      </c>
      <c r="K1775">
        <v>1571.22</v>
      </c>
      <c r="M1775" t="str">
        <f t="shared" si="108"/>
        <v>Mar</v>
      </c>
      <c r="N1775">
        <f t="shared" si="109"/>
        <v>3</v>
      </c>
      <c r="O1775">
        <f t="shared" si="110"/>
        <v>1571.22</v>
      </c>
      <c r="P1775" t="str">
        <f t="shared" si="111"/>
        <v>OK</v>
      </c>
    </row>
    <row r="1776" spans="1:16" x14ac:dyDescent="0.35">
      <c r="A1776" t="s">
        <v>2183</v>
      </c>
      <c r="B1776" s="3">
        <v>45517</v>
      </c>
      <c r="C1776" t="s">
        <v>18</v>
      </c>
      <c r="D1776" t="s">
        <v>42</v>
      </c>
      <c r="E1776" t="s">
        <v>176</v>
      </c>
      <c r="F1776" t="s">
        <v>15</v>
      </c>
      <c r="G1776" t="s">
        <v>74</v>
      </c>
      <c r="H1776">
        <v>12</v>
      </c>
      <c r="I1776">
        <v>42.84</v>
      </c>
      <c r="J1776">
        <v>0</v>
      </c>
      <c r="K1776">
        <v>514.08000000000004</v>
      </c>
      <c r="M1776" t="str">
        <f t="shared" si="108"/>
        <v>Aug</v>
      </c>
      <c r="N1776">
        <f t="shared" si="109"/>
        <v>8</v>
      </c>
      <c r="O1776">
        <f t="shared" si="110"/>
        <v>514.08000000000004</v>
      </c>
      <c r="P1776" t="str">
        <f t="shared" si="111"/>
        <v>OK</v>
      </c>
    </row>
    <row r="1777" spans="1:16" x14ac:dyDescent="0.35">
      <c r="A1777" t="s">
        <v>2184</v>
      </c>
      <c r="B1777" s="3">
        <v>45398</v>
      </c>
      <c r="C1777" t="s">
        <v>41</v>
      </c>
      <c r="D1777" t="s">
        <v>57</v>
      </c>
      <c r="E1777" t="s">
        <v>304</v>
      </c>
      <c r="F1777" t="s">
        <v>53</v>
      </c>
      <c r="G1777" t="s">
        <v>260</v>
      </c>
      <c r="H1777">
        <v>1</v>
      </c>
      <c r="I1777">
        <v>147.77000000000001</v>
      </c>
      <c r="J1777">
        <v>0</v>
      </c>
      <c r="K1777">
        <v>147.77000000000001</v>
      </c>
      <c r="M1777" t="str">
        <f t="shared" si="108"/>
        <v>Apr</v>
      </c>
      <c r="N1777">
        <f t="shared" si="109"/>
        <v>4</v>
      </c>
      <c r="O1777">
        <f t="shared" si="110"/>
        <v>147.77000000000001</v>
      </c>
      <c r="P1777" t="str">
        <f t="shared" si="111"/>
        <v>OK</v>
      </c>
    </row>
    <row r="1778" spans="1:16" x14ac:dyDescent="0.35">
      <c r="A1778" t="s">
        <v>2185</v>
      </c>
      <c r="B1778" s="3">
        <v>45483</v>
      </c>
      <c r="C1778" t="s">
        <v>18</v>
      </c>
      <c r="D1778" t="s">
        <v>42</v>
      </c>
      <c r="E1778" t="s">
        <v>429</v>
      </c>
      <c r="F1778" t="s">
        <v>15</v>
      </c>
      <c r="G1778" t="s">
        <v>111</v>
      </c>
      <c r="H1778">
        <v>3</v>
      </c>
      <c r="I1778">
        <v>77.08</v>
      </c>
      <c r="J1778">
        <v>0.05</v>
      </c>
      <c r="K1778">
        <v>219.68</v>
      </c>
      <c r="M1778" t="str">
        <f t="shared" si="108"/>
        <v>Jul</v>
      </c>
      <c r="N1778">
        <f t="shared" si="109"/>
        <v>7</v>
      </c>
      <c r="O1778">
        <f t="shared" si="110"/>
        <v>219.678</v>
      </c>
      <c r="P1778" t="str">
        <f t="shared" si="111"/>
        <v>OK</v>
      </c>
    </row>
    <row r="1779" spans="1:16" x14ac:dyDescent="0.35">
      <c r="A1779" t="s">
        <v>2186</v>
      </c>
      <c r="B1779" s="3">
        <v>45645</v>
      </c>
      <c r="C1779" t="s">
        <v>65</v>
      </c>
      <c r="D1779" t="s">
        <v>57</v>
      </c>
      <c r="E1779" t="s">
        <v>150</v>
      </c>
      <c r="F1779" t="s">
        <v>53</v>
      </c>
      <c r="G1779" t="s">
        <v>125</v>
      </c>
      <c r="H1779">
        <v>3</v>
      </c>
      <c r="I1779">
        <v>247.53</v>
      </c>
      <c r="J1779">
        <v>0.1</v>
      </c>
      <c r="K1779">
        <v>668.33</v>
      </c>
      <c r="M1779" t="str">
        <f t="shared" si="108"/>
        <v>Dec</v>
      </c>
      <c r="N1779">
        <f t="shared" si="109"/>
        <v>12</v>
      </c>
      <c r="O1779">
        <f t="shared" si="110"/>
        <v>668.33100000000002</v>
      </c>
      <c r="P1779" t="str">
        <f t="shared" si="111"/>
        <v>OK</v>
      </c>
    </row>
    <row r="1780" spans="1:16" x14ac:dyDescent="0.35">
      <c r="A1780" t="s">
        <v>2187</v>
      </c>
      <c r="B1780" s="3">
        <v>45400</v>
      </c>
      <c r="C1780" t="s">
        <v>41</v>
      </c>
      <c r="D1780" t="s">
        <v>42</v>
      </c>
      <c r="E1780" t="s">
        <v>865</v>
      </c>
      <c r="F1780" t="s">
        <v>35</v>
      </c>
      <c r="G1780" t="s">
        <v>177</v>
      </c>
      <c r="H1780">
        <v>11</v>
      </c>
      <c r="I1780">
        <v>51.59</v>
      </c>
      <c r="J1780">
        <v>0.05</v>
      </c>
      <c r="K1780">
        <v>539.12</v>
      </c>
      <c r="M1780" t="str">
        <f t="shared" si="108"/>
        <v>Apr</v>
      </c>
      <c r="N1780">
        <f t="shared" si="109"/>
        <v>4</v>
      </c>
      <c r="O1780">
        <f t="shared" si="110"/>
        <v>539.1155</v>
      </c>
      <c r="P1780" t="str">
        <f t="shared" si="111"/>
        <v>OK</v>
      </c>
    </row>
    <row r="1781" spans="1:16" x14ac:dyDescent="0.35">
      <c r="A1781" t="s">
        <v>2188</v>
      </c>
      <c r="B1781" s="3">
        <v>45398</v>
      </c>
      <c r="C1781" t="s">
        <v>24</v>
      </c>
      <c r="D1781" t="s">
        <v>13</v>
      </c>
      <c r="E1781" t="s">
        <v>263</v>
      </c>
      <c r="F1781" t="s">
        <v>15</v>
      </c>
      <c r="G1781" t="s">
        <v>74</v>
      </c>
      <c r="H1781">
        <v>6</v>
      </c>
      <c r="I1781">
        <v>127.71</v>
      </c>
      <c r="J1781">
        <v>0.1</v>
      </c>
      <c r="K1781">
        <v>689.63</v>
      </c>
      <c r="M1781" t="str">
        <f t="shared" si="108"/>
        <v>Apr</v>
      </c>
      <c r="N1781">
        <f t="shared" si="109"/>
        <v>4</v>
      </c>
      <c r="O1781">
        <f t="shared" si="110"/>
        <v>689.63400000000001</v>
      </c>
      <c r="P1781" t="str">
        <f t="shared" si="111"/>
        <v>OK</v>
      </c>
    </row>
    <row r="1782" spans="1:16" x14ac:dyDescent="0.35">
      <c r="A1782" t="s">
        <v>2189</v>
      </c>
      <c r="B1782" s="3">
        <v>45586</v>
      </c>
      <c r="C1782" t="s">
        <v>33</v>
      </c>
      <c r="D1782" t="s">
        <v>13</v>
      </c>
      <c r="E1782" t="s">
        <v>315</v>
      </c>
      <c r="F1782" t="s">
        <v>44</v>
      </c>
      <c r="G1782" t="s">
        <v>50</v>
      </c>
      <c r="H1782">
        <v>8</v>
      </c>
      <c r="I1782">
        <v>108.64</v>
      </c>
      <c r="J1782">
        <v>0.15</v>
      </c>
      <c r="K1782">
        <v>738.75</v>
      </c>
      <c r="M1782" t="str">
        <f t="shared" si="108"/>
        <v>Oct</v>
      </c>
      <c r="N1782">
        <f t="shared" si="109"/>
        <v>10</v>
      </c>
      <c r="O1782">
        <f t="shared" si="110"/>
        <v>738.75199999999995</v>
      </c>
      <c r="P1782" t="str">
        <f t="shared" si="111"/>
        <v>OK</v>
      </c>
    </row>
    <row r="1783" spans="1:16" x14ac:dyDescent="0.35">
      <c r="A1783" t="s">
        <v>2190</v>
      </c>
      <c r="B1783" s="3">
        <v>45621</v>
      </c>
      <c r="C1783" t="s">
        <v>65</v>
      </c>
      <c r="D1783" t="s">
        <v>57</v>
      </c>
      <c r="E1783" t="s">
        <v>884</v>
      </c>
      <c r="F1783" t="s">
        <v>44</v>
      </c>
      <c r="G1783" t="s">
        <v>107</v>
      </c>
      <c r="H1783">
        <v>10</v>
      </c>
      <c r="I1783">
        <v>102.43</v>
      </c>
      <c r="J1783">
        <v>0</v>
      </c>
      <c r="K1783">
        <v>1024.3</v>
      </c>
      <c r="M1783" t="str">
        <f t="shared" si="108"/>
        <v>Nov</v>
      </c>
      <c r="N1783">
        <f t="shared" si="109"/>
        <v>11</v>
      </c>
      <c r="O1783">
        <f t="shared" si="110"/>
        <v>1024.3000000000002</v>
      </c>
      <c r="P1783" t="str">
        <f t="shared" si="111"/>
        <v>OK</v>
      </c>
    </row>
    <row r="1784" spans="1:16" x14ac:dyDescent="0.35">
      <c r="A1784" t="s">
        <v>2191</v>
      </c>
      <c r="B1784" s="3">
        <v>45364</v>
      </c>
      <c r="C1784" t="s">
        <v>65</v>
      </c>
      <c r="D1784" t="s">
        <v>57</v>
      </c>
      <c r="E1784" t="s">
        <v>69</v>
      </c>
      <c r="F1784" t="s">
        <v>21</v>
      </c>
      <c r="G1784" t="s">
        <v>194</v>
      </c>
      <c r="H1784">
        <v>8</v>
      </c>
      <c r="I1784">
        <v>156.04</v>
      </c>
      <c r="J1784">
        <v>0.1</v>
      </c>
      <c r="K1784">
        <v>1123.49</v>
      </c>
      <c r="M1784" t="str">
        <f t="shared" si="108"/>
        <v>Mar</v>
      </c>
      <c r="N1784">
        <f t="shared" si="109"/>
        <v>3</v>
      </c>
      <c r="O1784">
        <f t="shared" si="110"/>
        <v>1123.4880000000001</v>
      </c>
      <c r="P1784" t="str">
        <f t="shared" si="111"/>
        <v>OK</v>
      </c>
    </row>
    <row r="1785" spans="1:16" x14ac:dyDescent="0.35">
      <c r="A1785" t="s">
        <v>2192</v>
      </c>
      <c r="B1785" s="3">
        <v>45444</v>
      </c>
      <c r="C1785" t="s">
        <v>65</v>
      </c>
      <c r="D1785" t="s">
        <v>57</v>
      </c>
      <c r="E1785" t="s">
        <v>113</v>
      </c>
      <c r="F1785" t="s">
        <v>44</v>
      </c>
      <c r="G1785" t="s">
        <v>50</v>
      </c>
      <c r="H1785">
        <v>1</v>
      </c>
      <c r="I1785">
        <v>56.13</v>
      </c>
      <c r="J1785">
        <v>0</v>
      </c>
      <c r="K1785">
        <v>56.13</v>
      </c>
      <c r="M1785" t="str">
        <f t="shared" si="108"/>
        <v>Jun</v>
      </c>
      <c r="N1785">
        <f t="shared" si="109"/>
        <v>6</v>
      </c>
      <c r="O1785">
        <f t="shared" si="110"/>
        <v>56.13</v>
      </c>
      <c r="P1785" t="str">
        <f t="shared" si="111"/>
        <v>OK</v>
      </c>
    </row>
    <row r="1786" spans="1:16" x14ac:dyDescent="0.35">
      <c r="A1786" t="s">
        <v>2193</v>
      </c>
      <c r="B1786" s="3">
        <v>45366</v>
      </c>
      <c r="C1786" t="s">
        <v>41</v>
      </c>
      <c r="D1786" t="s">
        <v>42</v>
      </c>
      <c r="E1786" t="s">
        <v>526</v>
      </c>
      <c r="F1786" t="s">
        <v>35</v>
      </c>
      <c r="G1786" t="s">
        <v>36</v>
      </c>
      <c r="H1786">
        <v>1</v>
      </c>
      <c r="I1786">
        <v>83.45</v>
      </c>
      <c r="J1786">
        <v>0.1</v>
      </c>
      <c r="K1786">
        <v>75.11</v>
      </c>
      <c r="M1786" t="str">
        <f t="shared" si="108"/>
        <v>Mar</v>
      </c>
      <c r="N1786">
        <f t="shared" si="109"/>
        <v>3</v>
      </c>
      <c r="O1786">
        <f t="shared" si="110"/>
        <v>75.105000000000004</v>
      </c>
      <c r="P1786" t="str">
        <f t="shared" si="111"/>
        <v>OK</v>
      </c>
    </row>
    <row r="1787" spans="1:16" x14ac:dyDescent="0.35">
      <c r="A1787" t="s">
        <v>2195</v>
      </c>
      <c r="B1787" s="3">
        <v>45342</v>
      </c>
      <c r="C1787" t="s">
        <v>41</v>
      </c>
      <c r="D1787" t="s">
        <v>19</v>
      </c>
      <c r="E1787" t="s">
        <v>257</v>
      </c>
      <c r="F1787" t="s">
        <v>44</v>
      </c>
      <c r="G1787" t="s">
        <v>86</v>
      </c>
      <c r="H1787">
        <v>8</v>
      </c>
      <c r="I1787">
        <v>182.77</v>
      </c>
      <c r="J1787">
        <v>0</v>
      </c>
      <c r="K1787">
        <v>1462.16</v>
      </c>
      <c r="M1787" t="str">
        <f t="shared" si="108"/>
        <v>Feb</v>
      </c>
      <c r="N1787">
        <f t="shared" si="109"/>
        <v>2</v>
      </c>
      <c r="O1787">
        <f t="shared" si="110"/>
        <v>1462.16</v>
      </c>
      <c r="P1787" t="str">
        <f t="shared" si="111"/>
        <v>OK</v>
      </c>
    </row>
    <row r="1788" spans="1:16" x14ac:dyDescent="0.35">
      <c r="A1788" t="s">
        <v>2196</v>
      </c>
      <c r="B1788" s="3">
        <v>45546</v>
      </c>
      <c r="C1788" t="s">
        <v>65</v>
      </c>
      <c r="D1788" t="s">
        <v>25</v>
      </c>
      <c r="E1788" t="s">
        <v>470</v>
      </c>
      <c r="F1788" t="s">
        <v>44</v>
      </c>
      <c r="G1788" t="s">
        <v>50</v>
      </c>
      <c r="H1788">
        <v>12</v>
      </c>
      <c r="I1788">
        <v>111.56</v>
      </c>
      <c r="J1788">
        <v>0</v>
      </c>
      <c r="K1788">
        <v>1338.72</v>
      </c>
      <c r="M1788" t="str">
        <f t="shared" si="108"/>
        <v>Sep</v>
      </c>
      <c r="N1788">
        <f t="shared" si="109"/>
        <v>9</v>
      </c>
      <c r="O1788">
        <f t="shared" si="110"/>
        <v>1338.72</v>
      </c>
      <c r="P1788" t="str">
        <f t="shared" si="111"/>
        <v>OK</v>
      </c>
    </row>
    <row r="1789" spans="1:16" x14ac:dyDescent="0.35">
      <c r="A1789" t="s">
        <v>2197</v>
      </c>
      <c r="B1789" s="3">
        <v>45313</v>
      </c>
      <c r="C1789" t="s">
        <v>41</v>
      </c>
      <c r="D1789" t="s">
        <v>42</v>
      </c>
      <c r="E1789" t="s">
        <v>506</v>
      </c>
      <c r="F1789" t="s">
        <v>44</v>
      </c>
      <c r="G1789" t="s">
        <v>86</v>
      </c>
      <c r="H1789">
        <v>1</v>
      </c>
      <c r="I1789">
        <v>74.36</v>
      </c>
      <c r="J1789">
        <v>0</v>
      </c>
      <c r="K1789">
        <v>74.36</v>
      </c>
      <c r="M1789" t="str">
        <f t="shared" si="108"/>
        <v>Jan</v>
      </c>
      <c r="N1789">
        <f t="shared" si="109"/>
        <v>1</v>
      </c>
      <c r="O1789">
        <f t="shared" si="110"/>
        <v>74.36</v>
      </c>
      <c r="P1789" t="str">
        <f t="shared" si="111"/>
        <v>OK</v>
      </c>
    </row>
    <row r="1790" spans="1:16" x14ac:dyDescent="0.35">
      <c r="A1790" t="s">
        <v>2198</v>
      </c>
      <c r="B1790" s="3">
        <v>45584</v>
      </c>
      <c r="C1790" t="s">
        <v>33</v>
      </c>
      <c r="D1790" t="s">
        <v>13</v>
      </c>
      <c r="E1790" t="s">
        <v>542</v>
      </c>
      <c r="F1790" t="s">
        <v>53</v>
      </c>
      <c r="G1790" t="s">
        <v>63</v>
      </c>
      <c r="H1790">
        <v>4</v>
      </c>
      <c r="I1790">
        <v>84.32</v>
      </c>
      <c r="J1790">
        <v>0.05</v>
      </c>
      <c r="K1790">
        <v>320.42</v>
      </c>
      <c r="M1790" t="str">
        <f t="shared" si="108"/>
        <v>Oct</v>
      </c>
      <c r="N1790">
        <f t="shared" si="109"/>
        <v>10</v>
      </c>
      <c r="O1790">
        <f t="shared" si="110"/>
        <v>320.41599999999994</v>
      </c>
      <c r="P1790" t="str">
        <f t="shared" si="111"/>
        <v>OK</v>
      </c>
    </row>
    <row r="1791" spans="1:16" x14ac:dyDescent="0.35">
      <c r="A1791" t="s">
        <v>2199</v>
      </c>
      <c r="B1791" s="3">
        <v>45561</v>
      </c>
      <c r="C1791" t="s">
        <v>65</v>
      </c>
      <c r="D1791" t="s">
        <v>57</v>
      </c>
      <c r="E1791" t="s">
        <v>437</v>
      </c>
      <c r="F1791" t="s">
        <v>35</v>
      </c>
      <c r="G1791" t="s">
        <v>67</v>
      </c>
      <c r="H1791">
        <v>1</v>
      </c>
      <c r="I1791">
        <v>183.06</v>
      </c>
      <c r="J1791">
        <v>0.1</v>
      </c>
      <c r="K1791">
        <v>164.75</v>
      </c>
      <c r="M1791" t="str">
        <f t="shared" si="108"/>
        <v>Sep</v>
      </c>
      <c r="N1791">
        <f t="shared" si="109"/>
        <v>9</v>
      </c>
      <c r="O1791">
        <f t="shared" si="110"/>
        <v>164.75400000000002</v>
      </c>
      <c r="P1791" t="str">
        <f t="shared" si="111"/>
        <v>OK</v>
      </c>
    </row>
    <row r="1792" spans="1:16" x14ac:dyDescent="0.35">
      <c r="A1792" t="s">
        <v>2200</v>
      </c>
      <c r="B1792" s="3">
        <v>45614</v>
      </c>
      <c r="C1792" t="s">
        <v>18</v>
      </c>
      <c r="D1792" t="s">
        <v>25</v>
      </c>
      <c r="E1792" t="s">
        <v>480</v>
      </c>
      <c r="F1792" t="s">
        <v>15</v>
      </c>
      <c r="G1792" t="s">
        <v>27</v>
      </c>
      <c r="H1792">
        <v>2</v>
      </c>
      <c r="I1792">
        <v>142.46</v>
      </c>
      <c r="J1792">
        <v>0.15</v>
      </c>
      <c r="K1792">
        <v>242.18</v>
      </c>
      <c r="M1792" t="str">
        <f t="shared" si="108"/>
        <v>Nov</v>
      </c>
      <c r="N1792">
        <f t="shared" si="109"/>
        <v>11</v>
      </c>
      <c r="O1792">
        <f t="shared" si="110"/>
        <v>242.18200000000002</v>
      </c>
      <c r="P1792" t="str">
        <f t="shared" si="111"/>
        <v>OK</v>
      </c>
    </row>
    <row r="1793" spans="1:16" x14ac:dyDescent="0.35">
      <c r="A1793" t="s">
        <v>2201</v>
      </c>
      <c r="B1793" s="3">
        <v>45468</v>
      </c>
      <c r="C1793" t="s">
        <v>65</v>
      </c>
      <c r="D1793" t="s">
        <v>2216</v>
      </c>
      <c r="E1793" t="s">
        <v>185</v>
      </c>
      <c r="F1793" t="s">
        <v>21</v>
      </c>
      <c r="G1793" t="s">
        <v>194</v>
      </c>
      <c r="H1793">
        <v>2</v>
      </c>
      <c r="I1793">
        <v>162.35</v>
      </c>
      <c r="J1793">
        <v>0</v>
      </c>
      <c r="K1793">
        <v>324.7</v>
      </c>
      <c r="M1793" t="str">
        <f t="shared" si="108"/>
        <v>Jun</v>
      </c>
      <c r="N1793">
        <f t="shared" si="109"/>
        <v>6</v>
      </c>
      <c r="O1793">
        <f t="shared" si="110"/>
        <v>324.7</v>
      </c>
      <c r="P1793" t="str">
        <f t="shared" si="111"/>
        <v>OK</v>
      </c>
    </row>
    <row r="1794" spans="1:16" x14ac:dyDescent="0.35">
      <c r="A1794" t="s">
        <v>2202</v>
      </c>
      <c r="B1794" s="3">
        <v>45294</v>
      </c>
      <c r="C1794" t="s">
        <v>24</v>
      </c>
      <c r="D1794" t="s">
        <v>42</v>
      </c>
      <c r="E1794" t="s">
        <v>590</v>
      </c>
      <c r="F1794" t="s">
        <v>35</v>
      </c>
      <c r="G1794" t="s">
        <v>83</v>
      </c>
      <c r="H1794">
        <v>7</v>
      </c>
      <c r="I1794">
        <v>140.54</v>
      </c>
      <c r="J1794">
        <v>0.1</v>
      </c>
      <c r="K1794">
        <v>885.4</v>
      </c>
      <c r="M1794" t="str">
        <f t="shared" si="108"/>
        <v>Jan</v>
      </c>
      <c r="N1794">
        <f t="shared" si="109"/>
        <v>1</v>
      </c>
      <c r="O1794">
        <f t="shared" si="110"/>
        <v>885.40200000000004</v>
      </c>
      <c r="P1794" t="str">
        <f t="shared" si="111"/>
        <v>OK</v>
      </c>
    </row>
    <row r="1795" spans="1:16" x14ac:dyDescent="0.35">
      <c r="A1795" t="s">
        <v>2203</v>
      </c>
      <c r="B1795" s="3">
        <v>45408</v>
      </c>
      <c r="C1795" t="s">
        <v>33</v>
      </c>
      <c r="D1795" t="s">
        <v>57</v>
      </c>
      <c r="E1795" t="s">
        <v>454</v>
      </c>
      <c r="F1795" t="s">
        <v>15</v>
      </c>
      <c r="G1795" t="s">
        <v>74</v>
      </c>
      <c r="H1795">
        <v>3</v>
      </c>
      <c r="I1795">
        <v>183.16</v>
      </c>
      <c r="J1795">
        <v>0</v>
      </c>
      <c r="K1795">
        <v>549.48</v>
      </c>
      <c r="M1795" t="str">
        <f t="shared" ref="M1795:M1808" si="112">TEXT(B1795,"mmm")</f>
        <v>Apr</v>
      </c>
      <c r="N1795">
        <f t="shared" ref="N1795:N1808" si="113">MONTH(B1795)</f>
        <v>4</v>
      </c>
      <c r="O1795">
        <f t="shared" ref="O1795:O1808" si="114">H1795*I1795*(1-J1795)</f>
        <v>549.48</v>
      </c>
      <c r="P1795" t="str">
        <f t="shared" ref="P1795:P1808" si="115">IF(ROUND(K1795,2)=ROUND(O1795,2),"OK","MISMATCH")</f>
        <v>OK</v>
      </c>
    </row>
    <row r="1796" spans="1:16" x14ac:dyDescent="0.35">
      <c r="A1796" t="s">
        <v>2204</v>
      </c>
      <c r="B1796" s="3">
        <v>45294</v>
      </c>
      <c r="C1796" t="s">
        <v>18</v>
      </c>
      <c r="D1796" t="s">
        <v>13</v>
      </c>
      <c r="E1796" t="s">
        <v>193</v>
      </c>
      <c r="F1796" t="s">
        <v>53</v>
      </c>
      <c r="G1796" t="s">
        <v>59</v>
      </c>
      <c r="H1796">
        <v>1</v>
      </c>
      <c r="I1796">
        <v>88.28</v>
      </c>
      <c r="J1796">
        <v>0.1</v>
      </c>
      <c r="K1796">
        <v>79.45</v>
      </c>
      <c r="M1796" t="str">
        <f t="shared" si="112"/>
        <v>Jan</v>
      </c>
      <c r="N1796">
        <f t="shared" si="113"/>
        <v>1</v>
      </c>
      <c r="O1796">
        <f t="shared" si="114"/>
        <v>79.451999999999998</v>
      </c>
      <c r="P1796" t="str">
        <f t="shared" si="115"/>
        <v>OK</v>
      </c>
    </row>
    <row r="1797" spans="1:16" x14ac:dyDescent="0.35">
      <c r="A1797" t="s">
        <v>2205</v>
      </c>
      <c r="B1797" s="3">
        <v>45373</v>
      </c>
      <c r="C1797" t="s">
        <v>18</v>
      </c>
      <c r="D1797" t="s">
        <v>25</v>
      </c>
      <c r="E1797" t="s">
        <v>77</v>
      </c>
      <c r="F1797" t="s">
        <v>35</v>
      </c>
      <c r="G1797" t="s">
        <v>67</v>
      </c>
      <c r="H1797">
        <v>6</v>
      </c>
      <c r="I1797">
        <v>99.04</v>
      </c>
      <c r="J1797">
        <v>0</v>
      </c>
      <c r="K1797">
        <v>594.24</v>
      </c>
      <c r="M1797" t="str">
        <f t="shared" si="112"/>
        <v>Mar</v>
      </c>
      <c r="N1797">
        <f t="shared" si="113"/>
        <v>3</v>
      </c>
      <c r="O1797">
        <f t="shared" si="114"/>
        <v>594.24</v>
      </c>
      <c r="P1797" t="str">
        <f t="shared" si="115"/>
        <v>OK</v>
      </c>
    </row>
    <row r="1798" spans="1:16" x14ac:dyDescent="0.35">
      <c r="A1798" t="s">
        <v>2206</v>
      </c>
      <c r="B1798" s="3">
        <v>45473</v>
      </c>
      <c r="C1798" t="s">
        <v>41</v>
      </c>
      <c r="D1798" t="s">
        <v>25</v>
      </c>
      <c r="E1798" t="s">
        <v>263</v>
      </c>
      <c r="F1798" t="s">
        <v>44</v>
      </c>
      <c r="G1798" t="s">
        <v>50</v>
      </c>
      <c r="H1798">
        <v>9</v>
      </c>
      <c r="I1798">
        <v>189.15</v>
      </c>
      <c r="J1798">
        <v>0.05</v>
      </c>
      <c r="K1798">
        <v>1617.23</v>
      </c>
      <c r="M1798" t="str">
        <f t="shared" si="112"/>
        <v>Jun</v>
      </c>
      <c r="N1798">
        <f t="shared" si="113"/>
        <v>6</v>
      </c>
      <c r="O1798">
        <f t="shared" si="114"/>
        <v>1617.2325000000001</v>
      </c>
      <c r="P1798" t="str">
        <f t="shared" si="115"/>
        <v>OK</v>
      </c>
    </row>
    <row r="1799" spans="1:16" x14ac:dyDescent="0.35">
      <c r="A1799" t="s">
        <v>2207</v>
      </c>
      <c r="B1799" s="3">
        <v>45571</v>
      </c>
      <c r="C1799" t="s">
        <v>18</v>
      </c>
      <c r="D1799" t="s">
        <v>19</v>
      </c>
      <c r="E1799" t="s">
        <v>180</v>
      </c>
      <c r="F1799" t="s">
        <v>21</v>
      </c>
      <c r="G1799" t="s">
        <v>70</v>
      </c>
      <c r="H1799">
        <v>4</v>
      </c>
      <c r="I1799">
        <v>166.25</v>
      </c>
      <c r="J1799">
        <v>0</v>
      </c>
      <c r="K1799">
        <v>665</v>
      </c>
      <c r="M1799" t="str">
        <f t="shared" si="112"/>
        <v>Oct</v>
      </c>
      <c r="N1799">
        <f t="shared" si="113"/>
        <v>10</v>
      </c>
      <c r="O1799">
        <f t="shared" si="114"/>
        <v>665</v>
      </c>
      <c r="P1799" t="str">
        <f t="shared" si="115"/>
        <v>OK</v>
      </c>
    </row>
    <row r="1800" spans="1:16" x14ac:dyDescent="0.35">
      <c r="A1800" t="s">
        <v>2208</v>
      </c>
      <c r="B1800" s="3">
        <v>45490</v>
      </c>
      <c r="C1800" t="s">
        <v>65</v>
      </c>
      <c r="D1800" t="s">
        <v>19</v>
      </c>
      <c r="E1800" t="s">
        <v>343</v>
      </c>
      <c r="F1800" t="s">
        <v>35</v>
      </c>
      <c r="G1800" t="s">
        <v>36</v>
      </c>
      <c r="H1800">
        <v>7</v>
      </c>
      <c r="I1800">
        <v>56.07</v>
      </c>
      <c r="J1800">
        <v>0.1</v>
      </c>
      <c r="K1800">
        <v>353.24</v>
      </c>
      <c r="M1800" t="str">
        <f t="shared" si="112"/>
        <v>Jul</v>
      </c>
      <c r="N1800">
        <f t="shared" si="113"/>
        <v>7</v>
      </c>
      <c r="O1800">
        <f t="shared" si="114"/>
        <v>353.24100000000004</v>
      </c>
      <c r="P1800" t="str">
        <f t="shared" si="115"/>
        <v>OK</v>
      </c>
    </row>
    <row r="1801" spans="1:16" x14ac:dyDescent="0.35">
      <c r="A1801" t="s">
        <v>2209</v>
      </c>
      <c r="B1801" s="3">
        <v>45546</v>
      </c>
      <c r="C1801" t="s">
        <v>65</v>
      </c>
      <c r="D1801" t="s">
        <v>25</v>
      </c>
      <c r="E1801" t="s">
        <v>366</v>
      </c>
      <c r="F1801" t="s">
        <v>44</v>
      </c>
      <c r="G1801" t="s">
        <v>45</v>
      </c>
      <c r="H1801">
        <v>4</v>
      </c>
      <c r="I1801">
        <v>195.21</v>
      </c>
      <c r="J1801">
        <v>0.05</v>
      </c>
      <c r="K1801">
        <v>741.8</v>
      </c>
      <c r="M1801" t="str">
        <f t="shared" si="112"/>
        <v>Sep</v>
      </c>
      <c r="N1801">
        <f t="shared" si="113"/>
        <v>9</v>
      </c>
      <c r="O1801">
        <f t="shared" si="114"/>
        <v>741.798</v>
      </c>
      <c r="P1801" t="str">
        <f t="shared" si="115"/>
        <v>OK</v>
      </c>
    </row>
    <row r="1802" spans="1:16" x14ac:dyDescent="0.35">
      <c r="A1802" t="s">
        <v>2210</v>
      </c>
      <c r="B1802" s="3">
        <v>45307</v>
      </c>
      <c r="C1802" t="s">
        <v>65</v>
      </c>
      <c r="D1802" t="s">
        <v>13</v>
      </c>
      <c r="E1802" t="s">
        <v>110</v>
      </c>
      <c r="F1802" t="s">
        <v>44</v>
      </c>
      <c r="G1802" t="s">
        <v>86</v>
      </c>
      <c r="H1802">
        <v>2</v>
      </c>
      <c r="I1802">
        <v>94.48</v>
      </c>
      <c r="J1802">
        <v>0</v>
      </c>
      <c r="K1802">
        <v>188.96</v>
      </c>
      <c r="M1802" t="str">
        <f t="shared" si="112"/>
        <v>Jan</v>
      </c>
      <c r="N1802">
        <f t="shared" si="113"/>
        <v>1</v>
      </c>
      <c r="O1802">
        <f t="shared" si="114"/>
        <v>188.96</v>
      </c>
      <c r="P1802" t="str">
        <f t="shared" si="115"/>
        <v>OK</v>
      </c>
    </row>
    <row r="1803" spans="1:16" x14ac:dyDescent="0.35">
      <c r="A1803" t="s">
        <v>2211</v>
      </c>
      <c r="B1803" s="3">
        <v>45398</v>
      </c>
      <c r="C1803" t="s">
        <v>65</v>
      </c>
      <c r="D1803" t="s">
        <v>42</v>
      </c>
      <c r="E1803" t="s">
        <v>246</v>
      </c>
      <c r="F1803" t="s">
        <v>21</v>
      </c>
      <c r="G1803" t="s">
        <v>70</v>
      </c>
      <c r="H1803">
        <v>1</v>
      </c>
      <c r="I1803">
        <v>79.28</v>
      </c>
      <c r="J1803">
        <v>0</v>
      </c>
      <c r="K1803">
        <v>79.28</v>
      </c>
      <c r="M1803" t="str">
        <f t="shared" si="112"/>
        <v>Apr</v>
      </c>
      <c r="N1803">
        <f t="shared" si="113"/>
        <v>4</v>
      </c>
      <c r="O1803">
        <f t="shared" si="114"/>
        <v>79.28</v>
      </c>
      <c r="P1803" t="str">
        <f t="shared" si="115"/>
        <v>OK</v>
      </c>
    </row>
    <row r="1804" spans="1:16" x14ac:dyDescent="0.35">
      <c r="A1804" t="s">
        <v>2212</v>
      </c>
      <c r="B1804" s="3">
        <v>45577</v>
      </c>
      <c r="C1804" t="s">
        <v>24</v>
      </c>
      <c r="D1804" t="s">
        <v>25</v>
      </c>
      <c r="E1804" t="s">
        <v>117</v>
      </c>
      <c r="F1804" t="s">
        <v>15</v>
      </c>
      <c r="G1804" t="s">
        <v>74</v>
      </c>
      <c r="H1804">
        <v>3</v>
      </c>
      <c r="I1804">
        <v>103.54</v>
      </c>
      <c r="J1804">
        <v>0</v>
      </c>
      <c r="K1804">
        <v>310.62</v>
      </c>
      <c r="M1804" t="str">
        <f t="shared" si="112"/>
        <v>Oct</v>
      </c>
      <c r="N1804">
        <f t="shared" si="113"/>
        <v>10</v>
      </c>
      <c r="O1804">
        <f t="shared" si="114"/>
        <v>310.62</v>
      </c>
      <c r="P1804" t="str">
        <f t="shared" si="115"/>
        <v>OK</v>
      </c>
    </row>
    <row r="1805" spans="1:16" x14ac:dyDescent="0.35">
      <c r="A1805" t="s">
        <v>2213</v>
      </c>
      <c r="B1805" s="3">
        <v>45319</v>
      </c>
      <c r="C1805" t="s">
        <v>18</v>
      </c>
      <c r="D1805" t="s">
        <v>25</v>
      </c>
      <c r="E1805" t="s">
        <v>586</v>
      </c>
      <c r="F1805" t="s">
        <v>35</v>
      </c>
      <c r="G1805" t="s">
        <v>67</v>
      </c>
      <c r="H1805">
        <v>11</v>
      </c>
      <c r="I1805">
        <v>118.58</v>
      </c>
      <c r="J1805">
        <v>0.05</v>
      </c>
      <c r="K1805">
        <v>1239.1600000000001</v>
      </c>
      <c r="M1805" t="str">
        <f t="shared" si="112"/>
        <v>Jan</v>
      </c>
      <c r="N1805">
        <f t="shared" si="113"/>
        <v>1</v>
      </c>
      <c r="O1805">
        <f t="shared" si="114"/>
        <v>1239.1609999999998</v>
      </c>
      <c r="P1805" t="str">
        <f t="shared" si="115"/>
        <v>OK</v>
      </c>
    </row>
    <row r="1806" spans="1:16" x14ac:dyDescent="0.35">
      <c r="A1806" t="s">
        <v>359</v>
      </c>
      <c r="B1806" s="3">
        <v>45341</v>
      </c>
      <c r="C1806" t="s">
        <v>41</v>
      </c>
      <c r="D1806" t="s">
        <v>25</v>
      </c>
      <c r="E1806" t="s">
        <v>360</v>
      </c>
      <c r="F1806" t="s">
        <v>44</v>
      </c>
      <c r="G1806" t="s">
        <v>45</v>
      </c>
      <c r="H1806">
        <v>7</v>
      </c>
      <c r="I1806">
        <v>48.16</v>
      </c>
      <c r="J1806">
        <v>0</v>
      </c>
      <c r="K1806">
        <v>337.12</v>
      </c>
      <c r="M1806" t="str">
        <f t="shared" si="112"/>
        <v>Feb</v>
      </c>
      <c r="N1806">
        <f t="shared" si="113"/>
        <v>2</v>
      </c>
      <c r="O1806">
        <f t="shared" si="114"/>
        <v>337.12</v>
      </c>
      <c r="P1806" t="str">
        <f t="shared" si="115"/>
        <v>OK</v>
      </c>
    </row>
    <row r="1807" spans="1:16" x14ac:dyDescent="0.35">
      <c r="A1807" t="s">
        <v>2214</v>
      </c>
      <c r="B1807" s="3">
        <v>45339</v>
      </c>
      <c r="C1807" t="s">
        <v>41</v>
      </c>
      <c r="D1807" t="s">
        <v>13</v>
      </c>
      <c r="E1807" t="s">
        <v>881</v>
      </c>
      <c r="F1807" t="s">
        <v>21</v>
      </c>
      <c r="G1807" t="s">
        <v>167</v>
      </c>
      <c r="H1807">
        <v>2</v>
      </c>
      <c r="I1807">
        <v>247.11</v>
      </c>
      <c r="J1807">
        <v>0.05</v>
      </c>
      <c r="K1807">
        <v>469.51</v>
      </c>
      <c r="M1807" t="str">
        <f t="shared" si="112"/>
        <v>Feb</v>
      </c>
      <c r="N1807">
        <f t="shared" si="113"/>
        <v>2</v>
      </c>
      <c r="O1807">
        <f t="shared" si="114"/>
        <v>469.50900000000001</v>
      </c>
      <c r="P1807" t="str">
        <f t="shared" si="115"/>
        <v>OK</v>
      </c>
    </row>
    <row r="1808" spans="1:16" x14ac:dyDescent="0.35">
      <c r="A1808" t="s">
        <v>2215</v>
      </c>
      <c r="B1808" s="3">
        <v>45462</v>
      </c>
      <c r="C1808" t="s">
        <v>90</v>
      </c>
      <c r="D1808" t="s">
        <v>13</v>
      </c>
      <c r="E1808" t="s">
        <v>390</v>
      </c>
      <c r="F1808" t="s">
        <v>44</v>
      </c>
      <c r="G1808" t="s">
        <v>86</v>
      </c>
      <c r="H1808">
        <v>3</v>
      </c>
      <c r="I1808">
        <v>132.24</v>
      </c>
      <c r="J1808">
        <v>0.1</v>
      </c>
      <c r="K1808">
        <v>357.05</v>
      </c>
      <c r="M1808" t="str">
        <f t="shared" si="112"/>
        <v>Jun</v>
      </c>
      <c r="N1808">
        <f t="shared" si="113"/>
        <v>6</v>
      </c>
      <c r="O1808">
        <f t="shared" si="114"/>
        <v>357.04800000000006</v>
      </c>
      <c r="P1808" t="str">
        <f t="shared" si="115"/>
        <v>OK</v>
      </c>
    </row>
    <row r="1810" spans="10:11" x14ac:dyDescent="0.35">
      <c r="J1810" t="s">
        <v>2223</v>
      </c>
      <c r="K1810">
        <f>SUM(K2:K1808)</f>
        <v>1469672.5899999985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5F6F-1D40-4409-A966-E2AAA68D8A11}">
  <dimension ref="A3:B9"/>
  <sheetViews>
    <sheetView workbookViewId="0">
      <selection activeCell="A5" sqref="A5"/>
    </sheetView>
  </sheetViews>
  <sheetFormatPr defaultRowHeight="14.5" x14ac:dyDescent="0.35"/>
  <cols>
    <col min="1" max="1" width="12.453125" bestFit="1" customWidth="1"/>
    <col min="2" max="2" width="11.54296875" bestFit="1" customWidth="1"/>
  </cols>
  <sheetData>
    <row r="3" spans="1:2" x14ac:dyDescent="0.35">
      <c r="A3" s="4" t="s">
        <v>2224</v>
      </c>
      <c r="B3" t="s">
        <v>2226</v>
      </c>
    </row>
    <row r="4" spans="1:2" x14ac:dyDescent="0.35">
      <c r="A4" s="5" t="s">
        <v>41</v>
      </c>
      <c r="B4">
        <v>285736.13</v>
      </c>
    </row>
    <row r="5" spans="1:2" x14ac:dyDescent="0.35">
      <c r="A5" s="5" t="s">
        <v>24</v>
      </c>
      <c r="B5">
        <v>259343.65000000002</v>
      </c>
    </row>
    <row r="6" spans="1:2" x14ac:dyDescent="0.35">
      <c r="A6" s="5" t="s">
        <v>65</v>
      </c>
      <c r="B6">
        <v>293548.70999999996</v>
      </c>
    </row>
    <row r="7" spans="1:2" x14ac:dyDescent="0.35">
      <c r="A7" s="5" t="s">
        <v>33</v>
      </c>
      <c r="B7">
        <v>323086.54000000015</v>
      </c>
    </row>
    <row r="8" spans="1:2" x14ac:dyDescent="0.35">
      <c r="A8" s="5" t="s">
        <v>18</v>
      </c>
      <c r="B8">
        <v>307957.56</v>
      </c>
    </row>
    <row r="9" spans="1:2" x14ac:dyDescent="0.35">
      <c r="A9" s="5" t="s">
        <v>2225</v>
      </c>
      <c r="B9">
        <v>1469672.5900000003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9BE30-A8DF-4562-B41D-1408D2BC097E}">
  <dimension ref="A3:C9"/>
  <sheetViews>
    <sheetView workbookViewId="0">
      <selection activeCell="B6" sqref="B6"/>
    </sheetView>
  </sheetViews>
  <sheetFormatPr defaultRowHeight="14.5" x14ac:dyDescent="0.35"/>
  <cols>
    <col min="1" max="1" width="13.7265625" bestFit="1" customWidth="1"/>
    <col min="2" max="2" width="11.54296875" bestFit="1" customWidth="1"/>
    <col min="3" max="3" width="10.90625" bestFit="1" customWidth="1"/>
  </cols>
  <sheetData>
    <row r="3" spans="1:3" x14ac:dyDescent="0.35">
      <c r="A3" s="4" t="s">
        <v>2224</v>
      </c>
      <c r="B3" t="s">
        <v>2226</v>
      </c>
      <c r="C3" t="s">
        <v>2227</v>
      </c>
    </row>
    <row r="4" spans="1:3" x14ac:dyDescent="0.35">
      <c r="A4" s="5" t="s">
        <v>44</v>
      </c>
      <c r="B4">
        <v>312067.54999999987</v>
      </c>
      <c r="C4">
        <v>385</v>
      </c>
    </row>
    <row r="5" spans="1:3" x14ac:dyDescent="0.35">
      <c r="A5" s="5" t="s">
        <v>53</v>
      </c>
      <c r="B5">
        <v>286356.47999999998</v>
      </c>
      <c r="C5">
        <v>353</v>
      </c>
    </row>
    <row r="6" spans="1:3" x14ac:dyDescent="0.35">
      <c r="A6" s="5" t="s">
        <v>15</v>
      </c>
      <c r="B6">
        <v>299297.51000000018</v>
      </c>
      <c r="C6">
        <v>354</v>
      </c>
    </row>
    <row r="7" spans="1:3" x14ac:dyDescent="0.35">
      <c r="A7" s="5" t="s">
        <v>35</v>
      </c>
      <c r="B7">
        <v>270018.15999999986</v>
      </c>
      <c r="C7">
        <v>344</v>
      </c>
    </row>
    <row r="8" spans="1:3" x14ac:dyDescent="0.35">
      <c r="A8" s="5" t="s">
        <v>21</v>
      </c>
      <c r="B8">
        <v>301932.89000000007</v>
      </c>
      <c r="C8">
        <v>371</v>
      </c>
    </row>
    <row r="9" spans="1:3" x14ac:dyDescent="0.35">
      <c r="A9" s="5" t="s">
        <v>2225</v>
      </c>
      <c r="B9">
        <v>1469672.5899999968</v>
      </c>
      <c r="C9">
        <v>1807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E0F3-0AED-4710-B598-CE77A4708A2F}">
  <dimension ref="A3:B28"/>
  <sheetViews>
    <sheetView workbookViewId="0">
      <selection activeCell="B9" sqref="B9"/>
    </sheetView>
  </sheetViews>
  <sheetFormatPr defaultRowHeight="14.5" x14ac:dyDescent="0.35"/>
  <cols>
    <col min="1" max="1" width="12.453125" bestFit="1" customWidth="1"/>
    <col min="2" max="2" width="11.54296875" bestFit="1" customWidth="1"/>
  </cols>
  <sheetData>
    <row r="3" spans="1:2" x14ac:dyDescent="0.35">
      <c r="A3" s="4" t="s">
        <v>2224</v>
      </c>
      <c r="B3" t="s">
        <v>2226</v>
      </c>
    </row>
    <row r="4" spans="1:2" x14ac:dyDescent="0.35">
      <c r="A4" s="5">
        <v>1</v>
      </c>
      <c r="B4">
        <v>120843.15</v>
      </c>
    </row>
    <row r="5" spans="1:2" x14ac:dyDescent="0.35">
      <c r="A5" s="6" t="s">
        <v>2228</v>
      </c>
      <c r="B5">
        <v>120843.15</v>
      </c>
    </row>
    <row r="6" spans="1:2" x14ac:dyDescent="0.35">
      <c r="A6" s="5">
        <v>2</v>
      </c>
      <c r="B6">
        <v>111720.68999999997</v>
      </c>
    </row>
    <row r="7" spans="1:2" x14ac:dyDescent="0.35">
      <c r="A7" s="6" t="s">
        <v>2229</v>
      </c>
      <c r="B7">
        <v>111720.68999999997</v>
      </c>
    </row>
    <row r="8" spans="1:2" x14ac:dyDescent="0.35">
      <c r="A8" s="5">
        <v>3</v>
      </c>
      <c r="B8">
        <v>117168.70000000004</v>
      </c>
    </row>
    <row r="9" spans="1:2" x14ac:dyDescent="0.35">
      <c r="A9" s="6" t="s">
        <v>2230</v>
      </c>
      <c r="B9">
        <v>117168.70000000004</v>
      </c>
    </row>
    <row r="10" spans="1:2" x14ac:dyDescent="0.35">
      <c r="A10" s="5">
        <v>4</v>
      </c>
      <c r="B10">
        <v>125722.18000000001</v>
      </c>
    </row>
    <row r="11" spans="1:2" x14ac:dyDescent="0.35">
      <c r="A11" s="6" t="s">
        <v>2231</v>
      </c>
      <c r="B11">
        <v>125722.18000000001</v>
      </c>
    </row>
    <row r="12" spans="1:2" x14ac:dyDescent="0.35">
      <c r="A12" s="5">
        <v>5</v>
      </c>
      <c r="B12">
        <v>96967.330000000016</v>
      </c>
    </row>
    <row r="13" spans="1:2" x14ac:dyDescent="0.35">
      <c r="A13" s="6" t="s">
        <v>2232</v>
      </c>
      <c r="B13">
        <v>96967.330000000016</v>
      </c>
    </row>
    <row r="14" spans="1:2" x14ac:dyDescent="0.35">
      <c r="A14" s="5">
        <v>6</v>
      </c>
      <c r="B14">
        <v>129806.62000000007</v>
      </c>
    </row>
    <row r="15" spans="1:2" x14ac:dyDescent="0.35">
      <c r="A15" s="6" t="s">
        <v>2233</v>
      </c>
      <c r="B15">
        <v>129806.62000000007</v>
      </c>
    </row>
    <row r="16" spans="1:2" x14ac:dyDescent="0.35">
      <c r="A16" s="5">
        <v>7</v>
      </c>
      <c r="B16">
        <v>133468.89999999997</v>
      </c>
    </row>
    <row r="17" spans="1:2" x14ac:dyDescent="0.35">
      <c r="A17" s="6" t="s">
        <v>2234</v>
      </c>
      <c r="B17">
        <v>133468.89999999997</v>
      </c>
    </row>
    <row r="18" spans="1:2" x14ac:dyDescent="0.35">
      <c r="A18" s="5">
        <v>8</v>
      </c>
      <c r="B18">
        <v>141069.60999999993</v>
      </c>
    </row>
    <row r="19" spans="1:2" x14ac:dyDescent="0.35">
      <c r="A19" s="6" t="s">
        <v>2235</v>
      </c>
      <c r="B19">
        <v>141069.60999999993</v>
      </c>
    </row>
    <row r="20" spans="1:2" x14ac:dyDescent="0.35">
      <c r="A20" s="5">
        <v>9</v>
      </c>
      <c r="B20">
        <v>108093.58999999998</v>
      </c>
    </row>
    <row r="21" spans="1:2" x14ac:dyDescent="0.35">
      <c r="A21" s="6" t="s">
        <v>2236</v>
      </c>
      <c r="B21">
        <v>108093.58999999998</v>
      </c>
    </row>
    <row r="22" spans="1:2" x14ac:dyDescent="0.35">
      <c r="A22" s="5">
        <v>10</v>
      </c>
      <c r="B22">
        <v>134700.57000000004</v>
      </c>
    </row>
    <row r="23" spans="1:2" x14ac:dyDescent="0.35">
      <c r="A23" s="6" t="s">
        <v>2237</v>
      </c>
      <c r="B23">
        <v>134700.57000000004</v>
      </c>
    </row>
    <row r="24" spans="1:2" x14ac:dyDescent="0.35">
      <c r="A24" s="5">
        <v>11</v>
      </c>
      <c r="B24">
        <v>131411.23000000004</v>
      </c>
    </row>
    <row r="25" spans="1:2" x14ac:dyDescent="0.35">
      <c r="A25" s="6" t="s">
        <v>2238</v>
      </c>
      <c r="B25">
        <v>131411.23000000004</v>
      </c>
    </row>
    <row r="26" spans="1:2" x14ac:dyDescent="0.35">
      <c r="A26" s="5">
        <v>12</v>
      </c>
      <c r="B26">
        <v>118700.01999999999</v>
      </c>
    </row>
    <row r="27" spans="1:2" x14ac:dyDescent="0.35">
      <c r="A27" s="6" t="s">
        <v>2239</v>
      </c>
      <c r="B27">
        <v>118700.01999999999</v>
      </c>
    </row>
    <row r="28" spans="1:2" x14ac:dyDescent="0.35">
      <c r="A28" s="5" t="s">
        <v>2225</v>
      </c>
      <c r="B28">
        <v>1469672.59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8BBE-D6D2-4C6D-B90E-9D355C769327}">
  <dimension ref="A3:B205"/>
  <sheetViews>
    <sheetView zoomScale="40" workbookViewId="0">
      <selection activeCell="H11" sqref="H11"/>
    </sheetView>
  </sheetViews>
  <sheetFormatPr defaultRowHeight="14.5" x14ac:dyDescent="0.35"/>
  <cols>
    <col min="1" max="1" width="20.81640625" bestFit="1" customWidth="1"/>
    <col min="2" max="2" width="17.36328125" bestFit="1" customWidth="1"/>
  </cols>
  <sheetData>
    <row r="3" spans="1:2" x14ac:dyDescent="0.35">
      <c r="A3" s="4" t="s">
        <v>2224</v>
      </c>
      <c r="B3" t="s">
        <v>2226</v>
      </c>
    </row>
    <row r="4" spans="1:2" x14ac:dyDescent="0.35">
      <c r="A4" s="5" t="s">
        <v>2217</v>
      </c>
      <c r="B4">
        <v>19403.86</v>
      </c>
    </row>
    <row r="5" spans="1:2" x14ac:dyDescent="0.35">
      <c r="A5" s="5" t="s">
        <v>288</v>
      </c>
      <c r="B5">
        <v>17184.709999999995</v>
      </c>
    </row>
    <row r="6" spans="1:2" x14ac:dyDescent="0.35">
      <c r="A6" s="5" t="s">
        <v>825</v>
      </c>
      <c r="B6">
        <v>16878.380000000005</v>
      </c>
    </row>
    <row r="7" spans="1:2" x14ac:dyDescent="0.35">
      <c r="A7" s="5" t="s">
        <v>547</v>
      </c>
      <c r="B7">
        <v>15132.619999999999</v>
      </c>
    </row>
    <row r="8" spans="1:2" x14ac:dyDescent="0.35">
      <c r="A8" s="5" t="s">
        <v>139</v>
      </c>
      <c r="B8">
        <v>13887.010000000002</v>
      </c>
    </row>
    <row r="9" spans="1:2" x14ac:dyDescent="0.35">
      <c r="A9" s="5" t="s">
        <v>155</v>
      </c>
      <c r="B9">
        <v>13687.64</v>
      </c>
    </row>
    <row r="10" spans="1:2" x14ac:dyDescent="0.35">
      <c r="A10" s="5" t="s">
        <v>454</v>
      </c>
      <c r="B10">
        <v>13601.400000000001</v>
      </c>
    </row>
    <row r="11" spans="1:2" x14ac:dyDescent="0.35">
      <c r="A11" s="5" t="s">
        <v>110</v>
      </c>
      <c r="B11">
        <v>13471.089999999998</v>
      </c>
    </row>
    <row r="12" spans="1:2" x14ac:dyDescent="0.35">
      <c r="A12" s="5" t="s">
        <v>166</v>
      </c>
      <c r="B12">
        <v>13009.28</v>
      </c>
    </row>
    <row r="13" spans="1:2" x14ac:dyDescent="0.35">
      <c r="A13" s="5" t="s">
        <v>590</v>
      </c>
      <c r="B13">
        <v>12701.03</v>
      </c>
    </row>
    <row r="14" spans="1:2" x14ac:dyDescent="0.35">
      <c r="A14" s="5" t="s">
        <v>52</v>
      </c>
      <c r="B14">
        <v>12676.36</v>
      </c>
    </row>
    <row r="15" spans="1:2" x14ac:dyDescent="0.35">
      <c r="A15" s="5" t="s">
        <v>368</v>
      </c>
      <c r="B15">
        <v>12425.210000000001</v>
      </c>
    </row>
    <row r="16" spans="1:2" x14ac:dyDescent="0.35">
      <c r="A16" s="5" t="s">
        <v>521</v>
      </c>
      <c r="B16">
        <v>12365.31</v>
      </c>
    </row>
    <row r="17" spans="1:2" x14ac:dyDescent="0.35">
      <c r="A17" s="5" t="s">
        <v>404</v>
      </c>
      <c r="B17">
        <v>12312.720000000001</v>
      </c>
    </row>
    <row r="18" spans="1:2" x14ac:dyDescent="0.35">
      <c r="A18" s="5" t="s">
        <v>542</v>
      </c>
      <c r="B18">
        <v>12253.05</v>
      </c>
    </row>
    <row r="19" spans="1:2" x14ac:dyDescent="0.35">
      <c r="A19" s="5" t="s">
        <v>346</v>
      </c>
      <c r="B19">
        <v>12120.060000000001</v>
      </c>
    </row>
    <row r="20" spans="1:2" x14ac:dyDescent="0.35">
      <c r="A20" s="5" t="s">
        <v>14</v>
      </c>
      <c r="B20">
        <v>12054.579999999998</v>
      </c>
    </row>
    <row r="21" spans="1:2" x14ac:dyDescent="0.35">
      <c r="A21" s="5" t="s">
        <v>113</v>
      </c>
      <c r="B21">
        <v>11972.539999999999</v>
      </c>
    </row>
    <row r="22" spans="1:2" x14ac:dyDescent="0.35">
      <c r="A22" s="5" t="s">
        <v>88</v>
      </c>
      <c r="B22">
        <v>11932.54</v>
      </c>
    </row>
    <row r="23" spans="1:2" x14ac:dyDescent="0.35">
      <c r="A23" s="5" t="s">
        <v>117</v>
      </c>
      <c r="B23">
        <v>11839.25</v>
      </c>
    </row>
    <row r="24" spans="1:2" x14ac:dyDescent="0.35">
      <c r="A24" s="5" t="s">
        <v>448</v>
      </c>
      <c r="B24">
        <v>11575.269999999999</v>
      </c>
    </row>
    <row r="25" spans="1:2" x14ac:dyDescent="0.35">
      <c r="A25" s="5" t="s">
        <v>360</v>
      </c>
      <c r="B25">
        <v>11478.130000000003</v>
      </c>
    </row>
    <row r="26" spans="1:2" x14ac:dyDescent="0.35">
      <c r="A26" s="5" t="s">
        <v>197</v>
      </c>
      <c r="B26">
        <v>11440.039999999999</v>
      </c>
    </row>
    <row r="27" spans="1:2" x14ac:dyDescent="0.35">
      <c r="A27" s="5" t="s">
        <v>608</v>
      </c>
      <c r="B27">
        <v>11428.400000000001</v>
      </c>
    </row>
    <row r="28" spans="1:2" x14ac:dyDescent="0.35">
      <c r="A28" s="5" t="s">
        <v>120</v>
      </c>
      <c r="B28">
        <v>11425.179999999998</v>
      </c>
    </row>
    <row r="29" spans="1:2" x14ac:dyDescent="0.35">
      <c r="A29" s="5" t="s">
        <v>137</v>
      </c>
      <c r="B29">
        <v>11401.239999999998</v>
      </c>
    </row>
    <row r="30" spans="1:2" x14ac:dyDescent="0.35">
      <c r="A30" s="5" t="s">
        <v>229</v>
      </c>
      <c r="B30">
        <v>11205.27</v>
      </c>
    </row>
    <row r="31" spans="1:2" x14ac:dyDescent="0.35">
      <c r="A31" s="5" t="s">
        <v>407</v>
      </c>
      <c r="B31">
        <v>11164.35</v>
      </c>
    </row>
    <row r="32" spans="1:2" x14ac:dyDescent="0.35">
      <c r="A32" s="5" t="s">
        <v>477</v>
      </c>
      <c r="B32">
        <v>11025.01</v>
      </c>
    </row>
    <row r="33" spans="1:2" x14ac:dyDescent="0.35">
      <c r="A33" s="5" t="s">
        <v>381</v>
      </c>
      <c r="B33">
        <v>10996.77</v>
      </c>
    </row>
    <row r="34" spans="1:2" x14ac:dyDescent="0.35">
      <c r="A34" s="5" t="s">
        <v>472</v>
      </c>
      <c r="B34">
        <v>10784.530000000002</v>
      </c>
    </row>
    <row r="35" spans="1:2" x14ac:dyDescent="0.35">
      <c r="A35" s="5" t="s">
        <v>881</v>
      </c>
      <c r="B35">
        <v>10660.800000000001</v>
      </c>
    </row>
    <row r="36" spans="1:2" x14ac:dyDescent="0.35">
      <c r="A36" s="5" t="s">
        <v>62</v>
      </c>
      <c r="B36">
        <v>10592.67</v>
      </c>
    </row>
    <row r="37" spans="1:2" x14ac:dyDescent="0.35">
      <c r="A37" s="5" t="s">
        <v>388</v>
      </c>
      <c r="B37">
        <v>10253.209999999999</v>
      </c>
    </row>
    <row r="38" spans="1:2" x14ac:dyDescent="0.35">
      <c r="A38" s="5" t="s">
        <v>415</v>
      </c>
      <c r="B38">
        <v>10156.33</v>
      </c>
    </row>
    <row r="39" spans="1:2" x14ac:dyDescent="0.35">
      <c r="A39" s="5" t="s">
        <v>309</v>
      </c>
      <c r="B39">
        <v>10142.68</v>
      </c>
    </row>
    <row r="40" spans="1:2" x14ac:dyDescent="0.35">
      <c r="A40" s="5" t="s">
        <v>69</v>
      </c>
      <c r="B40">
        <v>10093.25</v>
      </c>
    </row>
    <row r="41" spans="1:2" x14ac:dyDescent="0.35">
      <c r="A41" s="5" t="s">
        <v>296</v>
      </c>
      <c r="B41">
        <v>9831.18</v>
      </c>
    </row>
    <row r="42" spans="1:2" x14ac:dyDescent="0.35">
      <c r="A42" s="5" t="s">
        <v>683</v>
      </c>
      <c r="B42">
        <v>9803.0800000000017</v>
      </c>
    </row>
    <row r="43" spans="1:2" x14ac:dyDescent="0.35">
      <c r="A43" s="5" t="s">
        <v>217</v>
      </c>
      <c r="B43">
        <v>9792.1299999999992</v>
      </c>
    </row>
    <row r="44" spans="1:2" x14ac:dyDescent="0.35">
      <c r="A44" s="5" t="s">
        <v>638</v>
      </c>
      <c r="B44">
        <v>9768.4799999999977</v>
      </c>
    </row>
    <row r="45" spans="1:2" x14ac:dyDescent="0.35">
      <c r="A45" s="5" t="s">
        <v>460</v>
      </c>
      <c r="B45">
        <v>9724.3599999999988</v>
      </c>
    </row>
    <row r="46" spans="1:2" x14ac:dyDescent="0.35">
      <c r="A46" s="5" t="s">
        <v>106</v>
      </c>
      <c r="B46">
        <v>9664.3799999999992</v>
      </c>
    </row>
    <row r="47" spans="1:2" x14ac:dyDescent="0.35">
      <c r="A47" s="5" t="s">
        <v>506</v>
      </c>
      <c r="B47">
        <v>9581.34</v>
      </c>
    </row>
    <row r="48" spans="1:2" x14ac:dyDescent="0.35">
      <c r="A48" s="5" t="s">
        <v>128</v>
      </c>
      <c r="B48">
        <v>9544.27</v>
      </c>
    </row>
    <row r="49" spans="1:2" x14ac:dyDescent="0.35">
      <c r="A49" s="5" t="s">
        <v>82</v>
      </c>
      <c r="B49">
        <v>9540.91</v>
      </c>
    </row>
    <row r="50" spans="1:2" x14ac:dyDescent="0.35">
      <c r="A50" s="5" t="s">
        <v>315</v>
      </c>
      <c r="B50">
        <v>9432.99</v>
      </c>
    </row>
    <row r="51" spans="1:2" x14ac:dyDescent="0.35">
      <c r="A51" s="5" t="s">
        <v>272</v>
      </c>
      <c r="B51">
        <v>9422.9</v>
      </c>
    </row>
    <row r="52" spans="1:2" x14ac:dyDescent="0.35">
      <c r="A52" s="5" t="s">
        <v>370</v>
      </c>
      <c r="B52">
        <v>9391.2900000000009</v>
      </c>
    </row>
    <row r="53" spans="1:2" x14ac:dyDescent="0.35">
      <c r="A53" s="5" t="s">
        <v>212</v>
      </c>
      <c r="B53">
        <v>9380.0200000000023</v>
      </c>
    </row>
    <row r="54" spans="1:2" x14ac:dyDescent="0.35">
      <c r="A54" s="5" t="s">
        <v>484</v>
      </c>
      <c r="B54">
        <v>9351.2199999999993</v>
      </c>
    </row>
    <row r="55" spans="1:2" x14ac:dyDescent="0.35">
      <c r="A55" s="5" t="s">
        <v>43</v>
      </c>
      <c r="B55">
        <v>9202.15</v>
      </c>
    </row>
    <row r="56" spans="1:2" x14ac:dyDescent="0.35">
      <c r="A56" s="5" t="s">
        <v>642</v>
      </c>
      <c r="B56">
        <v>9111.11</v>
      </c>
    </row>
    <row r="57" spans="1:2" x14ac:dyDescent="0.35">
      <c r="A57" s="5" t="s">
        <v>233</v>
      </c>
      <c r="B57">
        <v>8876.5299999999988</v>
      </c>
    </row>
    <row r="58" spans="1:2" x14ac:dyDescent="0.35">
      <c r="A58" s="5" t="s">
        <v>357</v>
      </c>
      <c r="B58">
        <v>8838.4500000000007</v>
      </c>
    </row>
    <row r="59" spans="1:2" x14ac:dyDescent="0.35">
      <c r="A59" s="5" t="s">
        <v>390</v>
      </c>
      <c r="B59">
        <v>8821.86</v>
      </c>
    </row>
    <row r="60" spans="1:2" x14ac:dyDescent="0.35">
      <c r="A60" s="5" t="s">
        <v>160</v>
      </c>
      <c r="B60">
        <v>8772.1999999999989</v>
      </c>
    </row>
    <row r="61" spans="1:2" x14ac:dyDescent="0.35">
      <c r="A61" s="5" t="s">
        <v>152</v>
      </c>
      <c r="B61">
        <v>8754.35</v>
      </c>
    </row>
    <row r="62" spans="1:2" x14ac:dyDescent="0.35">
      <c r="A62" s="5" t="s">
        <v>263</v>
      </c>
      <c r="B62">
        <v>8674.2100000000009</v>
      </c>
    </row>
    <row r="63" spans="1:2" x14ac:dyDescent="0.35">
      <c r="A63" s="5" t="s">
        <v>96</v>
      </c>
      <c r="B63">
        <v>8638.81</v>
      </c>
    </row>
    <row r="64" spans="1:2" x14ac:dyDescent="0.35">
      <c r="A64" s="5" t="s">
        <v>193</v>
      </c>
      <c r="B64">
        <v>8618.3500000000022</v>
      </c>
    </row>
    <row r="65" spans="1:2" x14ac:dyDescent="0.35">
      <c r="A65" s="5" t="s">
        <v>503</v>
      </c>
      <c r="B65">
        <v>8462.08</v>
      </c>
    </row>
    <row r="66" spans="1:2" x14ac:dyDescent="0.35">
      <c r="A66" s="5" t="s">
        <v>282</v>
      </c>
      <c r="B66">
        <v>8400.41</v>
      </c>
    </row>
    <row r="67" spans="1:2" x14ac:dyDescent="0.35">
      <c r="A67" s="5" t="s">
        <v>330</v>
      </c>
      <c r="B67">
        <v>8361.4100000000017</v>
      </c>
    </row>
    <row r="68" spans="1:2" x14ac:dyDescent="0.35">
      <c r="A68" s="5" t="s">
        <v>131</v>
      </c>
      <c r="B68">
        <v>8359.23</v>
      </c>
    </row>
    <row r="69" spans="1:2" x14ac:dyDescent="0.35">
      <c r="A69" s="5" t="s">
        <v>34</v>
      </c>
      <c r="B69">
        <v>8304.1299999999992</v>
      </c>
    </row>
    <row r="70" spans="1:2" x14ac:dyDescent="0.35">
      <c r="A70" s="5" t="s">
        <v>221</v>
      </c>
      <c r="B70">
        <v>8251.33</v>
      </c>
    </row>
    <row r="71" spans="1:2" x14ac:dyDescent="0.35">
      <c r="A71" s="5" t="s">
        <v>480</v>
      </c>
      <c r="B71">
        <v>8251.33</v>
      </c>
    </row>
    <row r="72" spans="1:2" x14ac:dyDescent="0.35">
      <c r="A72" s="5" t="s">
        <v>66</v>
      </c>
      <c r="B72">
        <v>8209.9699999999993</v>
      </c>
    </row>
    <row r="73" spans="1:2" x14ac:dyDescent="0.35">
      <c r="A73" s="5" t="s">
        <v>720</v>
      </c>
      <c r="B73">
        <v>8196.4399999999987</v>
      </c>
    </row>
    <row r="74" spans="1:2" x14ac:dyDescent="0.35">
      <c r="A74" s="5" t="s">
        <v>20</v>
      </c>
      <c r="B74">
        <v>8099.69</v>
      </c>
    </row>
    <row r="75" spans="1:2" x14ac:dyDescent="0.35">
      <c r="A75" s="5" t="s">
        <v>299</v>
      </c>
      <c r="B75">
        <v>8087.82</v>
      </c>
    </row>
    <row r="76" spans="1:2" x14ac:dyDescent="0.35">
      <c r="A76" s="5" t="s">
        <v>351</v>
      </c>
      <c r="B76">
        <v>8077.1799999999994</v>
      </c>
    </row>
    <row r="77" spans="1:2" x14ac:dyDescent="0.35">
      <c r="A77" s="5" t="s">
        <v>339</v>
      </c>
      <c r="B77">
        <v>8022.91</v>
      </c>
    </row>
    <row r="78" spans="1:2" x14ac:dyDescent="0.35">
      <c r="A78" s="5" t="s">
        <v>164</v>
      </c>
      <c r="B78">
        <v>8012.3599999999988</v>
      </c>
    </row>
    <row r="79" spans="1:2" x14ac:dyDescent="0.35">
      <c r="A79" s="5" t="s">
        <v>293</v>
      </c>
      <c r="B79">
        <v>7997.07</v>
      </c>
    </row>
    <row r="80" spans="1:2" x14ac:dyDescent="0.35">
      <c r="A80" s="5" t="s">
        <v>317</v>
      </c>
      <c r="B80">
        <v>7924.82</v>
      </c>
    </row>
    <row r="81" spans="1:2" x14ac:dyDescent="0.35">
      <c r="A81" s="5" t="s">
        <v>343</v>
      </c>
      <c r="B81">
        <v>7892.06</v>
      </c>
    </row>
    <row r="82" spans="1:2" x14ac:dyDescent="0.35">
      <c r="A82" s="5" t="s">
        <v>133</v>
      </c>
      <c r="B82">
        <v>7803.29</v>
      </c>
    </row>
    <row r="83" spans="1:2" x14ac:dyDescent="0.35">
      <c r="A83" s="5" t="s">
        <v>225</v>
      </c>
      <c r="B83">
        <v>7783.7599999999993</v>
      </c>
    </row>
    <row r="84" spans="1:2" x14ac:dyDescent="0.35">
      <c r="A84" s="5" t="s">
        <v>243</v>
      </c>
      <c r="B84">
        <v>7702.89</v>
      </c>
    </row>
    <row r="85" spans="1:2" x14ac:dyDescent="0.35">
      <c r="A85" s="5" t="s">
        <v>439</v>
      </c>
      <c r="B85">
        <v>7644.0499999999984</v>
      </c>
    </row>
    <row r="86" spans="1:2" x14ac:dyDescent="0.35">
      <c r="A86" s="5" t="s">
        <v>348</v>
      </c>
      <c r="B86">
        <v>7629.09</v>
      </c>
    </row>
    <row r="87" spans="1:2" x14ac:dyDescent="0.35">
      <c r="A87" s="5" t="s">
        <v>445</v>
      </c>
      <c r="B87">
        <v>7574.4700000000012</v>
      </c>
    </row>
    <row r="88" spans="1:2" x14ac:dyDescent="0.35">
      <c r="A88" s="5" t="s">
        <v>150</v>
      </c>
      <c r="B88">
        <v>7505.55</v>
      </c>
    </row>
    <row r="89" spans="1:2" x14ac:dyDescent="0.35">
      <c r="A89" s="5" t="s">
        <v>201</v>
      </c>
      <c r="B89">
        <v>7503.3</v>
      </c>
    </row>
    <row r="90" spans="1:2" x14ac:dyDescent="0.35">
      <c r="A90" s="5" t="s">
        <v>865</v>
      </c>
      <c r="B90">
        <v>7391.9000000000015</v>
      </c>
    </row>
    <row r="91" spans="1:2" x14ac:dyDescent="0.35">
      <c r="A91" s="5" t="s">
        <v>842</v>
      </c>
      <c r="B91">
        <v>7338.85</v>
      </c>
    </row>
    <row r="92" spans="1:2" x14ac:dyDescent="0.35">
      <c r="A92" s="5" t="s">
        <v>58</v>
      </c>
      <c r="B92">
        <v>7320.4600000000009</v>
      </c>
    </row>
    <row r="93" spans="1:2" x14ac:dyDescent="0.35">
      <c r="A93" s="5" t="s">
        <v>171</v>
      </c>
      <c r="B93">
        <v>7319.96</v>
      </c>
    </row>
    <row r="94" spans="1:2" x14ac:dyDescent="0.35">
      <c r="A94" s="5" t="s">
        <v>586</v>
      </c>
      <c r="B94">
        <v>7224.39</v>
      </c>
    </row>
    <row r="95" spans="1:2" x14ac:dyDescent="0.35">
      <c r="A95" s="5" t="s">
        <v>674</v>
      </c>
      <c r="B95">
        <v>7213.24</v>
      </c>
    </row>
    <row r="96" spans="1:2" x14ac:dyDescent="0.35">
      <c r="A96" s="5" t="s">
        <v>437</v>
      </c>
      <c r="B96">
        <v>7210.48</v>
      </c>
    </row>
    <row r="97" spans="1:2" x14ac:dyDescent="0.35">
      <c r="A97" s="5" t="s">
        <v>620</v>
      </c>
      <c r="B97">
        <v>7162.28</v>
      </c>
    </row>
    <row r="98" spans="1:2" x14ac:dyDescent="0.35">
      <c r="A98" s="5" t="s">
        <v>510</v>
      </c>
      <c r="B98">
        <v>7158.62</v>
      </c>
    </row>
    <row r="99" spans="1:2" x14ac:dyDescent="0.35">
      <c r="A99" s="5" t="s">
        <v>124</v>
      </c>
      <c r="B99">
        <v>7135.329999999999</v>
      </c>
    </row>
    <row r="100" spans="1:2" x14ac:dyDescent="0.35">
      <c r="A100" s="5" t="s">
        <v>73</v>
      </c>
      <c r="B100">
        <v>7124.4</v>
      </c>
    </row>
    <row r="101" spans="1:2" x14ac:dyDescent="0.35">
      <c r="A101" s="5" t="s">
        <v>238</v>
      </c>
      <c r="B101">
        <v>7096.1399999999994</v>
      </c>
    </row>
    <row r="102" spans="1:2" x14ac:dyDescent="0.35">
      <c r="A102" s="5" t="s">
        <v>100</v>
      </c>
      <c r="B102">
        <v>7081.4700000000012</v>
      </c>
    </row>
    <row r="103" spans="1:2" x14ac:dyDescent="0.35">
      <c r="A103" s="5" t="s">
        <v>30</v>
      </c>
      <c r="B103">
        <v>7068.2699999999995</v>
      </c>
    </row>
    <row r="104" spans="1:2" x14ac:dyDescent="0.35">
      <c r="A104" s="5" t="s">
        <v>142</v>
      </c>
      <c r="B104">
        <v>6993.3300000000008</v>
      </c>
    </row>
    <row r="105" spans="1:2" x14ac:dyDescent="0.35">
      <c r="A105" s="5" t="s">
        <v>385</v>
      </c>
      <c r="B105">
        <v>6849.79</v>
      </c>
    </row>
    <row r="106" spans="1:2" x14ac:dyDescent="0.35">
      <c r="A106" s="5" t="s">
        <v>85</v>
      </c>
      <c r="B106">
        <v>6847.38</v>
      </c>
    </row>
    <row r="107" spans="1:2" x14ac:dyDescent="0.35">
      <c r="A107" s="5" t="s">
        <v>158</v>
      </c>
      <c r="B107">
        <v>6834.1799999999994</v>
      </c>
    </row>
    <row r="108" spans="1:2" x14ac:dyDescent="0.35">
      <c r="A108" s="5" t="s">
        <v>80</v>
      </c>
      <c r="B108">
        <v>6830.83</v>
      </c>
    </row>
    <row r="109" spans="1:2" x14ac:dyDescent="0.35">
      <c r="A109" s="5" t="s">
        <v>199</v>
      </c>
      <c r="B109">
        <v>6822.16</v>
      </c>
    </row>
    <row r="110" spans="1:2" x14ac:dyDescent="0.35">
      <c r="A110" s="5" t="s">
        <v>248</v>
      </c>
      <c r="B110">
        <v>6790.71</v>
      </c>
    </row>
    <row r="111" spans="1:2" x14ac:dyDescent="0.35">
      <c r="A111" s="5" t="s">
        <v>39</v>
      </c>
      <c r="B111">
        <v>6780.84</v>
      </c>
    </row>
    <row r="112" spans="1:2" x14ac:dyDescent="0.35">
      <c r="A112" s="5" t="s">
        <v>902</v>
      </c>
      <c r="B112">
        <v>6759.0599999999986</v>
      </c>
    </row>
    <row r="113" spans="1:2" x14ac:dyDescent="0.35">
      <c r="A113" s="5" t="s">
        <v>366</v>
      </c>
      <c r="B113">
        <v>6611.2000000000007</v>
      </c>
    </row>
    <row r="114" spans="1:2" x14ac:dyDescent="0.35">
      <c r="A114" s="5" t="s">
        <v>531</v>
      </c>
      <c r="B114">
        <v>6589.8</v>
      </c>
    </row>
    <row r="115" spans="1:2" x14ac:dyDescent="0.35">
      <c r="A115" s="5" t="s">
        <v>412</v>
      </c>
      <c r="B115">
        <v>6543.14</v>
      </c>
    </row>
    <row r="116" spans="1:2" x14ac:dyDescent="0.35">
      <c r="A116" s="5" t="s">
        <v>313</v>
      </c>
      <c r="B116">
        <v>6531.2100000000009</v>
      </c>
    </row>
    <row r="117" spans="1:2" x14ac:dyDescent="0.35">
      <c r="A117" s="5" t="s">
        <v>180</v>
      </c>
      <c r="B117">
        <v>6468.81</v>
      </c>
    </row>
    <row r="118" spans="1:2" x14ac:dyDescent="0.35">
      <c r="A118" s="5" t="s">
        <v>302</v>
      </c>
      <c r="B118">
        <v>6463.5599999999995</v>
      </c>
    </row>
    <row r="119" spans="1:2" x14ac:dyDescent="0.35">
      <c r="A119" s="5" t="s">
        <v>379</v>
      </c>
      <c r="B119">
        <v>6420.34</v>
      </c>
    </row>
    <row r="120" spans="1:2" x14ac:dyDescent="0.35">
      <c r="A120" s="5" t="s">
        <v>284</v>
      </c>
      <c r="B120">
        <v>6388.57</v>
      </c>
    </row>
    <row r="121" spans="1:2" x14ac:dyDescent="0.35">
      <c r="A121" s="5" t="s">
        <v>468</v>
      </c>
      <c r="B121">
        <v>6325.8900000000012</v>
      </c>
    </row>
    <row r="122" spans="1:2" x14ac:dyDescent="0.35">
      <c r="A122" s="5" t="s">
        <v>278</v>
      </c>
      <c r="B122">
        <v>6298.7000000000007</v>
      </c>
    </row>
    <row r="123" spans="1:2" x14ac:dyDescent="0.35">
      <c r="A123" s="5" t="s">
        <v>517</v>
      </c>
      <c r="B123">
        <v>6242.98</v>
      </c>
    </row>
    <row r="124" spans="1:2" x14ac:dyDescent="0.35">
      <c r="A124" s="5" t="s">
        <v>659</v>
      </c>
      <c r="B124">
        <v>6228.2599999999993</v>
      </c>
    </row>
    <row r="125" spans="1:2" x14ac:dyDescent="0.35">
      <c r="A125" s="5" t="s">
        <v>189</v>
      </c>
      <c r="B125">
        <v>6193.6900000000005</v>
      </c>
    </row>
    <row r="126" spans="1:2" x14ac:dyDescent="0.35">
      <c r="A126" s="5" t="s">
        <v>204</v>
      </c>
      <c r="B126">
        <v>6166.9</v>
      </c>
    </row>
    <row r="127" spans="1:2" x14ac:dyDescent="0.35">
      <c r="A127" s="5" t="s">
        <v>241</v>
      </c>
      <c r="B127">
        <v>6150.5899999999992</v>
      </c>
    </row>
    <row r="128" spans="1:2" x14ac:dyDescent="0.35">
      <c r="A128" s="5" t="s">
        <v>470</v>
      </c>
      <c r="B128">
        <v>6130.68</v>
      </c>
    </row>
    <row r="129" spans="1:2" x14ac:dyDescent="0.35">
      <c r="A129" s="5" t="s">
        <v>508</v>
      </c>
      <c r="B129">
        <v>6124.6400000000012</v>
      </c>
    </row>
    <row r="130" spans="1:2" x14ac:dyDescent="0.35">
      <c r="A130" s="5" t="s">
        <v>1037</v>
      </c>
      <c r="B130">
        <v>6099.8</v>
      </c>
    </row>
    <row r="131" spans="1:2" x14ac:dyDescent="0.35">
      <c r="A131" s="5" t="s">
        <v>250</v>
      </c>
      <c r="B131">
        <v>6085.26</v>
      </c>
    </row>
    <row r="132" spans="1:2" x14ac:dyDescent="0.35">
      <c r="A132" s="5" t="s">
        <v>223</v>
      </c>
      <c r="B132">
        <v>6083.26</v>
      </c>
    </row>
    <row r="133" spans="1:2" x14ac:dyDescent="0.35">
      <c r="A133" s="5" t="s">
        <v>77</v>
      </c>
      <c r="B133">
        <v>6077.94</v>
      </c>
    </row>
    <row r="134" spans="1:2" x14ac:dyDescent="0.35">
      <c r="A134" s="5" t="s">
        <v>696</v>
      </c>
      <c r="B134">
        <v>6071.25</v>
      </c>
    </row>
    <row r="135" spans="1:2" x14ac:dyDescent="0.35">
      <c r="A135" s="5" t="s">
        <v>693</v>
      </c>
      <c r="B135">
        <v>5999</v>
      </c>
    </row>
    <row r="136" spans="1:2" x14ac:dyDescent="0.35">
      <c r="A136" s="5" t="s">
        <v>847</v>
      </c>
      <c r="B136">
        <v>5912.46</v>
      </c>
    </row>
    <row r="137" spans="1:2" x14ac:dyDescent="0.35">
      <c r="A137" s="5" t="s">
        <v>49</v>
      </c>
      <c r="B137">
        <v>5898.4899999999989</v>
      </c>
    </row>
    <row r="138" spans="1:2" x14ac:dyDescent="0.35">
      <c r="A138" s="5" t="s">
        <v>231</v>
      </c>
      <c r="B138">
        <v>5892.78</v>
      </c>
    </row>
    <row r="139" spans="1:2" x14ac:dyDescent="0.35">
      <c r="A139" s="5" t="s">
        <v>185</v>
      </c>
      <c r="B139">
        <v>5888.64</v>
      </c>
    </row>
    <row r="140" spans="1:2" x14ac:dyDescent="0.35">
      <c r="A140" s="5" t="s">
        <v>716</v>
      </c>
      <c r="B140">
        <v>5706.3</v>
      </c>
    </row>
    <row r="141" spans="1:2" x14ac:dyDescent="0.35">
      <c r="A141" s="5" t="s">
        <v>206</v>
      </c>
      <c r="B141">
        <v>5659.66</v>
      </c>
    </row>
    <row r="142" spans="1:2" x14ac:dyDescent="0.35">
      <c r="A142" s="5" t="s">
        <v>567</v>
      </c>
      <c r="B142">
        <v>5586.74</v>
      </c>
    </row>
    <row r="143" spans="1:2" x14ac:dyDescent="0.35">
      <c r="A143" s="5" t="s">
        <v>858</v>
      </c>
      <c r="B143">
        <v>5562.27</v>
      </c>
    </row>
    <row r="144" spans="1:2" x14ac:dyDescent="0.35">
      <c r="A144" s="5" t="s">
        <v>286</v>
      </c>
      <c r="B144">
        <v>5546.7199999999993</v>
      </c>
    </row>
    <row r="145" spans="1:2" x14ac:dyDescent="0.35">
      <c r="A145" s="5" t="s">
        <v>93</v>
      </c>
      <c r="B145">
        <v>5508.8899999999994</v>
      </c>
    </row>
    <row r="146" spans="1:2" x14ac:dyDescent="0.35">
      <c r="A146" s="5" t="s">
        <v>122</v>
      </c>
      <c r="B146">
        <v>5496.19</v>
      </c>
    </row>
    <row r="147" spans="1:2" x14ac:dyDescent="0.35">
      <c r="A147" s="5" t="s">
        <v>526</v>
      </c>
      <c r="B147">
        <v>5440.25</v>
      </c>
    </row>
    <row r="148" spans="1:2" x14ac:dyDescent="0.35">
      <c r="A148" s="5" t="s">
        <v>810</v>
      </c>
      <c r="B148">
        <v>5412.07</v>
      </c>
    </row>
    <row r="149" spans="1:2" x14ac:dyDescent="0.35">
      <c r="A149" s="5" t="s">
        <v>246</v>
      </c>
      <c r="B149">
        <v>5265.4500000000007</v>
      </c>
    </row>
    <row r="150" spans="1:2" x14ac:dyDescent="0.35">
      <c r="A150" s="5" t="s">
        <v>103</v>
      </c>
      <c r="B150">
        <v>5219.8600000000006</v>
      </c>
    </row>
    <row r="151" spans="1:2" x14ac:dyDescent="0.35">
      <c r="A151" s="5" t="s">
        <v>146</v>
      </c>
      <c r="B151">
        <v>5207.91</v>
      </c>
    </row>
    <row r="152" spans="1:2" x14ac:dyDescent="0.35">
      <c r="A152" s="5" t="s">
        <v>115</v>
      </c>
      <c r="B152">
        <v>5096.0399999999991</v>
      </c>
    </row>
    <row r="153" spans="1:2" x14ac:dyDescent="0.35">
      <c r="A153" s="5" t="s">
        <v>663</v>
      </c>
      <c r="B153">
        <v>5063.78</v>
      </c>
    </row>
    <row r="154" spans="1:2" x14ac:dyDescent="0.35">
      <c r="A154" s="5" t="s">
        <v>562</v>
      </c>
      <c r="B154">
        <v>5021.8</v>
      </c>
    </row>
    <row r="155" spans="1:2" x14ac:dyDescent="0.35">
      <c r="A155" s="5" t="s">
        <v>394</v>
      </c>
      <c r="B155">
        <v>4984.42</v>
      </c>
    </row>
    <row r="156" spans="1:2" x14ac:dyDescent="0.35">
      <c r="A156" s="5" t="s">
        <v>257</v>
      </c>
      <c r="B156">
        <v>4784.1899999999996</v>
      </c>
    </row>
    <row r="157" spans="1:2" x14ac:dyDescent="0.35">
      <c r="A157" s="5" t="s">
        <v>274</v>
      </c>
      <c r="B157">
        <v>4722.7800000000007</v>
      </c>
    </row>
    <row r="158" spans="1:2" x14ac:dyDescent="0.35">
      <c r="A158" s="5" t="s">
        <v>332</v>
      </c>
      <c r="B158">
        <v>4691.7700000000004</v>
      </c>
    </row>
    <row r="159" spans="1:2" x14ac:dyDescent="0.35">
      <c r="A159" s="5" t="s">
        <v>336</v>
      </c>
      <c r="B159">
        <v>4686.03</v>
      </c>
    </row>
    <row r="160" spans="1:2" x14ac:dyDescent="0.35">
      <c r="A160" s="5" t="s">
        <v>433</v>
      </c>
      <c r="B160">
        <v>4685.4400000000005</v>
      </c>
    </row>
    <row r="161" spans="1:2" x14ac:dyDescent="0.35">
      <c r="A161" s="5" t="s">
        <v>492</v>
      </c>
      <c r="B161">
        <v>4627.9100000000008</v>
      </c>
    </row>
    <row r="162" spans="1:2" x14ac:dyDescent="0.35">
      <c r="A162" s="5" t="s">
        <v>400</v>
      </c>
      <c r="B162">
        <v>4612.2</v>
      </c>
    </row>
    <row r="163" spans="1:2" x14ac:dyDescent="0.35">
      <c r="A163" s="5" t="s">
        <v>266</v>
      </c>
      <c r="B163">
        <v>4607.62</v>
      </c>
    </row>
    <row r="164" spans="1:2" x14ac:dyDescent="0.35">
      <c r="A164" s="5" t="s">
        <v>259</v>
      </c>
      <c r="B164">
        <v>4575.7000000000007</v>
      </c>
    </row>
    <row r="165" spans="1:2" x14ac:dyDescent="0.35">
      <c r="A165" s="5" t="s">
        <v>321</v>
      </c>
      <c r="B165">
        <v>4561.5499999999993</v>
      </c>
    </row>
    <row r="166" spans="1:2" x14ac:dyDescent="0.35">
      <c r="A166" s="5" t="s">
        <v>595</v>
      </c>
      <c r="B166">
        <v>4561.1799999999994</v>
      </c>
    </row>
    <row r="167" spans="1:2" x14ac:dyDescent="0.35">
      <c r="A167" s="5" t="s">
        <v>535</v>
      </c>
      <c r="B167">
        <v>4545.87</v>
      </c>
    </row>
    <row r="168" spans="1:2" x14ac:dyDescent="0.35">
      <c r="A168" s="5" t="s">
        <v>26</v>
      </c>
      <c r="B168">
        <v>4544.6200000000008</v>
      </c>
    </row>
    <row r="169" spans="1:2" x14ac:dyDescent="0.35">
      <c r="A169" s="5" t="s">
        <v>731</v>
      </c>
      <c r="B169">
        <v>4460.2</v>
      </c>
    </row>
    <row r="170" spans="1:2" x14ac:dyDescent="0.35">
      <c r="A170" s="5" t="s">
        <v>751</v>
      </c>
      <c r="B170">
        <v>4234</v>
      </c>
    </row>
    <row r="171" spans="1:2" x14ac:dyDescent="0.35">
      <c r="A171" s="5" t="s">
        <v>1159</v>
      </c>
      <c r="B171">
        <v>4194.59</v>
      </c>
    </row>
    <row r="172" spans="1:2" x14ac:dyDescent="0.35">
      <c r="A172" s="5" t="s">
        <v>489</v>
      </c>
      <c r="B172">
        <v>4168.6499999999996</v>
      </c>
    </row>
    <row r="173" spans="1:2" x14ac:dyDescent="0.35">
      <c r="A173" s="5" t="s">
        <v>711</v>
      </c>
      <c r="B173">
        <v>4126.68</v>
      </c>
    </row>
    <row r="174" spans="1:2" x14ac:dyDescent="0.35">
      <c r="A174" s="5" t="s">
        <v>334</v>
      </c>
      <c r="B174">
        <v>4116.5400000000009</v>
      </c>
    </row>
    <row r="175" spans="1:2" x14ac:dyDescent="0.35">
      <c r="A175" s="5" t="s">
        <v>291</v>
      </c>
      <c r="B175">
        <v>4109.4499999999989</v>
      </c>
    </row>
    <row r="176" spans="1:2" x14ac:dyDescent="0.35">
      <c r="A176" s="5" t="s">
        <v>474</v>
      </c>
      <c r="B176">
        <v>4073.9900000000002</v>
      </c>
    </row>
    <row r="177" spans="1:2" x14ac:dyDescent="0.35">
      <c r="A177" s="5" t="s">
        <v>951</v>
      </c>
      <c r="B177">
        <v>4058.29</v>
      </c>
    </row>
    <row r="178" spans="1:2" x14ac:dyDescent="0.35">
      <c r="A178" s="5" t="s">
        <v>867</v>
      </c>
      <c r="B178">
        <v>3994.9</v>
      </c>
    </row>
    <row r="179" spans="1:2" x14ac:dyDescent="0.35">
      <c r="A179" s="5" t="s">
        <v>462</v>
      </c>
      <c r="B179">
        <v>3745.0300000000007</v>
      </c>
    </row>
    <row r="180" spans="1:2" x14ac:dyDescent="0.35">
      <c r="A180" s="5" t="s">
        <v>835</v>
      </c>
      <c r="B180">
        <v>3737.71</v>
      </c>
    </row>
    <row r="181" spans="1:2" x14ac:dyDescent="0.35">
      <c r="A181" s="5" t="s">
        <v>884</v>
      </c>
      <c r="B181">
        <v>3688.7299999999996</v>
      </c>
    </row>
    <row r="182" spans="1:2" x14ac:dyDescent="0.35">
      <c r="A182" s="5" t="s">
        <v>457</v>
      </c>
      <c r="B182">
        <v>3648.44</v>
      </c>
    </row>
    <row r="183" spans="1:2" x14ac:dyDescent="0.35">
      <c r="A183" s="5" t="s">
        <v>769</v>
      </c>
      <c r="B183">
        <v>3619.3199999999997</v>
      </c>
    </row>
    <row r="184" spans="1:2" x14ac:dyDescent="0.35">
      <c r="A184" s="5" t="s">
        <v>392</v>
      </c>
      <c r="B184">
        <v>3531.3599999999997</v>
      </c>
    </row>
    <row r="185" spans="1:2" x14ac:dyDescent="0.35">
      <c r="A185" s="5" t="s">
        <v>429</v>
      </c>
      <c r="B185">
        <v>3429.56</v>
      </c>
    </row>
    <row r="186" spans="1:2" x14ac:dyDescent="0.35">
      <c r="A186" s="5" t="s">
        <v>426</v>
      </c>
      <c r="B186">
        <v>3388.1400000000003</v>
      </c>
    </row>
    <row r="187" spans="1:2" x14ac:dyDescent="0.35">
      <c r="A187" s="5" t="s">
        <v>833</v>
      </c>
      <c r="B187">
        <v>3142.95</v>
      </c>
    </row>
    <row r="188" spans="1:2" x14ac:dyDescent="0.35">
      <c r="A188" s="5" t="s">
        <v>989</v>
      </c>
      <c r="B188">
        <v>3109.9500000000003</v>
      </c>
    </row>
    <row r="189" spans="1:2" x14ac:dyDescent="0.35">
      <c r="A189" s="5" t="s">
        <v>418</v>
      </c>
      <c r="B189">
        <v>3106.32</v>
      </c>
    </row>
    <row r="190" spans="1:2" x14ac:dyDescent="0.35">
      <c r="A190" s="5" t="s">
        <v>328</v>
      </c>
      <c r="B190">
        <v>3045.05</v>
      </c>
    </row>
    <row r="191" spans="1:2" x14ac:dyDescent="0.35">
      <c r="A191" s="5" t="s">
        <v>679</v>
      </c>
      <c r="B191">
        <v>2933.49</v>
      </c>
    </row>
    <row r="192" spans="1:2" x14ac:dyDescent="0.35">
      <c r="A192" s="5" t="s">
        <v>420</v>
      </c>
      <c r="B192">
        <v>2930.9399999999996</v>
      </c>
    </row>
    <row r="193" spans="1:2" x14ac:dyDescent="0.35">
      <c r="A193" s="5" t="s">
        <v>656</v>
      </c>
      <c r="B193">
        <v>2908.52</v>
      </c>
    </row>
    <row r="194" spans="1:2" x14ac:dyDescent="0.35">
      <c r="A194" s="5" t="s">
        <v>1155</v>
      </c>
      <c r="B194">
        <v>2877.3</v>
      </c>
    </row>
    <row r="195" spans="1:2" x14ac:dyDescent="0.35">
      <c r="A195" s="5" t="s">
        <v>176</v>
      </c>
      <c r="B195">
        <v>2850.72</v>
      </c>
    </row>
    <row r="196" spans="1:2" x14ac:dyDescent="0.35">
      <c r="A196" s="5" t="s">
        <v>304</v>
      </c>
      <c r="B196">
        <v>2737.8799999999997</v>
      </c>
    </row>
    <row r="197" spans="1:2" x14ac:dyDescent="0.35">
      <c r="A197" s="5" t="s">
        <v>771</v>
      </c>
      <c r="B197">
        <v>2359.37</v>
      </c>
    </row>
    <row r="198" spans="1:2" x14ac:dyDescent="0.35">
      <c r="A198" s="5" t="s">
        <v>144</v>
      </c>
      <c r="B198">
        <v>2284.11</v>
      </c>
    </row>
    <row r="199" spans="1:2" x14ac:dyDescent="0.35">
      <c r="A199" s="5" t="s">
        <v>219</v>
      </c>
      <c r="B199">
        <v>2272.11</v>
      </c>
    </row>
    <row r="200" spans="1:2" x14ac:dyDescent="0.35">
      <c r="A200" s="5" t="s">
        <v>183</v>
      </c>
      <c r="B200">
        <v>1916.71</v>
      </c>
    </row>
    <row r="201" spans="1:2" x14ac:dyDescent="0.35">
      <c r="A201" s="5" t="s">
        <v>311</v>
      </c>
      <c r="B201">
        <v>1785.1999999999998</v>
      </c>
    </row>
    <row r="202" spans="1:2" x14ac:dyDescent="0.35">
      <c r="A202" s="5" t="s">
        <v>431</v>
      </c>
      <c r="B202">
        <v>1649.44</v>
      </c>
    </row>
    <row r="203" spans="1:2" x14ac:dyDescent="0.35">
      <c r="A203" s="5" t="s">
        <v>1447</v>
      </c>
      <c r="B203">
        <v>1162.98</v>
      </c>
    </row>
    <row r="204" spans="1:2" x14ac:dyDescent="0.35">
      <c r="A204" s="5" t="s">
        <v>1084</v>
      </c>
      <c r="B204">
        <v>721.87</v>
      </c>
    </row>
    <row r="205" spans="1:2" x14ac:dyDescent="0.35">
      <c r="A205" s="5" t="s">
        <v>2225</v>
      </c>
      <c r="B205">
        <v>1469672.59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Raw Data</vt:lpstr>
      <vt:lpstr>Clean Data</vt:lpstr>
      <vt:lpstr>Pivot_Region</vt:lpstr>
      <vt:lpstr>Pivot_Category</vt:lpstr>
      <vt:lpstr>Pivot_Monthly</vt:lpstr>
      <vt:lpstr>Pivot_TopCustomers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7390</dc:creator>
  <cp:lastModifiedBy>2425402522 Prince Adams</cp:lastModifiedBy>
  <dcterms:created xsi:type="dcterms:W3CDTF">2026-09-17T15:37:25Z</dcterms:created>
  <dcterms:modified xsi:type="dcterms:W3CDTF">2026-09-26T14:34:10Z</dcterms:modified>
</cp:coreProperties>
</file>